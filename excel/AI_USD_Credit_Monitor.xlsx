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參數" sheetId="2" state="visible" r:id="rId2"/>
    <sheet name="發行人" sheetId="3" state="visible" r:id="rId3"/>
    <sheet name="債券" sheetId="4" state="visible" r:id="rId4"/>
    <sheet name="分群統計" sheetId="5" state="visible" r:id="rId5"/>
    <sheet name="排行" sheetId="6" state="visible" r:id="rId6"/>
    <sheet name="搜尋" sheetId="7" state="visible" r:id="rId7"/>
  </sheets>
  <definedNames>
    <definedName name="_xlnm._FilterDatabase" localSheetId="2" hidden="1">'發行人'!$A$4:$Z$44</definedName>
    <definedName name="_xlnm._FilterDatabase" localSheetId="3" hidden="1">'債券'!$A$4:$AS$404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0.0"/>
    <numFmt numFmtId="166" formatCode="#,##0;(#,##0);-"/>
    <numFmt numFmtId="167" formatCode="0.0x;(0.0x);-"/>
    <numFmt numFmtId="168" formatCode="0.0%"/>
    <numFmt numFmtId="169" formatCode="0.000"/>
    <numFmt numFmtId="170" formatCode="0;-0;0"/>
    <numFmt numFmtId="171" formatCode="0.0;-0.0;0.0"/>
    <numFmt numFmtId="172" formatCode="0;-0;-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color rgb="00808080"/>
    </font>
    <font>
      <name val="Arial"/>
      <b val="1"/>
    </font>
    <font>
      <name val="Arial"/>
      <color rgb="000000FF"/>
    </font>
    <font>
      <name val="Arial"/>
      <b val="1"/>
      <color rgb="00FFFFFF"/>
    </font>
    <font>
      <name val="Arial"/>
      <color rgb="0000800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8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0" pivotButton="0" quotePrefix="0" xfId="0"/>
    <xf numFmtId="1" fontId="5" fillId="2" borderId="0" pivotButton="0" quotePrefix="0" xfId="0"/>
    <xf numFmtId="2" fontId="5" fillId="2" borderId="0" pivotButton="0" quotePrefix="0" xfId="0"/>
    <xf numFmtId="9" fontId="5" fillId="2" borderId="0" pivotButton="0" quotePrefix="0" xfId="0"/>
    <xf numFmtId="0" fontId="4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2" borderId="0" pivotButton="0" quotePrefix="0" xfId="0"/>
    <xf numFmtId="3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1" fontId="7" fillId="0" borderId="0" pivotButton="0" quotePrefix="0" xfId="0"/>
    <xf numFmtId="3" fontId="7" fillId="0" borderId="0" pivotButton="0" quotePrefix="0" xfId="0"/>
    <xf numFmtId="165" fontId="7" fillId="0" borderId="0" pivotButton="0" quotePrefix="0" xfId="0"/>
    <xf numFmtId="2" fontId="7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 vertical="center" wrapText="1"/>
    </xf>
    <xf numFmtId="169" fontId="2" fillId="0" borderId="0" pivotButton="0" quotePrefix="0" xfId="0"/>
    <xf numFmtId="164" fontId="2" fillId="0" borderId="0" pivotButton="0" quotePrefix="0" xfId="0"/>
    <xf numFmtId="1" fontId="2" fillId="0" borderId="0" pivotButton="0" quotePrefix="0" xfId="0"/>
    <xf numFmtId="2" fontId="2" fillId="0" borderId="0" pivotButton="0" quotePrefix="0" xfId="0"/>
    <xf numFmtId="0" fontId="7" fillId="0" borderId="0" pivotButton="0" quotePrefix="0" xfId="0"/>
    <xf numFmtId="170" fontId="2" fillId="0" borderId="0" pivotButton="0" quotePrefix="0" xfId="0"/>
    <xf numFmtId="171" fontId="2" fillId="0" borderId="0" pivotButton="0" quotePrefix="0" xfId="0"/>
    <xf numFmtId="9" fontId="2" fillId="0" borderId="0" pivotButton="0" quotePrefix="0" xfId="0"/>
    <xf numFmtId="3" fontId="3" fillId="0" borderId="0" pivotButton="0" quotePrefix="0" xfId="0"/>
    <xf numFmtId="168" fontId="7" fillId="0" borderId="0" pivotButton="0" quotePrefix="0" xfId="0"/>
    <xf numFmtId="171" fontId="7" fillId="0" borderId="0" pivotButton="0" quotePrefix="0" xfId="0"/>
    <xf numFmtId="172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Claude</author>
  </authors>
  <commentList>
    <comment ref="O4" authorId="0" shapeId="0">
      <text>
        <t>以修正存續期間近似利差存續期間；可轉換或可贖回債請改用 OAS 存續期間欄位（以 FLDS 搜尋 OAS duration）。</t>
      </text>
    </comment>
    <comment ref="P4" authorId="0" shapeId="0">
      <text>
        <t>用 BDH 取該日的 OAS（非交易日以前一個交易日補值）。400 檔 × 3 個日期會用掉不少資料額度，建議每月更新一次。</t>
      </text>
    </comment>
    <comment ref="AB4" authorId="0" shapeId="0">
      <text>
        <t>近似過去 6 個月到 1 個月前的超額報酬（bp）：5 個月的利差 carry − 利差存續期間 × OAS 變化。跳過最近 1 個月以避開短期反轉。</t>
      </text>
    </comment>
    <comment ref="AF4" authorId="0" shapeId="0">
      <text>
        <t>評等 × 天期分群內，OAS 相對組平均的 z 分數（截尾 ±3）。高 = 利差較高。</t>
      </text>
    </comment>
    <comment ref="AI4" authorId="0" shapeId="0">
      <text>
        <t>以同一發行人的債券擬合 OAS = a + b·ln(存續期間)，正值 = 相對自家曲線便宜。用於同一發行人內選券。</t>
      </text>
    </comment>
    <comment ref="AK4" authorId="0" shapeId="0">
      <text>
        <t>以同評等分群的所有債券擬合 OAS = a + b·ln(存續期間)，正值 = 相對同評等曲線便宜。</t>
      </text>
    </comment>
    <comment ref="AL4" authorId="0" shapeId="0">
      <text>
        <t>相對評等曲線殘差 ÷ 擬合 OAS，例如 +10% 代表利差比同評等、同存續期間的公允水準高 10%。</t>
      </text>
    </comment>
    <comment ref="AQ4" authorId="0" shapeId="0">
      <text>
        <t>Carry、Value、Momentum、股票動能 z 分數的加權平均，權重在「參數」表。高 = 偏便宜／偏強勢。</t>
      </text>
    </comment>
    <comment ref="AR4" authorId="0" shapeId="0">
      <text>
        <t>在同評等分群內，綜合分數的排名百分位。0% = 最高分。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A1" s="1" t="n"/>
      <c r="B1" s="2" t="inlineStr">
        <is>
          <t>美元 AI 相關公司債監控（Bloomberg Excel Add-in）</t>
        </is>
      </c>
    </row>
    <row r="2">
      <c r="A2" s="1" t="n"/>
      <c r="B2" s="3" t="inlineStr">
        <is>
          <t>用途：追蹤 AI 主流發行人的美元債，計算 Carry、Value、Momentum、股票動能四個因子，產出加碼／減碼研究清單。方法見 repo 的 credit-quant.md。</t>
        </is>
      </c>
    </row>
    <row r="3">
      <c r="A3" s="1" t="n"/>
      <c r="B3" s="4" t="inlineStr">
        <is>
          <t>本活頁簿只是研究工具，訊號不構成交易建議；實際交易請依公司授權與內控流程。</t>
        </is>
      </c>
    </row>
    <row r="4">
      <c r="A4" s="1" t="n"/>
      <c r="B4" s="3" t="inlineStr"/>
    </row>
    <row r="5">
      <c r="A5" s="1" t="n"/>
      <c r="B5" s="5" t="inlineStr">
        <is>
          <t>■ 工作表</t>
        </is>
      </c>
    </row>
    <row r="6">
      <c r="A6" s="1" t="n"/>
      <c r="B6" s="3" t="inlineStr">
        <is>
          <t>說明：本頁。</t>
        </is>
      </c>
    </row>
    <row r="7">
      <c r="A7" s="1" t="n"/>
      <c r="B7" s="3" t="inlineStr">
        <is>
          <t>參數：評價日、權重、門檻、評等對照表。</t>
        </is>
      </c>
    </row>
    <row r="8">
      <c r="A8" s="1" t="n"/>
      <c r="B8" s="3" t="inlineStr">
        <is>
          <t>發行人：24 家 AI 相關公司（超大型雲端、半導體、伺服器／網通、軟體、資料中心、AI 雲端），含股票、財報、CDS 與債券彙總。</t>
        </is>
      </c>
    </row>
    <row r="9">
      <c r="A9" s="1" t="n"/>
      <c r="B9" s="3" t="inlineStr">
        <is>
          <t>債券：債券清單與所有計算（每列一檔，最多 400 檔）。</t>
        </is>
      </c>
    </row>
    <row r="10">
      <c r="A10" s="1" t="n"/>
      <c r="B10" s="3" t="inlineStr">
        <is>
          <t>排行：綜合分數前 20／後 20 名，以及「分類 × 評等」的平均 OAS。</t>
        </is>
      </c>
    </row>
    <row r="11">
      <c r="A11" s="1" t="n"/>
      <c r="B11" s="3" t="inlineStr">
        <is>
          <t>分群統計：評等曲線、發行人曲線、各因子的平均與標準差（自動計算，債券表查表引用）。</t>
        </is>
      </c>
    </row>
    <row r="12">
      <c r="A12" s="1" t="n"/>
      <c r="B12" s="3" t="inlineStr">
        <is>
          <t>搜尋：用 BSRCH 從 SRCH 儲存的搜尋抓債券清單。</t>
        </is>
      </c>
    </row>
    <row r="13">
      <c r="A13" s="1" t="n"/>
      <c r="B13" s="3" t="inlineStr"/>
    </row>
    <row r="14">
      <c r="A14" s="1" t="n"/>
      <c r="B14" s="5" t="inlineStr">
        <is>
          <t>■ 使用步驟</t>
        </is>
      </c>
    </row>
    <row r="15">
      <c r="A15" s="1" t="n"/>
      <c r="B15" s="3" t="inlineStr">
        <is>
          <t>1. 開啟 Bloomberg 終端機並登入，Excel 的 Bloomberg 頁籤要能使用。</t>
        </is>
      </c>
    </row>
    <row r="16">
      <c r="A16" s="1" t="n"/>
      <c r="B16" s="3" t="inlineStr">
        <is>
          <t>2. 建立債券清單（擇一）：</t>
        </is>
      </c>
    </row>
    <row r="17">
      <c r="A17" s="1" t="n"/>
      <c r="B17" s="3" t="inlineStr">
        <is>
          <t xml:space="preserve">   A. SRCH &lt;GO&gt; 建立搜尋，建議條件：幣別 = USD；發行人 = 「發行人」表的公司（可用 Ultimate Parent 篩選，才會包含子公司發行的債）；</t>
        </is>
      </c>
    </row>
    <row r="18">
      <c r="A18" s="1" t="n"/>
      <c r="B18" s="3" t="inlineStr">
        <is>
          <t xml:space="preserve">      票息型態 = Fixed；求償順位 = Senior Unsecured；排除可轉債、私募；未到期；流通在外 ≥ 5 億美元。存成 AI_USD，再用「搜尋」表的 BSRCH 取出。</t>
        </is>
      </c>
    </row>
    <row r="19">
      <c r="A19" s="1" t="n"/>
      <c r="B19" s="3" t="inlineStr">
        <is>
          <t xml:space="preserve">   B. 個別公司：&lt;股票代碼&gt; DDIS &lt;GO&gt;（債務分布）匯出債券清單。</t>
        </is>
      </c>
    </row>
    <row r="20">
      <c r="A20" s="1" t="n"/>
      <c r="B20" s="3" t="inlineStr">
        <is>
          <t xml:space="preserve">   把代碼貼到「債券」表 A 欄（A5 起）。格式可以是「US1234567890 Corp」或「/isin/US1234567890」；BSRCH 的結果可直接用。</t>
        </is>
      </c>
    </row>
    <row r="21">
      <c r="A21" s="1" t="n"/>
      <c r="B21" s="3" t="inlineStr">
        <is>
          <t>3. 檢查黃底的彭博欄位代碼（「債券」與「發行人」表第 3 列）。欄位名稱可能因權限或版本不同，有錯誤請用 FLDS &lt;GO&gt; 搜尋正確代碼後修改。</t>
        </is>
      </c>
    </row>
    <row r="22">
      <c r="A22" s="1" t="n"/>
      <c r="B22" s="3" t="inlineStr">
        <is>
          <t>4. 檢查「發行人」表 D 欄（債券 Ticker）：要和債券 TICKER 欄位一致才對得上。標「請確認」的（TSMC、SK hynix、CoreWeave）請在終端機用 DES 查發債主體的代碼。</t>
        </is>
      </c>
    </row>
    <row r="23">
      <c r="A23" s="1" t="n"/>
      <c r="B23" s="3" t="inlineStr">
        <is>
          <t xml:space="preserve">   「債券」表的分類若出現「未對應」，代表該券的 TICKER 不在發行人表中，可以新增一列發行人。</t>
        </is>
      </c>
    </row>
    <row r="24">
      <c r="A24" s="1" t="n"/>
      <c r="B24" s="3" t="inlineStr">
        <is>
          <t>5. Bloomberg 頁籤 → Refresh → Refresh Workbook。第一次會比較慢（BDH 取歷史 OAS）。</t>
        </is>
      </c>
    </row>
    <row r="25">
      <c r="A25" s="1" t="n"/>
      <c r="B25" s="3" t="inlineStr">
        <is>
          <t>6. 看「排行」表與「發行人」表；細節到「債券」表篩選「訊號」欄。</t>
        </is>
      </c>
    </row>
    <row r="26">
      <c r="A26" s="1" t="n"/>
      <c r="B26" s="3" t="inlineStr"/>
    </row>
    <row r="27">
      <c r="A27" s="1" t="n"/>
      <c r="B27" s="5" t="inlineStr">
        <is>
          <t>■ 顏色</t>
        </is>
      </c>
    </row>
    <row r="28">
      <c r="A28" s="1" t="n"/>
      <c r="B28" s="3" t="inlineStr">
        <is>
          <t>藍字黃底：可以輸入或修改的儲存格。黑字：公式。綠字：引用其他工作表的公式。灰字標題：輔助欄（給公式用，請勿刪除）。</t>
        </is>
      </c>
    </row>
    <row r="29">
      <c r="A29" s="1" t="n"/>
      <c r="B29" s="3" t="inlineStr"/>
    </row>
    <row r="30">
      <c r="A30" s="1" t="n"/>
      <c r="B30" s="5" t="inlineStr">
        <is>
          <t>■ 因子定義</t>
        </is>
      </c>
    </row>
    <row r="31">
      <c r="A31" s="1" t="n"/>
      <c r="B31" s="3" t="inlineStr">
        <is>
          <t>Carry z：在「評等分群 × 天期分群」內，OAS 相對組平均的 z 分數。分群不足 5 檔時改用評等分群。</t>
        </is>
      </c>
    </row>
    <row r="32">
      <c r="A32" s="1" t="n"/>
      <c r="B32" s="3" t="inlineStr">
        <is>
          <t>Value z：每個評等分群擬合 OAS = a + b·ln(存續期間)，計算「實際 OAS − 擬合 OAS」÷ 擬合 OAS（相對便宜 %），再在評等分群內做 z 分數。</t>
        </is>
      </c>
    </row>
    <row r="33">
      <c r="A33" s="1" t="n"/>
      <c r="B33" s="3" t="inlineStr">
        <is>
          <t>Momentum z：過去 6 個月到 1 個月前的近似超額報酬（5 個月 carry − 存續期間 × OAS 變化），除以 DTS 後在評等分群內做 z 分數。</t>
        </is>
      </c>
    </row>
    <row r="34">
      <c r="A34" s="1" t="n"/>
      <c r="B34" s="3" t="inlineStr">
        <is>
          <t>股票動能 z：發行公司股價 6 個月報酬，在評等分群內做 z 分數。投資等級債的動能以股票訊號較有效（Gebhardt 等, 2005）。</t>
        </is>
      </c>
    </row>
    <row r="35">
      <c r="A35" s="1" t="n"/>
      <c r="B35" s="3" t="inlineStr">
        <is>
          <t>綜合分數：四個 z 分數依「參數」表權重加權平均；評等分群內排名前 20% 標「加碼候選」、後 20% 標「減碼候選」。</t>
        </is>
      </c>
    </row>
    <row r="36">
      <c r="A36" s="1" t="n"/>
      <c r="B36" s="3" t="inlineStr">
        <is>
          <t>相對發行人曲線：同一發行人的債券擬合 OAS = a + b·ln(存續期間)，正值 = 相對自家曲線便宜，適合在同一發行人內換券。</t>
        </is>
      </c>
    </row>
    <row r="37">
      <c r="A37" s="1" t="n"/>
      <c r="B37" s="3" t="inlineStr">
        <is>
          <t>DTS = 利差存續期間 × OAS，代表信用風險大小；發行人表的加權 DTS 可用來比較各公司的部位風險。</t>
        </is>
      </c>
    </row>
    <row r="38">
      <c r="A38" s="1" t="n"/>
      <c r="B38" s="3" t="inlineStr"/>
    </row>
    <row r="39">
      <c r="A39" s="1" t="n"/>
      <c r="B39" s="5" t="inlineStr">
        <is>
          <t>■ 注意事項</t>
        </is>
      </c>
    </row>
    <row r="40">
      <c r="A40" s="1" t="n"/>
      <c r="B40" s="3" t="inlineStr">
        <is>
          <t>• 標的數少（約 20 多家發行人），因子分數主要反映相對位置，不宜當作嚴格的統計結論；建議每月記錄分數，累積後回頭驗證。</t>
        </is>
      </c>
    </row>
    <row r="41">
      <c r="A41" s="1" t="n"/>
      <c r="B41" s="3" t="inlineStr">
        <is>
          <t>• 相同發行人的多檔債券分數高度相關，加碼時請注意單一發行人集中度。</t>
        </is>
      </c>
    </row>
    <row r="42">
      <c r="A42" s="1" t="n"/>
      <c r="B42" s="3" t="inlineStr">
        <is>
          <t>• 利差存續期間以修正存續期間近似；可贖回（非 make-whole）債券應改用 OAS 存續期間。</t>
        </is>
      </c>
    </row>
    <row r="43">
      <c r="A43" s="1" t="n"/>
      <c r="B43" s="3" t="inlineStr">
        <is>
          <t>• 財報欄位為最近一期年度或滾動資料，依 Bloomberg 預設；需要特定期間請加 BEST_FPERIOD_OVERRIDE 等覆寫參數。</t>
        </is>
      </c>
    </row>
    <row r="44">
      <c r="A44" s="1" t="n"/>
      <c r="B44" s="3" t="inlineStr">
        <is>
          <t>• BDH 歷史資料會計入 Bloomberg 資料用量，債券多時建議月更新，不要頻繁全部重新整理。</t>
        </is>
      </c>
    </row>
    <row r="45">
      <c r="A45" s="1" t="n"/>
      <c r="B45" s="3" t="inlineStr">
        <is>
          <t>• 「發行人」表的分類與備註是整理時的概略描述，請依最新資訊更新。</t>
        </is>
      </c>
    </row>
    <row r="46">
      <c r="A46" s="1" t="n"/>
      <c r="B46" s="3" t="inlineStr"/>
    </row>
    <row r="47">
      <c r="A47" s="1" t="n"/>
      <c r="B47" s="5" t="inlineStr">
        <is>
          <t>■ 可以延伸的方向</t>
        </is>
      </c>
    </row>
    <row r="48">
      <c r="A48" s="1" t="n"/>
      <c r="B48" s="3" t="inlineStr">
        <is>
          <t>• 加入電力與公用事業（AI 資料中心用電）、AI 相關 SPV／資產擔保融資等發行人。</t>
        </is>
      </c>
    </row>
    <row r="49">
      <c r="A49" s="1" t="n"/>
      <c r="B49" s="3" t="inlineStr">
        <is>
          <t>• 每月把「債券」表另存一份歷史快照，累積後用 repo 中的 credit_quant Python 範例做回測。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60" customWidth="1" min="3" max="3"/>
  </cols>
  <sheetData>
    <row r="1">
      <c r="A1" s="6" t="inlineStr">
        <is>
          <t>參數設定</t>
        </is>
      </c>
      <c r="B1" s="1" t="n"/>
      <c r="C1" s="1" t="n"/>
    </row>
    <row r="2">
      <c r="A2" s="7" t="inlineStr">
        <is>
          <t>黃底藍字為可調整的參數。</t>
        </is>
      </c>
      <c r="B2" s="1" t="n"/>
      <c r="C2" s="1" t="n"/>
    </row>
    <row r="3">
      <c r="A3" s="1" t="n"/>
      <c r="B3" s="1" t="n"/>
      <c r="C3" s="1" t="n"/>
    </row>
    <row r="4">
      <c r="A4" s="8" t="inlineStr">
        <is>
          <t>評價日</t>
        </is>
      </c>
      <c r="B4" s="9">
        <f>TODAY()</f>
        <v/>
      </c>
      <c r="C4" s="7" t="inlineStr">
        <is>
          <t>預設為今天；要回看特定日期可改成固定日期</t>
        </is>
      </c>
    </row>
    <row r="5">
      <c r="A5" s="8" t="inlineStr">
        <is>
          <t>1 個月前</t>
        </is>
      </c>
      <c r="B5" s="9">
        <f>EDATE(B4,-1)</f>
        <v/>
      </c>
      <c r="C5" s="7" t="inlineStr">
        <is>
          <t>動能與 OAS 變化的比較日期</t>
        </is>
      </c>
    </row>
    <row r="6">
      <c r="A6" s="8" t="inlineStr">
        <is>
          <t>3 個月前</t>
        </is>
      </c>
      <c r="B6" s="9">
        <f>EDATE(B4,-3)</f>
        <v/>
      </c>
      <c r="C6" s="7" t="inlineStr"/>
    </row>
    <row r="7">
      <c r="A7" s="8" t="inlineStr">
        <is>
          <t>6 個月前</t>
        </is>
      </c>
      <c r="B7" s="9">
        <f>EDATE(B4,-6)</f>
        <v/>
      </c>
      <c r="C7" s="7" t="inlineStr"/>
    </row>
    <row r="8">
      <c r="A8" s="1" t="n"/>
      <c r="B8" s="1" t="n"/>
      <c r="C8" s="1" t="n"/>
    </row>
    <row r="9">
      <c r="A9" s="8" t="inlineStr">
        <is>
          <t>Carry 分群最少檔數</t>
        </is>
      </c>
      <c r="B9" s="10" t="n">
        <v>5</v>
      </c>
      <c r="C9" s="7" t="inlineStr">
        <is>
          <t>「評等 × 天期」分群不足此檔數時，改用評等分群</t>
        </is>
      </c>
    </row>
    <row r="10">
      <c r="A10" s="8" t="inlineStr">
        <is>
          <t>發行人曲線最少檔數</t>
        </is>
      </c>
      <c r="B10" s="10" t="n">
        <v>3</v>
      </c>
      <c r="C10" s="7" t="inlineStr">
        <is>
          <t>同一發行人至少幾檔才擬合發行人曲線</t>
        </is>
      </c>
    </row>
    <row r="11">
      <c r="A11" s="8" t="inlineStr">
        <is>
          <t>評等曲線最少檔數</t>
        </is>
      </c>
      <c r="B11" s="10" t="n">
        <v>5</v>
      </c>
      <c r="C11" s="7" t="inlineStr">
        <is>
          <t>同一評等分群至少幾檔才擬合評等曲線</t>
        </is>
      </c>
    </row>
    <row r="12">
      <c r="A12" s="1" t="n"/>
      <c r="B12" s="1" t="n"/>
      <c r="C12" s="1" t="n"/>
    </row>
    <row r="13">
      <c r="A13" s="8" t="inlineStr">
        <is>
          <t>權重：Carry</t>
        </is>
      </c>
      <c r="B13" s="11" t="n">
        <v>1</v>
      </c>
      <c r="C13" s="7" t="inlineStr">
        <is>
          <t>綜合分數 = 各 z 分數依權重加權平均</t>
        </is>
      </c>
    </row>
    <row r="14">
      <c r="A14" s="8" t="inlineStr">
        <is>
          <t>權重：Value</t>
        </is>
      </c>
      <c r="B14" s="11" t="n">
        <v>1</v>
      </c>
      <c r="C14" s="7" t="inlineStr"/>
    </row>
    <row r="15">
      <c r="A15" s="8" t="inlineStr">
        <is>
          <t>權重：Momentum（債券）</t>
        </is>
      </c>
      <c r="B15" s="11" t="n">
        <v>0.5</v>
      </c>
      <c r="C15" s="7" t="inlineStr"/>
    </row>
    <row r="16">
      <c r="A16" s="8" t="inlineStr">
        <is>
          <t>權重：股票動能</t>
        </is>
      </c>
      <c r="B16" s="11" t="n">
        <v>0.5</v>
      </c>
      <c r="C16" s="7" t="inlineStr">
        <is>
          <t>投資等級債的動能以股票訊號為主</t>
        </is>
      </c>
    </row>
    <row r="17">
      <c r="A17" s="1" t="n"/>
      <c r="B17" s="1" t="n"/>
      <c r="C17" s="1" t="n"/>
    </row>
    <row r="18">
      <c r="A18" s="8" t="inlineStr">
        <is>
          <t>加碼候選門檻（百分位 ≤）</t>
        </is>
      </c>
      <c r="B18" s="12" t="n">
        <v>0.2</v>
      </c>
      <c r="C18" s="7" t="inlineStr">
        <is>
          <t>評等分群內綜合分數前 20%</t>
        </is>
      </c>
    </row>
    <row r="19">
      <c r="A19" s="8" t="inlineStr">
        <is>
          <t>減碼候選門檻（百分位 &gt;）</t>
        </is>
      </c>
      <c r="B19" s="12" t="n">
        <v>0.8</v>
      </c>
      <c r="C19" s="7" t="inlineStr">
        <is>
          <t>評等分群內綜合分數後 20%</t>
        </is>
      </c>
    </row>
    <row r="20">
      <c r="A20" s="1" t="n"/>
      <c r="B20" s="1" t="n"/>
      <c r="C20" s="1" t="n"/>
    </row>
    <row r="21">
      <c r="A21" s="1" t="n"/>
      <c r="B21" s="1" t="n"/>
      <c r="C21" s="1" t="n"/>
    </row>
    <row r="22">
      <c r="A22" s="13" t="inlineStr">
        <is>
          <t>評等對照表</t>
        </is>
      </c>
      <c r="B22" s="1" t="n"/>
      <c r="C22" s="1" t="n"/>
    </row>
    <row r="23">
      <c r="A23" s="14" t="inlineStr">
        <is>
          <t>評等（BB_COMPOSITE）</t>
        </is>
      </c>
      <c r="B23" s="14" t="inlineStr">
        <is>
          <t>評等分數</t>
        </is>
      </c>
      <c r="C23" s="14" t="inlineStr">
        <is>
          <t>評等分群</t>
        </is>
      </c>
    </row>
    <row r="24">
      <c r="A24" s="15" t="inlineStr">
        <is>
          <t>AAA</t>
        </is>
      </c>
      <c r="B24" s="15" t="n">
        <v>1</v>
      </c>
      <c r="C24" s="15" t="inlineStr">
        <is>
          <t>AA以上</t>
        </is>
      </c>
    </row>
    <row r="25">
      <c r="A25" s="15" t="inlineStr">
        <is>
          <t>AA+</t>
        </is>
      </c>
      <c r="B25" s="15" t="n">
        <v>2</v>
      </c>
      <c r="C25" s="15" t="inlineStr">
        <is>
          <t>AA以上</t>
        </is>
      </c>
    </row>
    <row r="26">
      <c r="A26" s="15" t="inlineStr">
        <is>
          <t>AA</t>
        </is>
      </c>
      <c r="B26" s="15" t="n">
        <v>3</v>
      </c>
      <c r="C26" s="15" t="inlineStr">
        <is>
          <t>AA以上</t>
        </is>
      </c>
    </row>
    <row r="27">
      <c r="A27" s="15" t="inlineStr">
        <is>
          <t>AA-</t>
        </is>
      </c>
      <c r="B27" s="15" t="n">
        <v>4</v>
      </c>
      <c r="C27" s="15" t="inlineStr">
        <is>
          <t>AA以上</t>
        </is>
      </c>
    </row>
    <row r="28">
      <c r="A28" s="15" t="inlineStr">
        <is>
          <t>A+</t>
        </is>
      </c>
      <c r="B28" s="15" t="n">
        <v>5</v>
      </c>
      <c r="C28" s="15" t="inlineStr">
        <is>
          <t>A</t>
        </is>
      </c>
    </row>
    <row r="29">
      <c r="A29" s="15" t="inlineStr">
        <is>
          <t>A</t>
        </is>
      </c>
      <c r="B29" s="15" t="n">
        <v>6</v>
      </c>
      <c r="C29" s="15" t="inlineStr">
        <is>
          <t>A</t>
        </is>
      </c>
    </row>
    <row r="30">
      <c r="A30" s="15" t="inlineStr">
        <is>
          <t>A-</t>
        </is>
      </c>
      <c r="B30" s="15" t="n">
        <v>7</v>
      </c>
      <c r="C30" s="15" t="inlineStr">
        <is>
          <t>A</t>
        </is>
      </c>
    </row>
    <row r="31">
      <c r="A31" s="15" t="inlineStr">
        <is>
          <t>BBB+</t>
        </is>
      </c>
      <c r="B31" s="15" t="n">
        <v>8</v>
      </c>
      <c r="C31" s="15" t="inlineStr">
        <is>
          <t>BBB</t>
        </is>
      </c>
    </row>
    <row r="32">
      <c r="A32" s="15" t="inlineStr">
        <is>
          <t>BBB</t>
        </is>
      </c>
      <c r="B32" s="15" t="n">
        <v>9</v>
      </c>
      <c r="C32" s="15" t="inlineStr">
        <is>
          <t>BBB</t>
        </is>
      </c>
    </row>
    <row r="33">
      <c r="A33" s="15" t="inlineStr">
        <is>
          <t>BBB-</t>
        </is>
      </c>
      <c r="B33" s="15" t="n">
        <v>10</v>
      </c>
      <c r="C33" s="15" t="inlineStr">
        <is>
          <t>BBB</t>
        </is>
      </c>
    </row>
    <row r="34">
      <c r="A34" s="15" t="inlineStr">
        <is>
          <t>BB+</t>
        </is>
      </c>
      <c r="B34" s="15" t="n">
        <v>11</v>
      </c>
      <c r="C34" s="15" t="inlineStr">
        <is>
          <t>HY</t>
        </is>
      </c>
    </row>
    <row r="35">
      <c r="A35" s="15" t="inlineStr">
        <is>
          <t>BB</t>
        </is>
      </c>
      <c r="B35" s="15" t="n">
        <v>12</v>
      </c>
      <c r="C35" s="15" t="inlineStr">
        <is>
          <t>HY</t>
        </is>
      </c>
    </row>
    <row r="36">
      <c r="A36" s="15" t="inlineStr">
        <is>
          <t>BB-</t>
        </is>
      </c>
      <c r="B36" s="15" t="n">
        <v>13</v>
      </c>
      <c r="C36" s="15" t="inlineStr">
        <is>
          <t>HY</t>
        </is>
      </c>
    </row>
    <row r="37">
      <c r="A37" s="15" t="inlineStr">
        <is>
          <t>B+</t>
        </is>
      </c>
      <c r="B37" s="15" t="n">
        <v>14</v>
      </c>
      <c r="C37" s="15" t="inlineStr">
        <is>
          <t>HY</t>
        </is>
      </c>
    </row>
    <row r="38">
      <c r="A38" s="15" t="inlineStr">
        <is>
          <t>B</t>
        </is>
      </c>
      <c r="B38" s="15" t="n">
        <v>15</v>
      </c>
      <c r="C38" s="15" t="inlineStr">
        <is>
          <t>HY</t>
        </is>
      </c>
    </row>
    <row r="39">
      <c r="A39" s="15" t="inlineStr">
        <is>
          <t>B-</t>
        </is>
      </c>
      <c r="B39" s="15" t="n">
        <v>16</v>
      </c>
      <c r="C39" s="15" t="inlineStr">
        <is>
          <t>HY</t>
        </is>
      </c>
    </row>
    <row r="40">
      <c r="A40" s="15" t="inlineStr">
        <is>
          <t>CCC+</t>
        </is>
      </c>
      <c r="B40" s="15" t="n">
        <v>17</v>
      </c>
      <c r="C40" s="15" t="inlineStr">
        <is>
          <t>HY</t>
        </is>
      </c>
    </row>
    <row r="41">
      <c r="A41" s="15" t="inlineStr">
        <is>
          <t>CCC</t>
        </is>
      </c>
      <c r="B41" s="15" t="n">
        <v>18</v>
      </c>
      <c r="C41" s="15" t="inlineStr">
        <is>
          <t>HY</t>
        </is>
      </c>
    </row>
    <row r="42">
      <c r="A42" s="15" t="inlineStr">
        <is>
          <t>CCC-</t>
        </is>
      </c>
      <c r="B42" s="15" t="n">
        <v>19</v>
      </c>
      <c r="C42" s="15" t="inlineStr">
        <is>
          <t>HY</t>
        </is>
      </c>
    </row>
    <row r="43">
      <c r="A43" s="15" t="inlineStr">
        <is>
          <t>CC</t>
        </is>
      </c>
      <c r="B43" s="15" t="n">
        <v>20</v>
      </c>
      <c r="C43" s="15" t="inlineStr">
        <is>
          <t>HY</t>
        </is>
      </c>
    </row>
    <row r="44">
      <c r="A44" s="15" t="inlineStr">
        <is>
          <t>C</t>
        </is>
      </c>
      <c r="B44" s="15" t="n">
        <v>21</v>
      </c>
      <c r="C44" s="15" t="inlineStr">
        <is>
          <t>HY</t>
        </is>
      </c>
    </row>
    <row r="45">
      <c r="A45" s="15" t="inlineStr">
        <is>
          <t>D</t>
        </is>
      </c>
      <c r="B45" s="15" t="n">
        <v>22</v>
      </c>
      <c r="C45" s="15" t="inlineStr">
        <is>
          <t>HY</t>
        </is>
      </c>
    </row>
    <row r="46">
      <c r="A46" s="7" t="inlineStr">
        <is>
          <t>評等分數：1 = AAA，數字越大評等越低。對照表以外的評等（例如 NR）不列入計算。</t>
        </is>
      </c>
      <c r="B46" s="1" t="n"/>
      <c r="C46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2" customWidth="1" min="4" max="4"/>
    <col width="36" customWidth="1" min="5" max="5"/>
    <col width="1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8" customWidth="1" min="15" max="15"/>
    <col width="11" customWidth="1" min="16" max="16"/>
    <col width="11" customWidth="1" min="17" max="17"/>
    <col width="11" customWidth="1" min="18" max="18"/>
    <col width="12" customWidth="1" min="19" max="19"/>
    <col width="9" customWidth="1" min="20" max="20"/>
    <col width="14" customWidth="1" min="21" max="21"/>
    <col width="11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6" t="inlineStr">
        <is>
          <t>發行人：AI 相關主流公司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7" t="inlineStr">
        <is>
          <t>A–E 欄可自行增刪（黃底）。D 欄要和債券的 TICKER 一致才能對應；標「請確認」的請在終端機用 DES 查發債主體代碼。財報欄位以美元覆寫 (EQY_FUND_CRNCY=USD)，單位為百萬美元。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7" t="inlineStr">
        <is>
          <t>彭博欄位 →</t>
        </is>
      </c>
      <c r="B3" s="1" t="n"/>
      <c r="C3" s="1" t="n"/>
      <c r="D3" s="1" t="n"/>
      <c r="E3" s="1" t="n"/>
      <c r="F3" s="16" t="inlineStr">
        <is>
          <t>CUR_MKT_CAP</t>
        </is>
      </c>
      <c r="G3" s="16" t="inlineStr">
        <is>
          <t>CHG_PCT_6M</t>
        </is>
      </c>
      <c r="H3" s="16" t="inlineStr">
        <is>
          <t>VOLATILITY_90D</t>
        </is>
      </c>
      <c r="I3" s="16" t="inlineStr">
        <is>
          <t>SALES_REV_TURN</t>
        </is>
      </c>
      <c r="J3" s="16" t="inlineStr">
        <is>
          <t>CAPITAL_EXPEND</t>
        </is>
      </c>
      <c r="K3" s="16" t="inlineStr">
        <is>
          <t>CF_FREE_CASH_FLOW</t>
        </is>
      </c>
      <c r="L3" s="16" t="inlineStr">
        <is>
          <t>SHORT_AND_LONG_TERM_DEBT</t>
        </is>
      </c>
      <c r="M3" s="16" t="inlineStr">
        <is>
          <t>NET_DEBT</t>
        </is>
      </c>
      <c r="N3" s="16" t="inlineStr">
        <is>
          <t>EBITDA</t>
        </is>
      </c>
      <c r="O3" s="16" t="inlineStr">
        <is>
          <t>CDS_SPREAD_TICKER_5Y</t>
        </is>
      </c>
      <c r="P3" s="16" t="inlineStr">
        <is>
          <t>PX_LAST</t>
        </is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42" customHeight="1">
      <c r="A4" s="14" t="inlineStr">
        <is>
          <t>分類</t>
        </is>
      </c>
      <c r="B4" s="14" t="inlineStr">
        <is>
          <t>公司</t>
        </is>
      </c>
      <c r="C4" s="14" t="inlineStr">
        <is>
          <t>股票代碼</t>
        </is>
      </c>
      <c r="D4" s="14" t="inlineStr">
        <is>
          <t>債券 Ticker</t>
        </is>
      </c>
      <c r="E4" s="14" t="inlineStr">
        <is>
          <t>備註</t>
        </is>
      </c>
      <c r="F4" s="14" t="inlineStr">
        <is>
          <t>市值
(百萬 USD)</t>
        </is>
      </c>
      <c r="G4" s="14" t="inlineStr">
        <is>
          <t>股價 6M
報酬 (%)</t>
        </is>
      </c>
      <c r="H4" s="14" t="inlineStr">
        <is>
          <t>90 天
波動度 (%)</t>
        </is>
      </c>
      <c r="I4" s="14" t="inlineStr">
        <is>
          <t>營收</t>
        </is>
      </c>
      <c r="J4" s="14" t="inlineStr">
        <is>
          <t>資本支出</t>
        </is>
      </c>
      <c r="K4" s="14" t="inlineStr">
        <is>
          <t>自由現金流</t>
        </is>
      </c>
      <c r="L4" s="14" t="inlineStr">
        <is>
          <t>總負債</t>
        </is>
      </c>
      <c r="M4" s="14" t="inlineStr">
        <is>
          <t>淨負債</t>
        </is>
      </c>
      <c r="N4" s="14" t="inlineStr">
        <is>
          <t>EBITDA</t>
        </is>
      </c>
      <c r="O4" s="14" t="inlineStr">
        <is>
          <t>CDS 5Y 代碼</t>
        </is>
      </c>
      <c r="P4" s="14" t="inlineStr">
        <is>
          <t>CDS 5Y (bp)</t>
        </is>
      </c>
      <c r="Q4" s="14" t="inlineStr">
        <is>
          <t>淨負債 /
EBITDA (x)</t>
        </is>
      </c>
      <c r="R4" s="14" t="inlineStr">
        <is>
          <t>資本支出 /
營收</t>
        </is>
      </c>
      <c r="S4" s="14" t="inlineStr">
        <is>
          <t>自由現金流 /
總負債</t>
        </is>
      </c>
      <c r="T4" s="14" t="inlineStr">
        <is>
          <t>債券檔數</t>
        </is>
      </c>
      <c r="U4" s="14" t="inlineStr">
        <is>
          <t>流通在外合計
(百萬 USD)</t>
        </is>
      </c>
      <c r="V4" s="14" t="inlineStr">
        <is>
          <t>加權平均
OAS (bp)</t>
        </is>
      </c>
      <c r="W4" s="14" t="inlineStr">
        <is>
          <t>加權平均
DTS</t>
        </is>
      </c>
      <c r="X4" s="14" t="inlineStr">
        <is>
          <t>平均
綜合分數</t>
        </is>
      </c>
      <c r="Y4" s="14" t="inlineStr">
        <is>
          <t>加碼候選
檔數</t>
        </is>
      </c>
      <c r="Z4" s="14" t="inlineStr">
        <is>
          <t>減碼候選
檔數</t>
        </is>
      </c>
    </row>
    <row r="5">
      <c r="A5" s="16" t="inlineStr">
        <is>
          <t>超大型雲端</t>
        </is>
      </c>
      <c r="B5" s="16" t="inlineStr">
        <is>
          <t>Microsoft</t>
        </is>
      </c>
      <c r="C5" s="16" t="inlineStr">
        <is>
          <t>MSFT US Equity</t>
        </is>
      </c>
      <c r="D5" s="16" t="inlineStr">
        <is>
          <t>MSFT</t>
        </is>
      </c>
      <c r="E5" s="16" t="inlineStr">
        <is>
          <t>AAA 級，發債量少</t>
        </is>
      </c>
      <c r="F5" s="17">
        <f>IF($C5="","",BDP($C5,F$3))</f>
        <v/>
      </c>
      <c r="G5" s="18">
        <f>IF($C5="","",BDP($C5,G$3))</f>
        <v/>
      </c>
      <c r="H5" s="18">
        <f>IF($C5="","",BDP($C5,H$3))</f>
        <v/>
      </c>
      <c r="I5" s="17">
        <f>IF($C5="","",BDP($C5,I$3,"EQY_FUND_CRNCY","USD"))</f>
        <v/>
      </c>
      <c r="J5" s="19">
        <f>IF($C5="","",BDP($C5,J$3,"EQY_FUND_CRNCY","USD"))</f>
        <v/>
      </c>
      <c r="K5" s="19">
        <f>IF($C5="","",BDP($C5,K$3,"EQY_FUND_CRNCY","USD"))</f>
        <v/>
      </c>
      <c r="L5" s="17">
        <f>IF($C5="","",BDP($C5,L$3,"EQY_FUND_CRNCY","USD"))</f>
        <v/>
      </c>
      <c r="M5" s="19">
        <f>IF($C5="","",BDP($C5,M$3,"EQY_FUND_CRNCY","USD"))</f>
        <v/>
      </c>
      <c r="N5" s="19">
        <f>IF($C5="","",BDP($C5,N$3,"EQY_FUND_CRNCY","USD"))</f>
        <v/>
      </c>
      <c r="O5" s="18">
        <f>IF($C5="","",BDP($C5,O$3))</f>
        <v/>
      </c>
      <c r="P5" s="18">
        <f>IF(LEFT($O5,1)="#","",IF($O5="","",BDP($O5,P$3)))</f>
        <v/>
      </c>
      <c r="Q5" s="20">
        <f>IF(AND(ISNUMBER($M5),ISNUMBER($N5)),IF($N5&gt;0,$M5/$N5,""),"")</f>
        <v/>
      </c>
      <c r="R5" s="21">
        <f>IF(AND(ISNUMBER($J5),ISNUMBER($I5)),IF($I5&gt;0,ABS($J5)/$I5,""),"")</f>
        <v/>
      </c>
      <c r="S5" s="21">
        <f>IF(AND(ISNUMBER($K5),ISNUMBER($L5)),IF($L5&gt;0,$K5/$L5,""),"")</f>
        <v/>
      </c>
      <c r="T5" s="22">
        <f>IF($D5="","",COUNTIFS('債券'!$B$5:$B$404,$D5,'債券'!$Y$5:$Y$404,1))</f>
        <v/>
      </c>
      <c r="U5" s="23">
        <f>IF($D5="","",SUMPRODUCT(('債券'!$B$5:$B$404=$D5)*('債券'!$Y$5:$Y$404=1)*'債券'!$AV$5:$AV$404)/1E6)</f>
        <v/>
      </c>
      <c r="V5" s="24">
        <f>IF($D5="","",IF(SUMPRODUCT(('債券'!$B$5:$B$404=$D5)*('債券'!$Y$5:$Y$404=1)*'債券'!$AV$5:$AV$404)&gt;0,SUMPRODUCT(('債券'!$B$5:$B$404=$D5)*('債券'!$Y$5:$Y$404=1)*'債券'!$AV$5:$AV$404*'債券'!$AT$5:$AT$404)/SUMPRODUCT(('債券'!$B$5:$B$404=$D5)*('債券'!$Y$5:$Y$404=1)*'債券'!$AV$5:$AV$404),""))</f>
        <v/>
      </c>
      <c r="W5" s="24">
        <f>IF($D5="","",IF(SUMPRODUCT(('債券'!$B$5:$B$404=$D5)*('債券'!$Y$5:$Y$404=1)*'債券'!$AV$5:$AV$404)&gt;0,SUMPRODUCT(('債券'!$B$5:$B$404=$D5)*('債券'!$Y$5:$Y$404=1)*'債券'!$AV$5:$AV$404*'債券'!$AW$5:$AW$404)/SUMPRODUCT(('債券'!$B$5:$B$404=$D5)*('債券'!$Y$5:$Y$404=1)*'債券'!$AV$5:$AV$404),""))</f>
        <v/>
      </c>
      <c r="X5" s="25">
        <f>IF($D5="","",IFERROR(AVERAGEIFS('債券'!$AQ$5:$AQ$404,'債券'!$B$5:$B$404,$D5,'債券'!$Y$5:$Y$404,1),""))</f>
        <v/>
      </c>
      <c r="Y5" s="22">
        <f>IF($D5="","",COUNTIFS('債券'!$B$5:$B$404,$D5,'債券'!$AS$5:$AS$404,"加碼候選"))</f>
        <v/>
      </c>
      <c r="Z5" s="22">
        <f>IF($D5="","",COUNTIFS('債券'!$B$5:$B$404,$D5,'債券'!$AS$5:$AS$404,"減碼候選"))</f>
        <v/>
      </c>
    </row>
    <row r="6">
      <c r="A6" s="16" t="inlineStr">
        <is>
          <t>超大型雲端</t>
        </is>
      </c>
      <c r="B6" s="16" t="inlineStr">
        <is>
          <t>Alphabet</t>
        </is>
      </c>
      <c r="C6" s="16" t="inlineStr">
        <is>
          <t>GOOGL US Equity</t>
        </is>
      </c>
      <c r="D6" s="16" t="inlineStr">
        <is>
          <t>GOOGL</t>
        </is>
      </c>
      <c r="E6" s="16" t="inlineStr">
        <is>
          <t>AI 資本支出擴大後恢復發債</t>
        </is>
      </c>
      <c r="F6" s="17">
        <f>IF($C6="","",BDP($C6,F$3))</f>
        <v/>
      </c>
      <c r="G6" s="18">
        <f>IF($C6="","",BDP($C6,G$3))</f>
        <v/>
      </c>
      <c r="H6" s="18">
        <f>IF($C6="","",BDP($C6,H$3))</f>
        <v/>
      </c>
      <c r="I6" s="17">
        <f>IF($C6="","",BDP($C6,I$3,"EQY_FUND_CRNCY","USD"))</f>
        <v/>
      </c>
      <c r="J6" s="19">
        <f>IF($C6="","",BDP($C6,J$3,"EQY_FUND_CRNCY","USD"))</f>
        <v/>
      </c>
      <c r="K6" s="19">
        <f>IF($C6="","",BDP($C6,K$3,"EQY_FUND_CRNCY","USD"))</f>
        <v/>
      </c>
      <c r="L6" s="17">
        <f>IF($C6="","",BDP($C6,L$3,"EQY_FUND_CRNCY","USD"))</f>
        <v/>
      </c>
      <c r="M6" s="19">
        <f>IF($C6="","",BDP($C6,M$3,"EQY_FUND_CRNCY","USD"))</f>
        <v/>
      </c>
      <c r="N6" s="19">
        <f>IF($C6="","",BDP($C6,N$3,"EQY_FUND_CRNCY","USD"))</f>
        <v/>
      </c>
      <c r="O6" s="18">
        <f>IF($C6="","",BDP($C6,O$3))</f>
        <v/>
      </c>
      <c r="P6" s="18">
        <f>IF(LEFT($O6,1)="#","",IF($O6="","",BDP($O6,P$3)))</f>
        <v/>
      </c>
      <c r="Q6" s="20">
        <f>IF(AND(ISNUMBER($M6),ISNUMBER($N6)),IF($N6&gt;0,$M6/$N6,""),"")</f>
        <v/>
      </c>
      <c r="R6" s="21">
        <f>IF(AND(ISNUMBER($J6),ISNUMBER($I6)),IF($I6&gt;0,ABS($J6)/$I6,""),"")</f>
        <v/>
      </c>
      <c r="S6" s="21">
        <f>IF(AND(ISNUMBER($K6),ISNUMBER($L6)),IF($L6&gt;0,$K6/$L6,""),"")</f>
        <v/>
      </c>
      <c r="T6" s="22">
        <f>IF($D6="","",COUNTIFS('債券'!$B$5:$B$404,$D6,'債券'!$Y$5:$Y$404,1))</f>
        <v/>
      </c>
      <c r="U6" s="23">
        <f>IF($D6="","",SUMPRODUCT(('債券'!$B$5:$B$404=$D6)*('債券'!$Y$5:$Y$404=1)*'債券'!$AV$5:$AV$404)/1E6)</f>
        <v/>
      </c>
      <c r="V6" s="24">
        <f>IF($D6="","",IF(SUMPRODUCT(('債券'!$B$5:$B$404=$D6)*('債券'!$Y$5:$Y$404=1)*'債券'!$AV$5:$AV$404)&gt;0,SUMPRODUCT(('債券'!$B$5:$B$404=$D6)*('債券'!$Y$5:$Y$404=1)*'債券'!$AV$5:$AV$404*'債券'!$AT$5:$AT$404)/SUMPRODUCT(('債券'!$B$5:$B$404=$D6)*('債券'!$Y$5:$Y$404=1)*'債券'!$AV$5:$AV$404),""))</f>
        <v/>
      </c>
      <c r="W6" s="24">
        <f>IF($D6="","",IF(SUMPRODUCT(('債券'!$B$5:$B$404=$D6)*('債券'!$Y$5:$Y$404=1)*'債券'!$AV$5:$AV$404)&gt;0,SUMPRODUCT(('債券'!$B$5:$B$404=$D6)*('債券'!$Y$5:$Y$404=1)*'債券'!$AV$5:$AV$404*'債券'!$AW$5:$AW$404)/SUMPRODUCT(('債券'!$B$5:$B$404=$D6)*('債券'!$Y$5:$Y$404=1)*'債券'!$AV$5:$AV$404),""))</f>
        <v/>
      </c>
      <c r="X6" s="25">
        <f>IF($D6="","",IFERROR(AVERAGEIFS('債券'!$AQ$5:$AQ$404,'債券'!$B$5:$B$404,$D6,'債券'!$Y$5:$Y$404,1),""))</f>
        <v/>
      </c>
      <c r="Y6" s="22">
        <f>IF($D6="","",COUNTIFS('債券'!$B$5:$B$404,$D6,'債券'!$AS$5:$AS$404,"加碼候選"))</f>
        <v/>
      </c>
      <c r="Z6" s="22">
        <f>IF($D6="","",COUNTIFS('債券'!$B$5:$B$404,$D6,'債券'!$AS$5:$AS$404,"減碼候選"))</f>
        <v/>
      </c>
    </row>
    <row r="7">
      <c r="A7" s="16" t="inlineStr">
        <is>
          <t>超大型雲端</t>
        </is>
      </c>
      <c r="B7" s="16" t="inlineStr">
        <is>
          <t>Amazon</t>
        </is>
      </c>
      <c r="C7" s="16" t="inlineStr">
        <is>
          <t>AMZN US Equity</t>
        </is>
      </c>
      <c r="D7" s="16" t="inlineStr">
        <is>
          <t>AMZN</t>
        </is>
      </c>
      <c r="E7" s="16" t="inlineStr"/>
      <c r="F7" s="17">
        <f>IF($C7="","",BDP($C7,F$3))</f>
        <v/>
      </c>
      <c r="G7" s="18">
        <f>IF($C7="","",BDP($C7,G$3))</f>
        <v/>
      </c>
      <c r="H7" s="18">
        <f>IF($C7="","",BDP($C7,H$3))</f>
        <v/>
      </c>
      <c r="I7" s="17">
        <f>IF($C7="","",BDP($C7,I$3,"EQY_FUND_CRNCY","USD"))</f>
        <v/>
      </c>
      <c r="J7" s="19">
        <f>IF($C7="","",BDP($C7,J$3,"EQY_FUND_CRNCY","USD"))</f>
        <v/>
      </c>
      <c r="K7" s="19">
        <f>IF($C7="","",BDP($C7,K$3,"EQY_FUND_CRNCY","USD"))</f>
        <v/>
      </c>
      <c r="L7" s="17">
        <f>IF($C7="","",BDP($C7,L$3,"EQY_FUND_CRNCY","USD"))</f>
        <v/>
      </c>
      <c r="M7" s="19">
        <f>IF($C7="","",BDP($C7,M$3,"EQY_FUND_CRNCY","USD"))</f>
        <v/>
      </c>
      <c r="N7" s="19">
        <f>IF($C7="","",BDP($C7,N$3,"EQY_FUND_CRNCY","USD"))</f>
        <v/>
      </c>
      <c r="O7" s="18">
        <f>IF($C7="","",BDP($C7,O$3))</f>
        <v/>
      </c>
      <c r="P7" s="18">
        <f>IF(LEFT($O7,1)="#","",IF($O7="","",BDP($O7,P$3)))</f>
        <v/>
      </c>
      <c r="Q7" s="20">
        <f>IF(AND(ISNUMBER($M7),ISNUMBER($N7)),IF($N7&gt;0,$M7/$N7,""),"")</f>
        <v/>
      </c>
      <c r="R7" s="21">
        <f>IF(AND(ISNUMBER($J7),ISNUMBER($I7)),IF($I7&gt;0,ABS($J7)/$I7,""),"")</f>
        <v/>
      </c>
      <c r="S7" s="21">
        <f>IF(AND(ISNUMBER($K7),ISNUMBER($L7)),IF($L7&gt;0,$K7/$L7,""),"")</f>
        <v/>
      </c>
      <c r="T7" s="22">
        <f>IF($D7="","",COUNTIFS('債券'!$B$5:$B$404,$D7,'債券'!$Y$5:$Y$404,1))</f>
        <v/>
      </c>
      <c r="U7" s="23">
        <f>IF($D7="","",SUMPRODUCT(('債券'!$B$5:$B$404=$D7)*('債券'!$Y$5:$Y$404=1)*'債券'!$AV$5:$AV$404)/1E6)</f>
        <v/>
      </c>
      <c r="V7" s="24">
        <f>IF($D7="","",IF(SUMPRODUCT(('債券'!$B$5:$B$404=$D7)*('債券'!$Y$5:$Y$404=1)*'債券'!$AV$5:$AV$404)&gt;0,SUMPRODUCT(('債券'!$B$5:$B$404=$D7)*('債券'!$Y$5:$Y$404=1)*'債券'!$AV$5:$AV$404*'債券'!$AT$5:$AT$404)/SUMPRODUCT(('債券'!$B$5:$B$404=$D7)*('債券'!$Y$5:$Y$404=1)*'債券'!$AV$5:$AV$404),""))</f>
        <v/>
      </c>
      <c r="W7" s="24">
        <f>IF($D7="","",IF(SUMPRODUCT(('債券'!$B$5:$B$404=$D7)*('債券'!$Y$5:$Y$404=1)*'債券'!$AV$5:$AV$404)&gt;0,SUMPRODUCT(('債券'!$B$5:$B$404=$D7)*('債券'!$Y$5:$Y$404=1)*'債券'!$AV$5:$AV$404*'債券'!$AW$5:$AW$404)/SUMPRODUCT(('債券'!$B$5:$B$404=$D7)*('債券'!$Y$5:$Y$404=1)*'債券'!$AV$5:$AV$404),""))</f>
        <v/>
      </c>
      <c r="X7" s="25">
        <f>IF($D7="","",IFERROR(AVERAGEIFS('債券'!$AQ$5:$AQ$404,'債券'!$B$5:$B$404,$D7,'債券'!$Y$5:$Y$404,1),""))</f>
        <v/>
      </c>
      <c r="Y7" s="22">
        <f>IF($D7="","",COUNTIFS('債券'!$B$5:$B$404,$D7,'債券'!$AS$5:$AS$404,"加碼候選"))</f>
        <v/>
      </c>
      <c r="Z7" s="22">
        <f>IF($D7="","",COUNTIFS('債券'!$B$5:$B$404,$D7,'債券'!$AS$5:$AS$404,"減碼候選"))</f>
        <v/>
      </c>
    </row>
    <row r="8">
      <c r="A8" s="16" t="inlineStr">
        <is>
          <t>超大型雲端</t>
        </is>
      </c>
      <c r="B8" s="16" t="inlineStr">
        <is>
          <t>Meta Platforms</t>
        </is>
      </c>
      <c r="C8" s="16" t="inlineStr">
        <is>
          <t>META US Equity</t>
        </is>
      </c>
      <c r="D8" s="16" t="inlineStr">
        <is>
          <t>META</t>
        </is>
      </c>
      <c r="E8" s="16" t="inlineStr">
        <is>
          <t>大量發債支應資料中心；另有表外 SPV 融資</t>
        </is>
      </c>
      <c r="F8" s="17">
        <f>IF($C8="","",BDP($C8,F$3))</f>
        <v/>
      </c>
      <c r="G8" s="18">
        <f>IF($C8="","",BDP($C8,G$3))</f>
        <v/>
      </c>
      <c r="H8" s="18">
        <f>IF($C8="","",BDP($C8,H$3))</f>
        <v/>
      </c>
      <c r="I8" s="17">
        <f>IF($C8="","",BDP($C8,I$3,"EQY_FUND_CRNCY","USD"))</f>
        <v/>
      </c>
      <c r="J8" s="19">
        <f>IF($C8="","",BDP($C8,J$3,"EQY_FUND_CRNCY","USD"))</f>
        <v/>
      </c>
      <c r="K8" s="19">
        <f>IF($C8="","",BDP($C8,K$3,"EQY_FUND_CRNCY","USD"))</f>
        <v/>
      </c>
      <c r="L8" s="17">
        <f>IF($C8="","",BDP($C8,L$3,"EQY_FUND_CRNCY","USD"))</f>
        <v/>
      </c>
      <c r="M8" s="19">
        <f>IF($C8="","",BDP($C8,M$3,"EQY_FUND_CRNCY","USD"))</f>
        <v/>
      </c>
      <c r="N8" s="19">
        <f>IF($C8="","",BDP($C8,N$3,"EQY_FUND_CRNCY","USD"))</f>
        <v/>
      </c>
      <c r="O8" s="18">
        <f>IF($C8="","",BDP($C8,O$3))</f>
        <v/>
      </c>
      <c r="P8" s="18">
        <f>IF(LEFT($O8,1)="#","",IF($O8="","",BDP($O8,P$3)))</f>
        <v/>
      </c>
      <c r="Q8" s="20">
        <f>IF(AND(ISNUMBER($M8),ISNUMBER($N8)),IF($N8&gt;0,$M8/$N8,""),"")</f>
        <v/>
      </c>
      <c r="R8" s="21">
        <f>IF(AND(ISNUMBER($J8),ISNUMBER($I8)),IF($I8&gt;0,ABS($J8)/$I8,""),"")</f>
        <v/>
      </c>
      <c r="S8" s="21">
        <f>IF(AND(ISNUMBER($K8),ISNUMBER($L8)),IF($L8&gt;0,$K8/$L8,""),"")</f>
        <v/>
      </c>
      <c r="T8" s="22">
        <f>IF($D8="","",COUNTIFS('債券'!$B$5:$B$404,$D8,'債券'!$Y$5:$Y$404,1))</f>
        <v/>
      </c>
      <c r="U8" s="23">
        <f>IF($D8="","",SUMPRODUCT(('債券'!$B$5:$B$404=$D8)*('債券'!$Y$5:$Y$404=1)*'債券'!$AV$5:$AV$404)/1E6)</f>
        <v/>
      </c>
      <c r="V8" s="24">
        <f>IF($D8="","",IF(SUMPRODUCT(('債券'!$B$5:$B$404=$D8)*('債券'!$Y$5:$Y$404=1)*'債券'!$AV$5:$AV$404)&gt;0,SUMPRODUCT(('債券'!$B$5:$B$404=$D8)*('債券'!$Y$5:$Y$404=1)*'債券'!$AV$5:$AV$404*'債券'!$AT$5:$AT$404)/SUMPRODUCT(('債券'!$B$5:$B$404=$D8)*('債券'!$Y$5:$Y$404=1)*'債券'!$AV$5:$AV$404),""))</f>
        <v/>
      </c>
      <c r="W8" s="24">
        <f>IF($D8="","",IF(SUMPRODUCT(('債券'!$B$5:$B$404=$D8)*('債券'!$Y$5:$Y$404=1)*'債券'!$AV$5:$AV$404)&gt;0,SUMPRODUCT(('債券'!$B$5:$B$404=$D8)*('債券'!$Y$5:$Y$404=1)*'債券'!$AV$5:$AV$404*'債券'!$AW$5:$AW$404)/SUMPRODUCT(('債券'!$B$5:$B$404=$D8)*('債券'!$Y$5:$Y$404=1)*'債券'!$AV$5:$AV$404),""))</f>
        <v/>
      </c>
      <c r="X8" s="25">
        <f>IF($D8="","",IFERROR(AVERAGEIFS('債券'!$AQ$5:$AQ$404,'債券'!$B$5:$B$404,$D8,'債券'!$Y$5:$Y$404,1),""))</f>
        <v/>
      </c>
      <c r="Y8" s="22">
        <f>IF($D8="","",COUNTIFS('債券'!$B$5:$B$404,$D8,'債券'!$AS$5:$AS$404,"加碼候選"))</f>
        <v/>
      </c>
      <c r="Z8" s="22">
        <f>IF($D8="","",COUNTIFS('債券'!$B$5:$B$404,$D8,'債券'!$AS$5:$AS$404,"減碼候選"))</f>
        <v/>
      </c>
    </row>
    <row r="9">
      <c r="A9" s="16" t="inlineStr">
        <is>
          <t>超大型雲端</t>
        </is>
      </c>
      <c r="B9" s="16" t="inlineStr">
        <is>
          <t>Oracle</t>
        </is>
      </c>
      <c r="C9" s="16" t="inlineStr">
        <is>
          <t>ORCL US Equity</t>
        </is>
      </c>
      <c r="D9" s="16" t="inlineStr">
        <is>
          <t>ORCL</t>
        </is>
      </c>
      <c r="E9" s="16" t="inlineStr">
        <is>
          <t>槓桿高、AI 資本支出靠舉債，留意評等與 CDS</t>
        </is>
      </c>
      <c r="F9" s="17">
        <f>IF($C9="","",BDP($C9,F$3))</f>
        <v/>
      </c>
      <c r="G9" s="18">
        <f>IF($C9="","",BDP($C9,G$3))</f>
        <v/>
      </c>
      <c r="H9" s="18">
        <f>IF($C9="","",BDP($C9,H$3))</f>
        <v/>
      </c>
      <c r="I9" s="17">
        <f>IF($C9="","",BDP($C9,I$3,"EQY_FUND_CRNCY","USD"))</f>
        <v/>
      </c>
      <c r="J9" s="19">
        <f>IF($C9="","",BDP($C9,J$3,"EQY_FUND_CRNCY","USD"))</f>
        <v/>
      </c>
      <c r="K9" s="19">
        <f>IF($C9="","",BDP($C9,K$3,"EQY_FUND_CRNCY","USD"))</f>
        <v/>
      </c>
      <c r="L9" s="17">
        <f>IF($C9="","",BDP($C9,L$3,"EQY_FUND_CRNCY","USD"))</f>
        <v/>
      </c>
      <c r="M9" s="19">
        <f>IF($C9="","",BDP($C9,M$3,"EQY_FUND_CRNCY","USD"))</f>
        <v/>
      </c>
      <c r="N9" s="19">
        <f>IF($C9="","",BDP($C9,N$3,"EQY_FUND_CRNCY","USD"))</f>
        <v/>
      </c>
      <c r="O9" s="18">
        <f>IF($C9="","",BDP($C9,O$3))</f>
        <v/>
      </c>
      <c r="P9" s="18">
        <f>IF(LEFT($O9,1)="#","",IF($O9="","",BDP($O9,P$3)))</f>
        <v/>
      </c>
      <c r="Q9" s="20">
        <f>IF(AND(ISNUMBER($M9),ISNUMBER($N9)),IF($N9&gt;0,$M9/$N9,""),"")</f>
        <v/>
      </c>
      <c r="R9" s="21">
        <f>IF(AND(ISNUMBER($J9),ISNUMBER($I9)),IF($I9&gt;0,ABS($J9)/$I9,""),"")</f>
        <v/>
      </c>
      <c r="S9" s="21">
        <f>IF(AND(ISNUMBER($K9),ISNUMBER($L9)),IF($L9&gt;0,$K9/$L9,""),"")</f>
        <v/>
      </c>
      <c r="T9" s="22">
        <f>IF($D9="","",COUNTIFS('債券'!$B$5:$B$404,$D9,'債券'!$Y$5:$Y$404,1))</f>
        <v/>
      </c>
      <c r="U9" s="23">
        <f>IF($D9="","",SUMPRODUCT(('債券'!$B$5:$B$404=$D9)*('債券'!$Y$5:$Y$404=1)*'債券'!$AV$5:$AV$404)/1E6)</f>
        <v/>
      </c>
      <c r="V9" s="24">
        <f>IF($D9="","",IF(SUMPRODUCT(('債券'!$B$5:$B$404=$D9)*('債券'!$Y$5:$Y$404=1)*'債券'!$AV$5:$AV$404)&gt;0,SUMPRODUCT(('債券'!$B$5:$B$404=$D9)*('債券'!$Y$5:$Y$404=1)*'債券'!$AV$5:$AV$404*'債券'!$AT$5:$AT$404)/SUMPRODUCT(('債券'!$B$5:$B$404=$D9)*('債券'!$Y$5:$Y$404=1)*'債券'!$AV$5:$AV$404),""))</f>
        <v/>
      </c>
      <c r="W9" s="24">
        <f>IF($D9="","",IF(SUMPRODUCT(('債券'!$B$5:$B$404=$D9)*('債券'!$Y$5:$Y$404=1)*'債券'!$AV$5:$AV$404)&gt;0,SUMPRODUCT(('債券'!$B$5:$B$404=$D9)*('債券'!$Y$5:$Y$404=1)*'債券'!$AV$5:$AV$404*'債券'!$AW$5:$AW$404)/SUMPRODUCT(('債券'!$B$5:$B$404=$D9)*('債券'!$Y$5:$Y$404=1)*'債券'!$AV$5:$AV$404),""))</f>
        <v/>
      </c>
      <c r="X9" s="25">
        <f>IF($D9="","",IFERROR(AVERAGEIFS('債券'!$AQ$5:$AQ$404,'債券'!$B$5:$B$404,$D9,'債券'!$Y$5:$Y$404,1),""))</f>
        <v/>
      </c>
      <c r="Y9" s="22">
        <f>IF($D9="","",COUNTIFS('債券'!$B$5:$B$404,$D9,'債券'!$AS$5:$AS$404,"加碼候選"))</f>
        <v/>
      </c>
      <c r="Z9" s="22">
        <f>IF($D9="","",COUNTIFS('債券'!$B$5:$B$404,$D9,'債券'!$AS$5:$AS$404,"減碼候選"))</f>
        <v/>
      </c>
    </row>
    <row r="10">
      <c r="A10" s="16" t="inlineStr">
        <is>
          <t>大型科技</t>
        </is>
      </c>
      <c r="B10" s="16" t="inlineStr">
        <is>
          <t>Apple</t>
        </is>
      </c>
      <c r="C10" s="16" t="inlineStr">
        <is>
          <t>AAPL US Equity</t>
        </is>
      </c>
      <c r="D10" s="16" t="inlineStr">
        <is>
          <t>AAPL</t>
        </is>
      </c>
      <c r="E10" s="16" t="inlineStr"/>
      <c r="F10" s="17">
        <f>IF($C10="","",BDP($C10,F$3))</f>
        <v/>
      </c>
      <c r="G10" s="18">
        <f>IF($C10="","",BDP($C10,G$3))</f>
        <v/>
      </c>
      <c r="H10" s="18">
        <f>IF($C10="","",BDP($C10,H$3))</f>
        <v/>
      </c>
      <c r="I10" s="17">
        <f>IF($C10="","",BDP($C10,I$3,"EQY_FUND_CRNCY","USD"))</f>
        <v/>
      </c>
      <c r="J10" s="19">
        <f>IF($C10="","",BDP($C10,J$3,"EQY_FUND_CRNCY","USD"))</f>
        <v/>
      </c>
      <c r="K10" s="19">
        <f>IF($C10="","",BDP($C10,K$3,"EQY_FUND_CRNCY","USD"))</f>
        <v/>
      </c>
      <c r="L10" s="17">
        <f>IF($C10="","",BDP($C10,L$3,"EQY_FUND_CRNCY","USD"))</f>
        <v/>
      </c>
      <c r="M10" s="19">
        <f>IF($C10="","",BDP($C10,M$3,"EQY_FUND_CRNCY","USD"))</f>
        <v/>
      </c>
      <c r="N10" s="19">
        <f>IF($C10="","",BDP($C10,N$3,"EQY_FUND_CRNCY","USD"))</f>
        <v/>
      </c>
      <c r="O10" s="18">
        <f>IF($C10="","",BDP($C10,O$3))</f>
        <v/>
      </c>
      <c r="P10" s="18">
        <f>IF(LEFT($O10,1)="#","",IF($O10="","",BDP($O10,P$3)))</f>
        <v/>
      </c>
      <c r="Q10" s="20">
        <f>IF(AND(ISNUMBER($M10),ISNUMBER($N10)),IF($N10&gt;0,$M10/$N10,""),"")</f>
        <v/>
      </c>
      <c r="R10" s="21">
        <f>IF(AND(ISNUMBER($J10),ISNUMBER($I10)),IF($I10&gt;0,ABS($J10)/$I10,""),"")</f>
        <v/>
      </c>
      <c r="S10" s="21">
        <f>IF(AND(ISNUMBER($K10),ISNUMBER($L10)),IF($L10&gt;0,$K10/$L10,""),"")</f>
        <v/>
      </c>
      <c r="T10" s="22">
        <f>IF($D10="","",COUNTIFS('債券'!$B$5:$B$404,$D10,'債券'!$Y$5:$Y$404,1))</f>
        <v/>
      </c>
      <c r="U10" s="23">
        <f>IF($D10="","",SUMPRODUCT(('債券'!$B$5:$B$404=$D10)*('債券'!$Y$5:$Y$404=1)*'債券'!$AV$5:$AV$404)/1E6)</f>
        <v/>
      </c>
      <c r="V10" s="24">
        <f>IF($D10="","",IF(SUMPRODUCT(('債券'!$B$5:$B$404=$D10)*('債券'!$Y$5:$Y$404=1)*'債券'!$AV$5:$AV$404)&gt;0,SUMPRODUCT(('債券'!$B$5:$B$404=$D10)*('債券'!$Y$5:$Y$404=1)*'債券'!$AV$5:$AV$404*'債券'!$AT$5:$AT$404)/SUMPRODUCT(('債券'!$B$5:$B$404=$D10)*('債券'!$Y$5:$Y$404=1)*'債券'!$AV$5:$AV$404),""))</f>
        <v/>
      </c>
      <c r="W10" s="24">
        <f>IF($D10="","",IF(SUMPRODUCT(('債券'!$B$5:$B$404=$D10)*('債券'!$Y$5:$Y$404=1)*'債券'!$AV$5:$AV$404)&gt;0,SUMPRODUCT(('債券'!$B$5:$B$404=$D10)*('債券'!$Y$5:$Y$404=1)*'債券'!$AV$5:$AV$404*'債券'!$AW$5:$AW$404)/SUMPRODUCT(('債券'!$B$5:$B$404=$D10)*('債券'!$Y$5:$Y$404=1)*'債券'!$AV$5:$AV$404),""))</f>
        <v/>
      </c>
      <c r="X10" s="25">
        <f>IF($D10="","",IFERROR(AVERAGEIFS('債券'!$AQ$5:$AQ$404,'債券'!$B$5:$B$404,$D10,'債券'!$Y$5:$Y$404,1),""))</f>
        <v/>
      </c>
      <c r="Y10" s="22">
        <f>IF($D10="","",COUNTIFS('債券'!$B$5:$B$404,$D10,'債券'!$AS$5:$AS$404,"加碼候選"))</f>
        <v/>
      </c>
      <c r="Z10" s="22">
        <f>IF($D10="","",COUNTIFS('債券'!$B$5:$B$404,$D10,'債券'!$AS$5:$AS$404,"減碼候選"))</f>
        <v/>
      </c>
    </row>
    <row r="11">
      <c r="A11" s="16" t="inlineStr">
        <is>
          <t>大型科技</t>
        </is>
      </c>
      <c r="B11" s="16" t="inlineStr">
        <is>
          <t>IBM</t>
        </is>
      </c>
      <c r="C11" s="16" t="inlineStr">
        <is>
          <t>IBM US Equity</t>
        </is>
      </c>
      <c r="D11" s="16" t="inlineStr">
        <is>
          <t>IBM</t>
        </is>
      </c>
      <c r="E11" s="16" t="inlineStr"/>
      <c r="F11" s="17">
        <f>IF($C11="","",BDP($C11,F$3))</f>
        <v/>
      </c>
      <c r="G11" s="18">
        <f>IF($C11="","",BDP($C11,G$3))</f>
        <v/>
      </c>
      <c r="H11" s="18">
        <f>IF($C11="","",BDP($C11,H$3))</f>
        <v/>
      </c>
      <c r="I11" s="17">
        <f>IF($C11="","",BDP($C11,I$3,"EQY_FUND_CRNCY","USD"))</f>
        <v/>
      </c>
      <c r="J11" s="19">
        <f>IF($C11="","",BDP($C11,J$3,"EQY_FUND_CRNCY","USD"))</f>
        <v/>
      </c>
      <c r="K11" s="19">
        <f>IF($C11="","",BDP($C11,K$3,"EQY_FUND_CRNCY","USD"))</f>
        <v/>
      </c>
      <c r="L11" s="17">
        <f>IF($C11="","",BDP($C11,L$3,"EQY_FUND_CRNCY","USD"))</f>
        <v/>
      </c>
      <c r="M11" s="19">
        <f>IF($C11="","",BDP($C11,M$3,"EQY_FUND_CRNCY","USD"))</f>
        <v/>
      </c>
      <c r="N11" s="19">
        <f>IF($C11="","",BDP($C11,N$3,"EQY_FUND_CRNCY","USD"))</f>
        <v/>
      </c>
      <c r="O11" s="18">
        <f>IF($C11="","",BDP($C11,O$3))</f>
        <v/>
      </c>
      <c r="P11" s="18">
        <f>IF(LEFT($O11,1)="#","",IF($O11="","",BDP($O11,P$3)))</f>
        <v/>
      </c>
      <c r="Q11" s="20">
        <f>IF(AND(ISNUMBER($M11),ISNUMBER($N11)),IF($N11&gt;0,$M11/$N11,""),"")</f>
        <v/>
      </c>
      <c r="R11" s="21">
        <f>IF(AND(ISNUMBER($J11),ISNUMBER($I11)),IF($I11&gt;0,ABS($J11)/$I11,""),"")</f>
        <v/>
      </c>
      <c r="S11" s="21">
        <f>IF(AND(ISNUMBER($K11),ISNUMBER($L11)),IF($L11&gt;0,$K11/$L11,""),"")</f>
        <v/>
      </c>
      <c r="T11" s="22">
        <f>IF($D11="","",COUNTIFS('債券'!$B$5:$B$404,$D11,'債券'!$Y$5:$Y$404,1))</f>
        <v/>
      </c>
      <c r="U11" s="23">
        <f>IF($D11="","",SUMPRODUCT(('債券'!$B$5:$B$404=$D11)*('債券'!$Y$5:$Y$404=1)*'債券'!$AV$5:$AV$404)/1E6)</f>
        <v/>
      </c>
      <c r="V11" s="24">
        <f>IF($D11="","",IF(SUMPRODUCT(('債券'!$B$5:$B$404=$D11)*('債券'!$Y$5:$Y$404=1)*'債券'!$AV$5:$AV$404)&gt;0,SUMPRODUCT(('債券'!$B$5:$B$404=$D11)*('債券'!$Y$5:$Y$404=1)*'債券'!$AV$5:$AV$404*'債券'!$AT$5:$AT$404)/SUMPRODUCT(('債券'!$B$5:$B$404=$D11)*('債券'!$Y$5:$Y$404=1)*'債券'!$AV$5:$AV$404),""))</f>
        <v/>
      </c>
      <c r="W11" s="24">
        <f>IF($D11="","",IF(SUMPRODUCT(('債券'!$B$5:$B$404=$D11)*('債券'!$Y$5:$Y$404=1)*'債券'!$AV$5:$AV$404)&gt;0,SUMPRODUCT(('債券'!$B$5:$B$404=$D11)*('債券'!$Y$5:$Y$404=1)*'債券'!$AV$5:$AV$404*'債券'!$AW$5:$AW$404)/SUMPRODUCT(('債券'!$B$5:$B$404=$D11)*('債券'!$Y$5:$Y$404=1)*'債券'!$AV$5:$AV$404),""))</f>
        <v/>
      </c>
      <c r="X11" s="25">
        <f>IF($D11="","",IFERROR(AVERAGEIFS('債券'!$AQ$5:$AQ$404,'債券'!$B$5:$B$404,$D11,'債券'!$Y$5:$Y$404,1),""))</f>
        <v/>
      </c>
      <c r="Y11" s="22">
        <f>IF($D11="","",COUNTIFS('債券'!$B$5:$B$404,$D11,'債券'!$AS$5:$AS$404,"加碼候選"))</f>
        <v/>
      </c>
      <c r="Z11" s="22">
        <f>IF($D11="","",COUNTIFS('債券'!$B$5:$B$404,$D11,'債券'!$AS$5:$AS$404,"減碼候選"))</f>
        <v/>
      </c>
    </row>
    <row r="12">
      <c r="A12" s="16" t="inlineStr">
        <is>
          <t>半導體</t>
        </is>
      </c>
      <c r="B12" s="16" t="inlineStr">
        <is>
          <t>NVIDIA</t>
        </is>
      </c>
      <c r="C12" s="16" t="inlineStr">
        <is>
          <t>NVDA US Equity</t>
        </is>
      </c>
      <c r="D12" s="16" t="inlineStr">
        <is>
          <t>NVDA</t>
        </is>
      </c>
      <c r="E12" s="16" t="inlineStr">
        <is>
          <t>淨現金，流通債券少</t>
        </is>
      </c>
      <c r="F12" s="17">
        <f>IF($C12="","",BDP($C12,F$3))</f>
        <v/>
      </c>
      <c r="G12" s="18">
        <f>IF($C12="","",BDP($C12,G$3))</f>
        <v/>
      </c>
      <c r="H12" s="18">
        <f>IF($C12="","",BDP($C12,H$3))</f>
        <v/>
      </c>
      <c r="I12" s="17">
        <f>IF($C12="","",BDP($C12,I$3,"EQY_FUND_CRNCY","USD"))</f>
        <v/>
      </c>
      <c r="J12" s="19">
        <f>IF($C12="","",BDP($C12,J$3,"EQY_FUND_CRNCY","USD"))</f>
        <v/>
      </c>
      <c r="K12" s="19">
        <f>IF($C12="","",BDP($C12,K$3,"EQY_FUND_CRNCY","USD"))</f>
        <v/>
      </c>
      <c r="L12" s="17">
        <f>IF($C12="","",BDP($C12,L$3,"EQY_FUND_CRNCY","USD"))</f>
        <v/>
      </c>
      <c r="M12" s="19">
        <f>IF($C12="","",BDP($C12,M$3,"EQY_FUND_CRNCY","USD"))</f>
        <v/>
      </c>
      <c r="N12" s="19">
        <f>IF($C12="","",BDP($C12,N$3,"EQY_FUND_CRNCY","USD"))</f>
        <v/>
      </c>
      <c r="O12" s="18">
        <f>IF($C12="","",BDP($C12,O$3))</f>
        <v/>
      </c>
      <c r="P12" s="18">
        <f>IF(LEFT($O12,1)="#","",IF($O12="","",BDP($O12,P$3)))</f>
        <v/>
      </c>
      <c r="Q12" s="20">
        <f>IF(AND(ISNUMBER($M12),ISNUMBER($N12)),IF($N12&gt;0,$M12/$N12,""),"")</f>
        <v/>
      </c>
      <c r="R12" s="21">
        <f>IF(AND(ISNUMBER($J12),ISNUMBER($I12)),IF($I12&gt;0,ABS($J12)/$I12,""),"")</f>
        <v/>
      </c>
      <c r="S12" s="21">
        <f>IF(AND(ISNUMBER($K12),ISNUMBER($L12)),IF($L12&gt;0,$K12/$L12,""),"")</f>
        <v/>
      </c>
      <c r="T12" s="22">
        <f>IF($D12="","",COUNTIFS('債券'!$B$5:$B$404,$D12,'債券'!$Y$5:$Y$404,1))</f>
        <v/>
      </c>
      <c r="U12" s="23">
        <f>IF($D12="","",SUMPRODUCT(('債券'!$B$5:$B$404=$D12)*('債券'!$Y$5:$Y$404=1)*'債券'!$AV$5:$AV$404)/1E6)</f>
        <v/>
      </c>
      <c r="V12" s="24">
        <f>IF($D12="","",IF(SUMPRODUCT(('債券'!$B$5:$B$404=$D12)*('債券'!$Y$5:$Y$404=1)*'債券'!$AV$5:$AV$404)&gt;0,SUMPRODUCT(('債券'!$B$5:$B$404=$D12)*('債券'!$Y$5:$Y$404=1)*'債券'!$AV$5:$AV$404*'債券'!$AT$5:$AT$404)/SUMPRODUCT(('債券'!$B$5:$B$404=$D12)*('債券'!$Y$5:$Y$404=1)*'債券'!$AV$5:$AV$404),""))</f>
        <v/>
      </c>
      <c r="W12" s="24">
        <f>IF($D12="","",IF(SUMPRODUCT(('債券'!$B$5:$B$404=$D12)*('債券'!$Y$5:$Y$404=1)*'債券'!$AV$5:$AV$404)&gt;0,SUMPRODUCT(('債券'!$B$5:$B$404=$D12)*('債券'!$Y$5:$Y$404=1)*'債券'!$AV$5:$AV$404*'債券'!$AW$5:$AW$404)/SUMPRODUCT(('債券'!$B$5:$B$404=$D12)*('債券'!$Y$5:$Y$404=1)*'債券'!$AV$5:$AV$404),""))</f>
        <v/>
      </c>
      <c r="X12" s="25">
        <f>IF($D12="","",IFERROR(AVERAGEIFS('債券'!$AQ$5:$AQ$404,'債券'!$B$5:$B$404,$D12,'債券'!$Y$5:$Y$404,1),""))</f>
        <v/>
      </c>
      <c r="Y12" s="22">
        <f>IF($D12="","",COUNTIFS('債券'!$B$5:$B$404,$D12,'債券'!$AS$5:$AS$404,"加碼候選"))</f>
        <v/>
      </c>
      <c r="Z12" s="22">
        <f>IF($D12="","",COUNTIFS('債券'!$B$5:$B$404,$D12,'債券'!$AS$5:$AS$404,"減碼候選"))</f>
        <v/>
      </c>
    </row>
    <row r="13">
      <c r="A13" s="16" t="inlineStr">
        <is>
          <t>半導體</t>
        </is>
      </c>
      <c r="B13" s="16" t="inlineStr">
        <is>
          <t>Broadcom</t>
        </is>
      </c>
      <c r="C13" s="16" t="inlineStr">
        <is>
          <t>AVGO US Equity</t>
        </is>
      </c>
      <c r="D13" s="16" t="inlineStr">
        <is>
          <t>AVGO</t>
        </is>
      </c>
      <c r="E13" s="16" t="inlineStr">
        <is>
          <t>併購融資，發債量大</t>
        </is>
      </c>
      <c r="F13" s="17">
        <f>IF($C13="","",BDP($C13,F$3))</f>
        <v/>
      </c>
      <c r="G13" s="18">
        <f>IF($C13="","",BDP($C13,G$3))</f>
        <v/>
      </c>
      <c r="H13" s="18">
        <f>IF($C13="","",BDP($C13,H$3))</f>
        <v/>
      </c>
      <c r="I13" s="17">
        <f>IF($C13="","",BDP($C13,I$3,"EQY_FUND_CRNCY","USD"))</f>
        <v/>
      </c>
      <c r="J13" s="19">
        <f>IF($C13="","",BDP($C13,J$3,"EQY_FUND_CRNCY","USD"))</f>
        <v/>
      </c>
      <c r="K13" s="19">
        <f>IF($C13="","",BDP($C13,K$3,"EQY_FUND_CRNCY","USD"))</f>
        <v/>
      </c>
      <c r="L13" s="17">
        <f>IF($C13="","",BDP($C13,L$3,"EQY_FUND_CRNCY","USD"))</f>
        <v/>
      </c>
      <c r="M13" s="19">
        <f>IF($C13="","",BDP($C13,M$3,"EQY_FUND_CRNCY","USD"))</f>
        <v/>
      </c>
      <c r="N13" s="19">
        <f>IF($C13="","",BDP($C13,N$3,"EQY_FUND_CRNCY","USD"))</f>
        <v/>
      </c>
      <c r="O13" s="18">
        <f>IF($C13="","",BDP($C13,O$3))</f>
        <v/>
      </c>
      <c r="P13" s="18">
        <f>IF(LEFT($O13,1)="#","",IF($O13="","",BDP($O13,P$3)))</f>
        <v/>
      </c>
      <c r="Q13" s="20">
        <f>IF(AND(ISNUMBER($M13),ISNUMBER($N13)),IF($N13&gt;0,$M13/$N13,""),"")</f>
        <v/>
      </c>
      <c r="R13" s="21">
        <f>IF(AND(ISNUMBER($J13),ISNUMBER($I13)),IF($I13&gt;0,ABS($J13)/$I13,""),"")</f>
        <v/>
      </c>
      <c r="S13" s="21">
        <f>IF(AND(ISNUMBER($K13),ISNUMBER($L13)),IF($L13&gt;0,$K13/$L13,""),"")</f>
        <v/>
      </c>
      <c r="T13" s="22">
        <f>IF($D13="","",COUNTIFS('債券'!$B$5:$B$404,$D13,'債券'!$Y$5:$Y$404,1))</f>
        <v/>
      </c>
      <c r="U13" s="23">
        <f>IF($D13="","",SUMPRODUCT(('債券'!$B$5:$B$404=$D13)*('債券'!$Y$5:$Y$404=1)*'債券'!$AV$5:$AV$404)/1E6)</f>
        <v/>
      </c>
      <c r="V13" s="24">
        <f>IF($D13="","",IF(SUMPRODUCT(('債券'!$B$5:$B$404=$D13)*('債券'!$Y$5:$Y$404=1)*'債券'!$AV$5:$AV$404)&gt;0,SUMPRODUCT(('債券'!$B$5:$B$404=$D13)*('債券'!$Y$5:$Y$404=1)*'債券'!$AV$5:$AV$404*'債券'!$AT$5:$AT$404)/SUMPRODUCT(('債券'!$B$5:$B$404=$D13)*('債券'!$Y$5:$Y$404=1)*'債券'!$AV$5:$AV$404),""))</f>
        <v/>
      </c>
      <c r="W13" s="24">
        <f>IF($D13="","",IF(SUMPRODUCT(('債券'!$B$5:$B$404=$D13)*('債券'!$Y$5:$Y$404=1)*'債券'!$AV$5:$AV$404)&gt;0,SUMPRODUCT(('債券'!$B$5:$B$404=$D13)*('債券'!$Y$5:$Y$404=1)*'債券'!$AV$5:$AV$404*'債券'!$AW$5:$AW$404)/SUMPRODUCT(('債券'!$B$5:$B$404=$D13)*('債券'!$Y$5:$Y$404=1)*'債券'!$AV$5:$AV$404),""))</f>
        <v/>
      </c>
      <c r="X13" s="25">
        <f>IF($D13="","",IFERROR(AVERAGEIFS('債券'!$AQ$5:$AQ$404,'債券'!$B$5:$B$404,$D13,'債券'!$Y$5:$Y$404,1),""))</f>
        <v/>
      </c>
      <c r="Y13" s="22">
        <f>IF($D13="","",COUNTIFS('債券'!$B$5:$B$404,$D13,'債券'!$AS$5:$AS$404,"加碼候選"))</f>
        <v/>
      </c>
      <c r="Z13" s="22">
        <f>IF($D13="","",COUNTIFS('債券'!$B$5:$B$404,$D13,'債券'!$AS$5:$AS$404,"減碼候選"))</f>
        <v/>
      </c>
    </row>
    <row r="14">
      <c r="A14" s="16" t="inlineStr">
        <is>
          <t>半導體</t>
        </is>
      </c>
      <c r="B14" s="16" t="inlineStr">
        <is>
          <t>AMD</t>
        </is>
      </c>
      <c r="C14" s="16" t="inlineStr">
        <is>
          <t>AMD US Equity</t>
        </is>
      </c>
      <c r="D14" s="16" t="inlineStr">
        <is>
          <t>AMD</t>
        </is>
      </c>
      <c r="E14" s="16" t="inlineStr"/>
      <c r="F14" s="17">
        <f>IF($C14="","",BDP($C14,F$3))</f>
        <v/>
      </c>
      <c r="G14" s="18">
        <f>IF($C14="","",BDP($C14,G$3))</f>
        <v/>
      </c>
      <c r="H14" s="18">
        <f>IF($C14="","",BDP($C14,H$3))</f>
        <v/>
      </c>
      <c r="I14" s="17">
        <f>IF($C14="","",BDP($C14,I$3,"EQY_FUND_CRNCY","USD"))</f>
        <v/>
      </c>
      <c r="J14" s="19">
        <f>IF($C14="","",BDP($C14,J$3,"EQY_FUND_CRNCY","USD"))</f>
        <v/>
      </c>
      <c r="K14" s="19">
        <f>IF($C14="","",BDP($C14,K$3,"EQY_FUND_CRNCY","USD"))</f>
        <v/>
      </c>
      <c r="L14" s="17">
        <f>IF($C14="","",BDP($C14,L$3,"EQY_FUND_CRNCY","USD"))</f>
        <v/>
      </c>
      <c r="M14" s="19">
        <f>IF($C14="","",BDP($C14,M$3,"EQY_FUND_CRNCY","USD"))</f>
        <v/>
      </c>
      <c r="N14" s="19">
        <f>IF($C14="","",BDP($C14,N$3,"EQY_FUND_CRNCY","USD"))</f>
        <v/>
      </c>
      <c r="O14" s="18">
        <f>IF($C14="","",BDP($C14,O$3))</f>
        <v/>
      </c>
      <c r="P14" s="18">
        <f>IF(LEFT($O14,1)="#","",IF($O14="","",BDP($O14,P$3)))</f>
        <v/>
      </c>
      <c r="Q14" s="20">
        <f>IF(AND(ISNUMBER($M14),ISNUMBER($N14)),IF($N14&gt;0,$M14/$N14,""),"")</f>
        <v/>
      </c>
      <c r="R14" s="21">
        <f>IF(AND(ISNUMBER($J14),ISNUMBER($I14)),IF($I14&gt;0,ABS($J14)/$I14,""),"")</f>
        <v/>
      </c>
      <c r="S14" s="21">
        <f>IF(AND(ISNUMBER($K14),ISNUMBER($L14)),IF($L14&gt;0,$K14/$L14,""),"")</f>
        <v/>
      </c>
      <c r="T14" s="22">
        <f>IF($D14="","",COUNTIFS('債券'!$B$5:$B$404,$D14,'債券'!$Y$5:$Y$404,1))</f>
        <v/>
      </c>
      <c r="U14" s="23">
        <f>IF($D14="","",SUMPRODUCT(('債券'!$B$5:$B$404=$D14)*('債券'!$Y$5:$Y$404=1)*'債券'!$AV$5:$AV$404)/1E6)</f>
        <v/>
      </c>
      <c r="V14" s="24">
        <f>IF($D14="","",IF(SUMPRODUCT(('債券'!$B$5:$B$404=$D14)*('債券'!$Y$5:$Y$404=1)*'債券'!$AV$5:$AV$404)&gt;0,SUMPRODUCT(('債券'!$B$5:$B$404=$D14)*('債券'!$Y$5:$Y$404=1)*'債券'!$AV$5:$AV$404*'債券'!$AT$5:$AT$404)/SUMPRODUCT(('債券'!$B$5:$B$404=$D14)*('債券'!$Y$5:$Y$404=1)*'債券'!$AV$5:$AV$404),""))</f>
        <v/>
      </c>
      <c r="W14" s="24">
        <f>IF($D14="","",IF(SUMPRODUCT(('債券'!$B$5:$B$404=$D14)*('債券'!$Y$5:$Y$404=1)*'債券'!$AV$5:$AV$404)&gt;0,SUMPRODUCT(('債券'!$B$5:$B$404=$D14)*('債券'!$Y$5:$Y$404=1)*'債券'!$AV$5:$AV$404*'債券'!$AW$5:$AW$404)/SUMPRODUCT(('債券'!$B$5:$B$404=$D14)*('債券'!$Y$5:$Y$404=1)*'債券'!$AV$5:$AV$404),""))</f>
        <v/>
      </c>
      <c r="X14" s="25">
        <f>IF($D14="","",IFERROR(AVERAGEIFS('債券'!$AQ$5:$AQ$404,'債券'!$B$5:$B$404,$D14,'債券'!$Y$5:$Y$404,1),""))</f>
        <v/>
      </c>
      <c r="Y14" s="22">
        <f>IF($D14="","",COUNTIFS('債券'!$B$5:$B$404,$D14,'債券'!$AS$5:$AS$404,"加碼候選"))</f>
        <v/>
      </c>
      <c r="Z14" s="22">
        <f>IF($D14="","",COUNTIFS('債券'!$B$5:$B$404,$D14,'債券'!$AS$5:$AS$404,"減碼候選"))</f>
        <v/>
      </c>
    </row>
    <row r="15">
      <c r="A15" s="16" t="inlineStr">
        <is>
          <t>半導體</t>
        </is>
      </c>
      <c r="B15" s="16" t="inlineStr">
        <is>
          <t>Intel</t>
        </is>
      </c>
      <c r="C15" s="16" t="inlineStr">
        <is>
          <t>INTC US Equity</t>
        </is>
      </c>
      <c r="D15" s="16" t="inlineStr">
        <is>
          <t>INTC</t>
        </is>
      </c>
      <c r="E15" s="16" t="inlineStr">
        <is>
          <t>評等下調壓力</t>
        </is>
      </c>
      <c r="F15" s="17">
        <f>IF($C15="","",BDP($C15,F$3))</f>
        <v/>
      </c>
      <c r="G15" s="18">
        <f>IF($C15="","",BDP($C15,G$3))</f>
        <v/>
      </c>
      <c r="H15" s="18">
        <f>IF($C15="","",BDP($C15,H$3))</f>
        <v/>
      </c>
      <c r="I15" s="17">
        <f>IF($C15="","",BDP($C15,I$3,"EQY_FUND_CRNCY","USD"))</f>
        <v/>
      </c>
      <c r="J15" s="19">
        <f>IF($C15="","",BDP($C15,J$3,"EQY_FUND_CRNCY","USD"))</f>
        <v/>
      </c>
      <c r="K15" s="19">
        <f>IF($C15="","",BDP($C15,K$3,"EQY_FUND_CRNCY","USD"))</f>
        <v/>
      </c>
      <c r="L15" s="17">
        <f>IF($C15="","",BDP($C15,L$3,"EQY_FUND_CRNCY","USD"))</f>
        <v/>
      </c>
      <c r="M15" s="19">
        <f>IF($C15="","",BDP($C15,M$3,"EQY_FUND_CRNCY","USD"))</f>
        <v/>
      </c>
      <c r="N15" s="19">
        <f>IF($C15="","",BDP($C15,N$3,"EQY_FUND_CRNCY","USD"))</f>
        <v/>
      </c>
      <c r="O15" s="18">
        <f>IF($C15="","",BDP($C15,O$3))</f>
        <v/>
      </c>
      <c r="P15" s="18">
        <f>IF(LEFT($O15,1)="#","",IF($O15="","",BDP($O15,P$3)))</f>
        <v/>
      </c>
      <c r="Q15" s="20">
        <f>IF(AND(ISNUMBER($M15),ISNUMBER($N15)),IF($N15&gt;0,$M15/$N15,""),"")</f>
        <v/>
      </c>
      <c r="R15" s="21">
        <f>IF(AND(ISNUMBER($J15),ISNUMBER($I15)),IF($I15&gt;0,ABS($J15)/$I15,""),"")</f>
        <v/>
      </c>
      <c r="S15" s="21">
        <f>IF(AND(ISNUMBER($K15),ISNUMBER($L15)),IF($L15&gt;0,$K15/$L15,""),"")</f>
        <v/>
      </c>
      <c r="T15" s="22">
        <f>IF($D15="","",COUNTIFS('債券'!$B$5:$B$404,$D15,'債券'!$Y$5:$Y$404,1))</f>
        <v/>
      </c>
      <c r="U15" s="23">
        <f>IF($D15="","",SUMPRODUCT(('債券'!$B$5:$B$404=$D15)*('債券'!$Y$5:$Y$404=1)*'債券'!$AV$5:$AV$404)/1E6)</f>
        <v/>
      </c>
      <c r="V15" s="24">
        <f>IF($D15="","",IF(SUMPRODUCT(('債券'!$B$5:$B$404=$D15)*('債券'!$Y$5:$Y$404=1)*'債券'!$AV$5:$AV$404)&gt;0,SUMPRODUCT(('債券'!$B$5:$B$404=$D15)*('債券'!$Y$5:$Y$404=1)*'債券'!$AV$5:$AV$404*'債券'!$AT$5:$AT$404)/SUMPRODUCT(('債券'!$B$5:$B$404=$D15)*('債券'!$Y$5:$Y$404=1)*'債券'!$AV$5:$AV$404),""))</f>
        <v/>
      </c>
      <c r="W15" s="24">
        <f>IF($D15="","",IF(SUMPRODUCT(('債券'!$B$5:$B$404=$D15)*('債券'!$Y$5:$Y$404=1)*'債券'!$AV$5:$AV$404)&gt;0,SUMPRODUCT(('債券'!$B$5:$B$404=$D15)*('債券'!$Y$5:$Y$404=1)*'債券'!$AV$5:$AV$404*'債券'!$AW$5:$AW$404)/SUMPRODUCT(('債券'!$B$5:$B$404=$D15)*('債券'!$Y$5:$Y$404=1)*'債券'!$AV$5:$AV$404),""))</f>
        <v/>
      </c>
      <c r="X15" s="25">
        <f>IF($D15="","",IFERROR(AVERAGEIFS('債券'!$AQ$5:$AQ$404,'債券'!$B$5:$B$404,$D15,'債券'!$Y$5:$Y$404,1),""))</f>
        <v/>
      </c>
      <c r="Y15" s="22">
        <f>IF($D15="","",COUNTIFS('債券'!$B$5:$B$404,$D15,'債券'!$AS$5:$AS$404,"加碼候選"))</f>
        <v/>
      </c>
      <c r="Z15" s="22">
        <f>IF($D15="","",COUNTIFS('債券'!$B$5:$B$404,$D15,'債券'!$AS$5:$AS$404,"減碼候選"))</f>
        <v/>
      </c>
    </row>
    <row r="16">
      <c r="A16" s="16" t="inlineStr">
        <is>
          <t>半導體</t>
        </is>
      </c>
      <c r="B16" s="16" t="inlineStr">
        <is>
          <t>Qualcomm</t>
        </is>
      </c>
      <c r="C16" s="16" t="inlineStr">
        <is>
          <t>QCOM US Equity</t>
        </is>
      </c>
      <c r="D16" s="16" t="inlineStr">
        <is>
          <t>QCOM</t>
        </is>
      </c>
      <c r="E16" s="16" t="inlineStr"/>
      <c r="F16" s="17">
        <f>IF($C16="","",BDP($C16,F$3))</f>
        <v/>
      </c>
      <c r="G16" s="18">
        <f>IF($C16="","",BDP($C16,G$3))</f>
        <v/>
      </c>
      <c r="H16" s="18">
        <f>IF($C16="","",BDP($C16,H$3))</f>
        <v/>
      </c>
      <c r="I16" s="17">
        <f>IF($C16="","",BDP($C16,I$3,"EQY_FUND_CRNCY","USD"))</f>
        <v/>
      </c>
      <c r="J16" s="19">
        <f>IF($C16="","",BDP($C16,J$3,"EQY_FUND_CRNCY","USD"))</f>
        <v/>
      </c>
      <c r="K16" s="19">
        <f>IF($C16="","",BDP($C16,K$3,"EQY_FUND_CRNCY","USD"))</f>
        <v/>
      </c>
      <c r="L16" s="17">
        <f>IF($C16="","",BDP($C16,L$3,"EQY_FUND_CRNCY","USD"))</f>
        <v/>
      </c>
      <c r="M16" s="19">
        <f>IF($C16="","",BDP($C16,M$3,"EQY_FUND_CRNCY","USD"))</f>
        <v/>
      </c>
      <c r="N16" s="19">
        <f>IF($C16="","",BDP($C16,N$3,"EQY_FUND_CRNCY","USD"))</f>
        <v/>
      </c>
      <c r="O16" s="18">
        <f>IF($C16="","",BDP($C16,O$3))</f>
        <v/>
      </c>
      <c r="P16" s="18">
        <f>IF(LEFT($O16,1)="#","",IF($O16="","",BDP($O16,P$3)))</f>
        <v/>
      </c>
      <c r="Q16" s="20">
        <f>IF(AND(ISNUMBER($M16),ISNUMBER($N16)),IF($N16&gt;0,$M16/$N16,""),"")</f>
        <v/>
      </c>
      <c r="R16" s="21">
        <f>IF(AND(ISNUMBER($J16),ISNUMBER($I16)),IF($I16&gt;0,ABS($J16)/$I16,""),"")</f>
        <v/>
      </c>
      <c r="S16" s="21">
        <f>IF(AND(ISNUMBER($K16),ISNUMBER($L16)),IF($L16&gt;0,$K16/$L16,""),"")</f>
        <v/>
      </c>
      <c r="T16" s="22">
        <f>IF($D16="","",COUNTIFS('債券'!$B$5:$B$404,$D16,'債券'!$Y$5:$Y$404,1))</f>
        <v/>
      </c>
      <c r="U16" s="23">
        <f>IF($D16="","",SUMPRODUCT(('債券'!$B$5:$B$404=$D16)*('債券'!$Y$5:$Y$404=1)*'債券'!$AV$5:$AV$404)/1E6)</f>
        <v/>
      </c>
      <c r="V16" s="24">
        <f>IF($D16="","",IF(SUMPRODUCT(('債券'!$B$5:$B$404=$D16)*('債券'!$Y$5:$Y$404=1)*'債券'!$AV$5:$AV$404)&gt;0,SUMPRODUCT(('債券'!$B$5:$B$404=$D16)*('債券'!$Y$5:$Y$404=1)*'債券'!$AV$5:$AV$404*'債券'!$AT$5:$AT$404)/SUMPRODUCT(('債券'!$B$5:$B$404=$D16)*('債券'!$Y$5:$Y$404=1)*'債券'!$AV$5:$AV$404),""))</f>
        <v/>
      </c>
      <c r="W16" s="24">
        <f>IF($D16="","",IF(SUMPRODUCT(('債券'!$B$5:$B$404=$D16)*('債券'!$Y$5:$Y$404=1)*'債券'!$AV$5:$AV$404)&gt;0,SUMPRODUCT(('債券'!$B$5:$B$404=$D16)*('債券'!$Y$5:$Y$404=1)*'債券'!$AV$5:$AV$404*'債券'!$AW$5:$AW$404)/SUMPRODUCT(('債券'!$B$5:$B$404=$D16)*('債券'!$Y$5:$Y$404=1)*'債券'!$AV$5:$AV$404),""))</f>
        <v/>
      </c>
      <c r="X16" s="25">
        <f>IF($D16="","",IFERROR(AVERAGEIFS('債券'!$AQ$5:$AQ$404,'債券'!$B$5:$B$404,$D16,'債券'!$Y$5:$Y$404,1),""))</f>
        <v/>
      </c>
      <c r="Y16" s="22">
        <f>IF($D16="","",COUNTIFS('債券'!$B$5:$B$404,$D16,'債券'!$AS$5:$AS$404,"加碼候選"))</f>
        <v/>
      </c>
      <c r="Z16" s="22">
        <f>IF($D16="","",COUNTIFS('債券'!$B$5:$B$404,$D16,'債券'!$AS$5:$AS$404,"減碼候選"))</f>
        <v/>
      </c>
    </row>
    <row r="17">
      <c r="A17" s="16" t="inlineStr">
        <is>
          <t>半導體</t>
        </is>
      </c>
      <c r="B17" s="16" t="inlineStr">
        <is>
          <t>Micron</t>
        </is>
      </c>
      <c r="C17" s="16" t="inlineStr">
        <is>
          <t>MU US Equity</t>
        </is>
      </c>
      <c r="D17" s="16" t="inlineStr">
        <is>
          <t>MU</t>
        </is>
      </c>
      <c r="E17" s="16" t="inlineStr">
        <is>
          <t>HBM 記憶體，景氣循環</t>
        </is>
      </c>
      <c r="F17" s="17">
        <f>IF($C17="","",BDP($C17,F$3))</f>
        <v/>
      </c>
      <c r="G17" s="18">
        <f>IF($C17="","",BDP($C17,G$3))</f>
        <v/>
      </c>
      <c r="H17" s="18">
        <f>IF($C17="","",BDP($C17,H$3))</f>
        <v/>
      </c>
      <c r="I17" s="17">
        <f>IF($C17="","",BDP($C17,I$3,"EQY_FUND_CRNCY","USD"))</f>
        <v/>
      </c>
      <c r="J17" s="19">
        <f>IF($C17="","",BDP($C17,J$3,"EQY_FUND_CRNCY","USD"))</f>
        <v/>
      </c>
      <c r="K17" s="19">
        <f>IF($C17="","",BDP($C17,K$3,"EQY_FUND_CRNCY","USD"))</f>
        <v/>
      </c>
      <c r="L17" s="17">
        <f>IF($C17="","",BDP($C17,L$3,"EQY_FUND_CRNCY","USD"))</f>
        <v/>
      </c>
      <c r="M17" s="19">
        <f>IF($C17="","",BDP($C17,M$3,"EQY_FUND_CRNCY","USD"))</f>
        <v/>
      </c>
      <c r="N17" s="19">
        <f>IF($C17="","",BDP($C17,N$3,"EQY_FUND_CRNCY","USD"))</f>
        <v/>
      </c>
      <c r="O17" s="18">
        <f>IF($C17="","",BDP($C17,O$3))</f>
        <v/>
      </c>
      <c r="P17" s="18">
        <f>IF(LEFT($O17,1)="#","",IF($O17="","",BDP($O17,P$3)))</f>
        <v/>
      </c>
      <c r="Q17" s="20">
        <f>IF(AND(ISNUMBER($M17),ISNUMBER($N17)),IF($N17&gt;0,$M17/$N17,""),"")</f>
        <v/>
      </c>
      <c r="R17" s="21">
        <f>IF(AND(ISNUMBER($J17),ISNUMBER($I17)),IF($I17&gt;0,ABS($J17)/$I17,""),"")</f>
        <v/>
      </c>
      <c r="S17" s="21">
        <f>IF(AND(ISNUMBER($K17),ISNUMBER($L17)),IF($L17&gt;0,$K17/$L17,""),"")</f>
        <v/>
      </c>
      <c r="T17" s="22">
        <f>IF($D17="","",COUNTIFS('債券'!$B$5:$B$404,$D17,'債券'!$Y$5:$Y$404,1))</f>
        <v/>
      </c>
      <c r="U17" s="23">
        <f>IF($D17="","",SUMPRODUCT(('債券'!$B$5:$B$404=$D17)*('債券'!$Y$5:$Y$404=1)*'債券'!$AV$5:$AV$404)/1E6)</f>
        <v/>
      </c>
      <c r="V17" s="24">
        <f>IF($D17="","",IF(SUMPRODUCT(('債券'!$B$5:$B$404=$D17)*('債券'!$Y$5:$Y$404=1)*'債券'!$AV$5:$AV$404)&gt;0,SUMPRODUCT(('債券'!$B$5:$B$404=$D17)*('債券'!$Y$5:$Y$404=1)*'債券'!$AV$5:$AV$404*'債券'!$AT$5:$AT$404)/SUMPRODUCT(('債券'!$B$5:$B$404=$D17)*('債券'!$Y$5:$Y$404=1)*'債券'!$AV$5:$AV$404),""))</f>
        <v/>
      </c>
      <c r="W17" s="24">
        <f>IF($D17="","",IF(SUMPRODUCT(('債券'!$B$5:$B$404=$D17)*('債券'!$Y$5:$Y$404=1)*'債券'!$AV$5:$AV$404)&gt;0,SUMPRODUCT(('債券'!$B$5:$B$404=$D17)*('債券'!$Y$5:$Y$404=1)*'債券'!$AV$5:$AV$404*'債券'!$AW$5:$AW$404)/SUMPRODUCT(('債券'!$B$5:$B$404=$D17)*('債券'!$Y$5:$Y$404=1)*'債券'!$AV$5:$AV$404),""))</f>
        <v/>
      </c>
      <c r="X17" s="25">
        <f>IF($D17="","",IFERROR(AVERAGEIFS('債券'!$AQ$5:$AQ$404,'債券'!$B$5:$B$404,$D17,'債券'!$Y$5:$Y$404,1),""))</f>
        <v/>
      </c>
      <c r="Y17" s="22">
        <f>IF($D17="","",COUNTIFS('債券'!$B$5:$B$404,$D17,'債券'!$AS$5:$AS$404,"加碼候選"))</f>
        <v/>
      </c>
      <c r="Z17" s="22">
        <f>IF($D17="","",COUNTIFS('債券'!$B$5:$B$404,$D17,'債券'!$AS$5:$AS$404,"減碼候選"))</f>
        <v/>
      </c>
    </row>
    <row r="18">
      <c r="A18" s="16" t="inlineStr">
        <is>
          <t>半導體</t>
        </is>
      </c>
      <c r="B18" s="16" t="inlineStr">
        <is>
          <t>Marvell</t>
        </is>
      </c>
      <c r="C18" s="16" t="inlineStr">
        <is>
          <t>MRVL US Equity</t>
        </is>
      </c>
      <c r="D18" s="16" t="inlineStr">
        <is>
          <t>MRVL</t>
        </is>
      </c>
      <c r="E18" s="16" t="inlineStr"/>
      <c r="F18" s="17">
        <f>IF($C18="","",BDP($C18,F$3))</f>
        <v/>
      </c>
      <c r="G18" s="18">
        <f>IF($C18="","",BDP($C18,G$3))</f>
        <v/>
      </c>
      <c r="H18" s="18">
        <f>IF($C18="","",BDP($C18,H$3))</f>
        <v/>
      </c>
      <c r="I18" s="17">
        <f>IF($C18="","",BDP($C18,I$3,"EQY_FUND_CRNCY","USD"))</f>
        <v/>
      </c>
      <c r="J18" s="19">
        <f>IF($C18="","",BDP($C18,J$3,"EQY_FUND_CRNCY","USD"))</f>
        <v/>
      </c>
      <c r="K18" s="19">
        <f>IF($C18="","",BDP($C18,K$3,"EQY_FUND_CRNCY","USD"))</f>
        <v/>
      </c>
      <c r="L18" s="17">
        <f>IF($C18="","",BDP($C18,L$3,"EQY_FUND_CRNCY","USD"))</f>
        <v/>
      </c>
      <c r="M18" s="19">
        <f>IF($C18="","",BDP($C18,M$3,"EQY_FUND_CRNCY","USD"))</f>
        <v/>
      </c>
      <c r="N18" s="19">
        <f>IF($C18="","",BDP($C18,N$3,"EQY_FUND_CRNCY","USD"))</f>
        <v/>
      </c>
      <c r="O18" s="18">
        <f>IF($C18="","",BDP($C18,O$3))</f>
        <v/>
      </c>
      <c r="P18" s="18">
        <f>IF(LEFT($O18,1)="#","",IF($O18="","",BDP($O18,P$3)))</f>
        <v/>
      </c>
      <c r="Q18" s="20">
        <f>IF(AND(ISNUMBER($M18),ISNUMBER($N18)),IF($N18&gt;0,$M18/$N18,""),"")</f>
        <v/>
      </c>
      <c r="R18" s="21">
        <f>IF(AND(ISNUMBER($J18),ISNUMBER($I18)),IF($I18&gt;0,ABS($J18)/$I18,""),"")</f>
        <v/>
      </c>
      <c r="S18" s="21">
        <f>IF(AND(ISNUMBER($K18),ISNUMBER($L18)),IF($L18&gt;0,$K18/$L18,""),"")</f>
        <v/>
      </c>
      <c r="T18" s="22">
        <f>IF($D18="","",COUNTIFS('債券'!$B$5:$B$404,$D18,'債券'!$Y$5:$Y$404,1))</f>
        <v/>
      </c>
      <c r="U18" s="23">
        <f>IF($D18="","",SUMPRODUCT(('債券'!$B$5:$B$404=$D18)*('債券'!$Y$5:$Y$404=1)*'債券'!$AV$5:$AV$404)/1E6)</f>
        <v/>
      </c>
      <c r="V18" s="24">
        <f>IF($D18="","",IF(SUMPRODUCT(('債券'!$B$5:$B$404=$D18)*('債券'!$Y$5:$Y$404=1)*'債券'!$AV$5:$AV$404)&gt;0,SUMPRODUCT(('債券'!$B$5:$B$404=$D18)*('債券'!$Y$5:$Y$404=1)*'債券'!$AV$5:$AV$404*'債券'!$AT$5:$AT$404)/SUMPRODUCT(('債券'!$B$5:$B$404=$D18)*('債券'!$Y$5:$Y$404=1)*'債券'!$AV$5:$AV$404),""))</f>
        <v/>
      </c>
      <c r="W18" s="24">
        <f>IF($D18="","",IF(SUMPRODUCT(('債券'!$B$5:$B$404=$D18)*('債券'!$Y$5:$Y$404=1)*'債券'!$AV$5:$AV$404)&gt;0,SUMPRODUCT(('債券'!$B$5:$B$404=$D18)*('債券'!$Y$5:$Y$404=1)*'債券'!$AV$5:$AV$404*'債券'!$AW$5:$AW$404)/SUMPRODUCT(('債券'!$B$5:$B$404=$D18)*('債券'!$Y$5:$Y$404=1)*'債券'!$AV$5:$AV$404),""))</f>
        <v/>
      </c>
      <c r="X18" s="25">
        <f>IF($D18="","",IFERROR(AVERAGEIFS('債券'!$AQ$5:$AQ$404,'債券'!$B$5:$B$404,$D18,'債券'!$Y$5:$Y$404,1),""))</f>
        <v/>
      </c>
      <c r="Y18" s="22">
        <f>IF($D18="","",COUNTIFS('債券'!$B$5:$B$404,$D18,'債券'!$AS$5:$AS$404,"加碼候選"))</f>
        <v/>
      </c>
      <c r="Z18" s="22">
        <f>IF($D18="","",COUNTIFS('債券'!$B$5:$B$404,$D18,'債券'!$AS$5:$AS$404,"減碼候選"))</f>
        <v/>
      </c>
    </row>
    <row r="19">
      <c r="A19" s="16" t="inlineStr">
        <is>
          <t>半導體</t>
        </is>
      </c>
      <c r="B19" s="16" t="inlineStr">
        <is>
          <t>Applied Materials</t>
        </is>
      </c>
      <c r="C19" s="16" t="inlineStr">
        <is>
          <t>AMAT US Equity</t>
        </is>
      </c>
      <c r="D19" s="16" t="inlineStr">
        <is>
          <t>AMAT</t>
        </is>
      </c>
      <c r="E19" s="16" t="inlineStr">
        <is>
          <t>半導體設備</t>
        </is>
      </c>
      <c r="F19" s="17">
        <f>IF($C19="","",BDP($C19,F$3))</f>
        <v/>
      </c>
      <c r="G19" s="18">
        <f>IF($C19="","",BDP($C19,G$3))</f>
        <v/>
      </c>
      <c r="H19" s="18">
        <f>IF($C19="","",BDP($C19,H$3))</f>
        <v/>
      </c>
      <c r="I19" s="17">
        <f>IF($C19="","",BDP($C19,I$3,"EQY_FUND_CRNCY","USD"))</f>
        <v/>
      </c>
      <c r="J19" s="19">
        <f>IF($C19="","",BDP($C19,J$3,"EQY_FUND_CRNCY","USD"))</f>
        <v/>
      </c>
      <c r="K19" s="19">
        <f>IF($C19="","",BDP($C19,K$3,"EQY_FUND_CRNCY","USD"))</f>
        <v/>
      </c>
      <c r="L19" s="17">
        <f>IF($C19="","",BDP($C19,L$3,"EQY_FUND_CRNCY","USD"))</f>
        <v/>
      </c>
      <c r="M19" s="19">
        <f>IF($C19="","",BDP($C19,M$3,"EQY_FUND_CRNCY","USD"))</f>
        <v/>
      </c>
      <c r="N19" s="19">
        <f>IF($C19="","",BDP($C19,N$3,"EQY_FUND_CRNCY","USD"))</f>
        <v/>
      </c>
      <c r="O19" s="18">
        <f>IF($C19="","",BDP($C19,O$3))</f>
        <v/>
      </c>
      <c r="P19" s="18">
        <f>IF(LEFT($O19,1)="#","",IF($O19="","",BDP($O19,P$3)))</f>
        <v/>
      </c>
      <c r="Q19" s="20">
        <f>IF(AND(ISNUMBER($M19),ISNUMBER($N19)),IF($N19&gt;0,$M19/$N19,""),"")</f>
        <v/>
      </c>
      <c r="R19" s="21">
        <f>IF(AND(ISNUMBER($J19),ISNUMBER($I19)),IF($I19&gt;0,ABS($J19)/$I19,""),"")</f>
        <v/>
      </c>
      <c r="S19" s="21">
        <f>IF(AND(ISNUMBER($K19),ISNUMBER($L19)),IF($L19&gt;0,$K19/$L19,""),"")</f>
        <v/>
      </c>
      <c r="T19" s="22">
        <f>IF($D19="","",COUNTIFS('債券'!$B$5:$B$404,$D19,'債券'!$Y$5:$Y$404,1))</f>
        <v/>
      </c>
      <c r="U19" s="23">
        <f>IF($D19="","",SUMPRODUCT(('債券'!$B$5:$B$404=$D19)*('債券'!$Y$5:$Y$404=1)*'債券'!$AV$5:$AV$404)/1E6)</f>
        <v/>
      </c>
      <c r="V19" s="24">
        <f>IF($D19="","",IF(SUMPRODUCT(('債券'!$B$5:$B$404=$D19)*('債券'!$Y$5:$Y$404=1)*'債券'!$AV$5:$AV$404)&gt;0,SUMPRODUCT(('債券'!$B$5:$B$404=$D19)*('債券'!$Y$5:$Y$404=1)*'債券'!$AV$5:$AV$404*'債券'!$AT$5:$AT$404)/SUMPRODUCT(('債券'!$B$5:$B$404=$D19)*('債券'!$Y$5:$Y$404=1)*'債券'!$AV$5:$AV$404),""))</f>
        <v/>
      </c>
      <c r="W19" s="24">
        <f>IF($D19="","",IF(SUMPRODUCT(('債券'!$B$5:$B$404=$D19)*('債券'!$Y$5:$Y$404=1)*'債券'!$AV$5:$AV$404)&gt;0,SUMPRODUCT(('債券'!$B$5:$B$404=$D19)*('債券'!$Y$5:$Y$404=1)*'債券'!$AV$5:$AV$404*'債券'!$AW$5:$AW$404)/SUMPRODUCT(('債券'!$B$5:$B$404=$D19)*('債券'!$Y$5:$Y$404=1)*'債券'!$AV$5:$AV$404),""))</f>
        <v/>
      </c>
      <c r="X19" s="25">
        <f>IF($D19="","",IFERROR(AVERAGEIFS('債券'!$AQ$5:$AQ$404,'債券'!$B$5:$B$404,$D19,'債券'!$Y$5:$Y$404,1),""))</f>
        <v/>
      </c>
      <c r="Y19" s="22">
        <f>IF($D19="","",COUNTIFS('債券'!$B$5:$B$404,$D19,'債券'!$AS$5:$AS$404,"加碼候選"))</f>
        <v/>
      </c>
      <c r="Z19" s="22">
        <f>IF($D19="","",COUNTIFS('債券'!$B$5:$B$404,$D19,'債券'!$AS$5:$AS$404,"減碼候選"))</f>
        <v/>
      </c>
    </row>
    <row r="20">
      <c r="A20" s="16" t="inlineStr">
        <is>
          <t>半導體</t>
        </is>
      </c>
      <c r="B20" s="16" t="inlineStr">
        <is>
          <t>TSMC</t>
        </is>
      </c>
      <c r="C20" s="16" t="inlineStr">
        <is>
          <t>2330 TT Equity</t>
        </is>
      </c>
      <c r="D20" s="16" t="inlineStr">
        <is>
          <t>請確認</t>
        </is>
      </c>
      <c r="E20" s="16" t="inlineStr">
        <is>
          <t>美元債由海外子公司發行，財報為台幣（已用美元覆寫）</t>
        </is>
      </c>
      <c r="F20" s="17">
        <f>IF($C20="","",BDP($C20,F$3))</f>
        <v/>
      </c>
      <c r="G20" s="18">
        <f>IF($C20="","",BDP($C20,G$3))</f>
        <v/>
      </c>
      <c r="H20" s="18">
        <f>IF($C20="","",BDP($C20,H$3))</f>
        <v/>
      </c>
      <c r="I20" s="17">
        <f>IF($C20="","",BDP($C20,I$3,"EQY_FUND_CRNCY","USD"))</f>
        <v/>
      </c>
      <c r="J20" s="19">
        <f>IF($C20="","",BDP($C20,J$3,"EQY_FUND_CRNCY","USD"))</f>
        <v/>
      </c>
      <c r="K20" s="19">
        <f>IF($C20="","",BDP($C20,K$3,"EQY_FUND_CRNCY","USD"))</f>
        <v/>
      </c>
      <c r="L20" s="17">
        <f>IF($C20="","",BDP($C20,L$3,"EQY_FUND_CRNCY","USD"))</f>
        <v/>
      </c>
      <c r="M20" s="19">
        <f>IF($C20="","",BDP($C20,M$3,"EQY_FUND_CRNCY","USD"))</f>
        <v/>
      </c>
      <c r="N20" s="19">
        <f>IF($C20="","",BDP($C20,N$3,"EQY_FUND_CRNCY","USD"))</f>
        <v/>
      </c>
      <c r="O20" s="18">
        <f>IF($C20="","",BDP($C20,O$3))</f>
        <v/>
      </c>
      <c r="P20" s="18">
        <f>IF(LEFT($O20,1)="#","",IF($O20="","",BDP($O20,P$3)))</f>
        <v/>
      </c>
      <c r="Q20" s="20">
        <f>IF(AND(ISNUMBER($M20),ISNUMBER($N20)),IF($N20&gt;0,$M20/$N20,""),"")</f>
        <v/>
      </c>
      <c r="R20" s="21">
        <f>IF(AND(ISNUMBER($J20),ISNUMBER($I20)),IF($I20&gt;0,ABS($J20)/$I20,""),"")</f>
        <v/>
      </c>
      <c r="S20" s="21">
        <f>IF(AND(ISNUMBER($K20),ISNUMBER($L20)),IF($L20&gt;0,$K20/$L20,""),"")</f>
        <v/>
      </c>
      <c r="T20" s="22">
        <f>IF($D20="","",COUNTIFS('債券'!$B$5:$B$404,$D20,'債券'!$Y$5:$Y$404,1))</f>
        <v/>
      </c>
      <c r="U20" s="23">
        <f>IF($D20="","",SUMPRODUCT(('債券'!$B$5:$B$404=$D20)*('債券'!$Y$5:$Y$404=1)*'債券'!$AV$5:$AV$404)/1E6)</f>
        <v/>
      </c>
      <c r="V20" s="24">
        <f>IF($D20="","",IF(SUMPRODUCT(('債券'!$B$5:$B$404=$D20)*('債券'!$Y$5:$Y$404=1)*'債券'!$AV$5:$AV$404)&gt;0,SUMPRODUCT(('債券'!$B$5:$B$404=$D20)*('債券'!$Y$5:$Y$404=1)*'債券'!$AV$5:$AV$404*'債券'!$AT$5:$AT$404)/SUMPRODUCT(('債券'!$B$5:$B$404=$D20)*('債券'!$Y$5:$Y$404=1)*'債券'!$AV$5:$AV$404),""))</f>
        <v/>
      </c>
      <c r="W20" s="24">
        <f>IF($D20="","",IF(SUMPRODUCT(('債券'!$B$5:$B$404=$D20)*('債券'!$Y$5:$Y$404=1)*'債券'!$AV$5:$AV$404)&gt;0,SUMPRODUCT(('債券'!$B$5:$B$404=$D20)*('債券'!$Y$5:$Y$404=1)*'債券'!$AV$5:$AV$404*'債券'!$AW$5:$AW$404)/SUMPRODUCT(('債券'!$B$5:$B$404=$D20)*('債券'!$Y$5:$Y$404=1)*'債券'!$AV$5:$AV$404),""))</f>
        <v/>
      </c>
      <c r="X20" s="25">
        <f>IF($D20="","",IFERROR(AVERAGEIFS('債券'!$AQ$5:$AQ$404,'債券'!$B$5:$B$404,$D20,'債券'!$Y$5:$Y$404,1),""))</f>
        <v/>
      </c>
      <c r="Y20" s="22">
        <f>IF($D20="","",COUNTIFS('債券'!$B$5:$B$404,$D20,'債券'!$AS$5:$AS$404,"加碼候選"))</f>
        <v/>
      </c>
      <c r="Z20" s="22">
        <f>IF($D20="","",COUNTIFS('債券'!$B$5:$B$404,$D20,'債券'!$AS$5:$AS$404,"減碼候選"))</f>
        <v/>
      </c>
    </row>
    <row r="21">
      <c r="A21" s="16" t="inlineStr">
        <is>
          <t>半導體</t>
        </is>
      </c>
      <c r="B21" s="16" t="inlineStr">
        <is>
          <t>SK hynix</t>
        </is>
      </c>
      <c r="C21" s="16" t="inlineStr">
        <is>
          <t>000660 KS Equity</t>
        </is>
      </c>
      <c r="D21" s="16" t="inlineStr">
        <is>
          <t>請確認</t>
        </is>
      </c>
      <c r="E21" s="16" t="inlineStr">
        <is>
          <t>財報為韓元（已用美元覆寫）</t>
        </is>
      </c>
      <c r="F21" s="17">
        <f>IF($C21="","",BDP($C21,F$3))</f>
        <v/>
      </c>
      <c r="G21" s="18">
        <f>IF($C21="","",BDP($C21,G$3))</f>
        <v/>
      </c>
      <c r="H21" s="18">
        <f>IF($C21="","",BDP($C21,H$3))</f>
        <v/>
      </c>
      <c r="I21" s="17">
        <f>IF($C21="","",BDP($C21,I$3,"EQY_FUND_CRNCY","USD"))</f>
        <v/>
      </c>
      <c r="J21" s="19">
        <f>IF($C21="","",BDP($C21,J$3,"EQY_FUND_CRNCY","USD"))</f>
        <v/>
      </c>
      <c r="K21" s="19">
        <f>IF($C21="","",BDP($C21,K$3,"EQY_FUND_CRNCY","USD"))</f>
        <v/>
      </c>
      <c r="L21" s="17">
        <f>IF($C21="","",BDP($C21,L$3,"EQY_FUND_CRNCY","USD"))</f>
        <v/>
      </c>
      <c r="M21" s="19">
        <f>IF($C21="","",BDP($C21,M$3,"EQY_FUND_CRNCY","USD"))</f>
        <v/>
      </c>
      <c r="N21" s="19">
        <f>IF($C21="","",BDP($C21,N$3,"EQY_FUND_CRNCY","USD"))</f>
        <v/>
      </c>
      <c r="O21" s="18">
        <f>IF($C21="","",BDP($C21,O$3))</f>
        <v/>
      </c>
      <c r="P21" s="18">
        <f>IF(LEFT($O21,1)="#","",IF($O21="","",BDP($O21,P$3)))</f>
        <v/>
      </c>
      <c r="Q21" s="20">
        <f>IF(AND(ISNUMBER($M21),ISNUMBER($N21)),IF($N21&gt;0,$M21/$N21,""),"")</f>
        <v/>
      </c>
      <c r="R21" s="21">
        <f>IF(AND(ISNUMBER($J21),ISNUMBER($I21)),IF($I21&gt;0,ABS($J21)/$I21,""),"")</f>
        <v/>
      </c>
      <c r="S21" s="21">
        <f>IF(AND(ISNUMBER($K21),ISNUMBER($L21)),IF($L21&gt;0,$K21/$L21,""),"")</f>
        <v/>
      </c>
      <c r="T21" s="22">
        <f>IF($D21="","",COUNTIFS('債券'!$B$5:$B$404,$D21,'債券'!$Y$5:$Y$404,1))</f>
        <v/>
      </c>
      <c r="U21" s="23">
        <f>IF($D21="","",SUMPRODUCT(('債券'!$B$5:$B$404=$D21)*('債券'!$Y$5:$Y$404=1)*'債券'!$AV$5:$AV$404)/1E6)</f>
        <v/>
      </c>
      <c r="V21" s="24">
        <f>IF($D21="","",IF(SUMPRODUCT(('債券'!$B$5:$B$404=$D21)*('債券'!$Y$5:$Y$404=1)*'債券'!$AV$5:$AV$404)&gt;0,SUMPRODUCT(('債券'!$B$5:$B$404=$D21)*('債券'!$Y$5:$Y$404=1)*'債券'!$AV$5:$AV$404*'債券'!$AT$5:$AT$404)/SUMPRODUCT(('債券'!$B$5:$B$404=$D21)*('債券'!$Y$5:$Y$404=1)*'債券'!$AV$5:$AV$404),""))</f>
        <v/>
      </c>
      <c r="W21" s="24">
        <f>IF($D21="","",IF(SUMPRODUCT(('債券'!$B$5:$B$404=$D21)*('債券'!$Y$5:$Y$404=1)*'債券'!$AV$5:$AV$404)&gt;0,SUMPRODUCT(('債券'!$B$5:$B$404=$D21)*('債券'!$Y$5:$Y$404=1)*'債券'!$AV$5:$AV$404*'債券'!$AW$5:$AW$404)/SUMPRODUCT(('債券'!$B$5:$B$404=$D21)*('債券'!$Y$5:$Y$404=1)*'債券'!$AV$5:$AV$404),""))</f>
        <v/>
      </c>
      <c r="X21" s="25">
        <f>IF($D21="","",IFERROR(AVERAGEIFS('債券'!$AQ$5:$AQ$404,'債券'!$B$5:$B$404,$D21,'債券'!$Y$5:$Y$404,1),""))</f>
        <v/>
      </c>
      <c r="Y21" s="22">
        <f>IF($D21="","",COUNTIFS('債券'!$B$5:$B$404,$D21,'債券'!$AS$5:$AS$404,"加碼候選"))</f>
        <v/>
      </c>
      <c r="Z21" s="22">
        <f>IF($D21="","",COUNTIFS('債券'!$B$5:$B$404,$D21,'債券'!$AS$5:$AS$404,"減碼候選"))</f>
        <v/>
      </c>
    </row>
    <row r="22">
      <c r="A22" s="16" t="inlineStr">
        <is>
          <t>伺服器／網通</t>
        </is>
      </c>
      <c r="B22" s="16" t="inlineStr">
        <is>
          <t>Cisco</t>
        </is>
      </c>
      <c r="C22" s="16" t="inlineStr">
        <is>
          <t>CSCO US Equity</t>
        </is>
      </c>
      <c r="D22" s="16" t="inlineStr">
        <is>
          <t>CSCO</t>
        </is>
      </c>
      <c r="E22" s="16" t="inlineStr"/>
      <c r="F22" s="17">
        <f>IF($C22="","",BDP($C22,F$3))</f>
        <v/>
      </c>
      <c r="G22" s="18">
        <f>IF($C22="","",BDP($C22,G$3))</f>
        <v/>
      </c>
      <c r="H22" s="18">
        <f>IF($C22="","",BDP($C22,H$3))</f>
        <v/>
      </c>
      <c r="I22" s="17">
        <f>IF($C22="","",BDP($C22,I$3,"EQY_FUND_CRNCY","USD"))</f>
        <v/>
      </c>
      <c r="J22" s="19">
        <f>IF($C22="","",BDP($C22,J$3,"EQY_FUND_CRNCY","USD"))</f>
        <v/>
      </c>
      <c r="K22" s="19">
        <f>IF($C22="","",BDP($C22,K$3,"EQY_FUND_CRNCY","USD"))</f>
        <v/>
      </c>
      <c r="L22" s="17">
        <f>IF($C22="","",BDP($C22,L$3,"EQY_FUND_CRNCY","USD"))</f>
        <v/>
      </c>
      <c r="M22" s="19">
        <f>IF($C22="","",BDP($C22,M$3,"EQY_FUND_CRNCY","USD"))</f>
        <v/>
      </c>
      <c r="N22" s="19">
        <f>IF($C22="","",BDP($C22,N$3,"EQY_FUND_CRNCY","USD"))</f>
        <v/>
      </c>
      <c r="O22" s="18">
        <f>IF($C22="","",BDP($C22,O$3))</f>
        <v/>
      </c>
      <c r="P22" s="18">
        <f>IF(LEFT($O22,1)="#","",IF($O22="","",BDP($O22,P$3)))</f>
        <v/>
      </c>
      <c r="Q22" s="20">
        <f>IF(AND(ISNUMBER($M22),ISNUMBER($N22)),IF($N22&gt;0,$M22/$N22,""),"")</f>
        <v/>
      </c>
      <c r="R22" s="21">
        <f>IF(AND(ISNUMBER($J22),ISNUMBER($I22)),IF($I22&gt;0,ABS($J22)/$I22,""),"")</f>
        <v/>
      </c>
      <c r="S22" s="21">
        <f>IF(AND(ISNUMBER($K22),ISNUMBER($L22)),IF($L22&gt;0,$K22/$L22,""),"")</f>
        <v/>
      </c>
      <c r="T22" s="22">
        <f>IF($D22="","",COUNTIFS('債券'!$B$5:$B$404,$D22,'債券'!$Y$5:$Y$404,1))</f>
        <v/>
      </c>
      <c r="U22" s="23">
        <f>IF($D22="","",SUMPRODUCT(('債券'!$B$5:$B$404=$D22)*('債券'!$Y$5:$Y$404=1)*'債券'!$AV$5:$AV$404)/1E6)</f>
        <v/>
      </c>
      <c r="V22" s="24">
        <f>IF($D22="","",IF(SUMPRODUCT(('債券'!$B$5:$B$404=$D22)*('債券'!$Y$5:$Y$404=1)*'債券'!$AV$5:$AV$404)&gt;0,SUMPRODUCT(('債券'!$B$5:$B$404=$D22)*('債券'!$Y$5:$Y$404=1)*'債券'!$AV$5:$AV$404*'債券'!$AT$5:$AT$404)/SUMPRODUCT(('債券'!$B$5:$B$404=$D22)*('債券'!$Y$5:$Y$404=1)*'債券'!$AV$5:$AV$404),""))</f>
        <v/>
      </c>
      <c r="W22" s="24">
        <f>IF($D22="","",IF(SUMPRODUCT(('債券'!$B$5:$B$404=$D22)*('債券'!$Y$5:$Y$404=1)*'債券'!$AV$5:$AV$404)&gt;0,SUMPRODUCT(('債券'!$B$5:$B$404=$D22)*('債券'!$Y$5:$Y$404=1)*'債券'!$AV$5:$AV$404*'債券'!$AW$5:$AW$404)/SUMPRODUCT(('債券'!$B$5:$B$404=$D22)*('債券'!$Y$5:$Y$404=1)*'債券'!$AV$5:$AV$404),""))</f>
        <v/>
      </c>
      <c r="X22" s="25">
        <f>IF($D22="","",IFERROR(AVERAGEIFS('債券'!$AQ$5:$AQ$404,'債券'!$B$5:$B$404,$D22,'債券'!$Y$5:$Y$404,1),""))</f>
        <v/>
      </c>
      <c r="Y22" s="22">
        <f>IF($D22="","",COUNTIFS('債券'!$B$5:$B$404,$D22,'債券'!$AS$5:$AS$404,"加碼候選"))</f>
        <v/>
      </c>
      <c r="Z22" s="22">
        <f>IF($D22="","",COUNTIFS('債券'!$B$5:$B$404,$D22,'債券'!$AS$5:$AS$404,"減碼候選"))</f>
        <v/>
      </c>
    </row>
    <row r="23">
      <c r="A23" s="16" t="inlineStr">
        <is>
          <t>伺服器／網通</t>
        </is>
      </c>
      <c r="B23" s="16" t="inlineStr">
        <is>
          <t>Dell Technologies</t>
        </is>
      </c>
      <c r="C23" s="16" t="inlineStr">
        <is>
          <t>DELL US Equity</t>
        </is>
      </c>
      <c r="D23" s="16" t="inlineStr">
        <is>
          <t>DELL</t>
        </is>
      </c>
      <c r="E23" s="16" t="inlineStr">
        <is>
          <t>AI 伺服器</t>
        </is>
      </c>
      <c r="F23" s="17">
        <f>IF($C23="","",BDP($C23,F$3))</f>
        <v/>
      </c>
      <c r="G23" s="18">
        <f>IF($C23="","",BDP($C23,G$3))</f>
        <v/>
      </c>
      <c r="H23" s="18">
        <f>IF($C23="","",BDP($C23,H$3))</f>
        <v/>
      </c>
      <c r="I23" s="17">
        <f>IF($C23="","",BDP($C23,I$3,"EQY_FUND_CRNCY","USD"))</f>
        <v/>
      </c>
      <c r="J23" s="19">
        <f>IF($C23="","",BDP($C23,J$3,"EQY_FUND_CRNCY","USD"))</f>
        <v/>
      </c>
      <c r="K23" s="19">
        <f>IF($C23="","",BDP($C23,K$3,"EQY_FUND_CRNCY","USD"))</f>
        <v/>
      </c>
      <c r="L23" s="17">
        <f>IF($C23="","",BDP($C23,L$3,"EQY_FUND_CRNCY","USD"))</f>
        <v/>
      </c>
      <c r="M23" s="19">
        <f>IF($C23="","",BDP($C23,M$3,"EQY_FUND_CRNCY","USD"))</f>
        <v/>
      </c>
      <c r="N23" s="19">
        <f>IF($C23="","",BDP($C23,N$3,"EQY_FUND_CRNCY","USD"))</f>
        <v/>
      </c>
      <c r="O23" s="18">
        <f>IF($C23="","",BDP($C23,O$3))</f>
        <v/>
      </c>
      <c r="P23" s="18">
        <f>IF(LEFT($O23,1)="#","",IF($O23="","",BDP($O23,P$3)))</f>
        <v/>
      </c>
      <c r="Q23" s="20">
        <f>IF(AND(ISNUMBER($M23),ISNUMBER($N23)),IF($N23&gt;0,$M23/$N23,""),"")</f>
        <v/>
      </c>
      <c r="R23" s="21">
        <f>IF(AND(ISNUMBER($J23),ISNUMBER($I23)),IF($I23&gt;0,ABS($J23)/$I23,""),"")</f>
        <v/>
      </c>
      <c r="S23" s="21">
        <f>IF(AND(ISNUMBER($K23),ISNUMBER($L23)),IF($L23&gt;0,$K23/$L23,""),"")</f>
        <v/>
      </c>
      <c r="T23" s="22">
        <f>IF($D23="","",COUNTIFS('債券'!$B$5:$B$404,$D23,'債券'!$Y$5:$Y$404,1))</f>
        <v/>
      </c>
      <c r="U23" s="23">
        <f>IF($D23="","",SUMPRODUCT(('債券'!$B$5:$B$404=$D23)*('債券'!$Y$5:$Y$404=1)*'債券'!$AV$5:$AV$404)/1E6)</f>
        <v/>
      </c>
      <c r="V23" s="24">
        <f>IF($D23="","",IF(SUMPRODUCT(('債券'!$B$5:$B$404=$D23)*('債券'!$Y$5:$Y$404=1)*'債券'!$AV$5:$AV$404)&gt;0,SUMPRODUCT(('債券'!$B$5:$B$404=$D23)*('債券'!$Y$5:$Y$404=1)*'債券'!$AV$5:$AV$404*'債券'!$AT$5:$AT$404)/SUMPRODUCT(('債券'!$B$5:$B$404=$D23)*('債券'!$Y$5:$Y$404=1)*'債券'!$AV$5:$AV$404),""))</f>
        <v/>
      </c>
      <c r="W23" s="24">
        <f>IF($D23="","",IF(SUMPRODUCT(('債券'!$B$5:$B$404=$D23)*('債券'!$Y$5:$Y$404=1)*'債券'!$AV$5:$AV$404)&gt;0,SUMPRODUCT(('債券'!$B$5:$B$404=$D23)*('債券'!$Y$5:$Y$404=1)*'債券'!$AV$5:$AV$404*'債券'!$AW$5:$AW$404)/SUMPRODUCT(('債券'!$B$5:$B$404=$D23)*('債券'!$Y$5:$Y$404=1)*'債券'!$AV$5:$AV$404),""))</f>
        <v/>
      </c>
      <c r="X23" s="25">
        <f>IF($D23="","",IFERROR(AVERAGEIFS('債券'!$AQ$5:$AQ$404,'債券'!$B$5:$B$404,$D23,'債券'!$Y$5:$Y$404,1),""))</f>
        <v/>
      </c>
      <c r="Y23" s="22">
        <f>IF($D23="","",COUNTIFS('債券'!$B$5:$B$404,$D23,'債券'!$AS$5:$AS$404,"加碼候選"))</f>
        <v/>
      </c>
      <c r="Z23" s="22">
        <f>IF($D23="","",COUNTIFS('債券'!$B$5:$B$404,$D23,'債券'!$AS$5:$AS$404,"減碼候選"))</f>
        <v/>
      </c>
    </row>
    <row r="24">
      <c r="A24" s="16" t="inlineStr">
        <is>
          <t>伺服器／網通</t>
        </is>
      </c>
      <c r="B24" s="16" t="inlineStr">
        <is>
          <t>Hewlett Packard Enterprise</t>
        </is>
      </c>
      <c r="C24" s="16" t="inlineStr">
        <is>
          <t>HPE US Equity</t>
        </is>
      </c>
      <c r="D24" s="16" t="inlineStr">
        <is>
          <t>HPE</t>
        </is>
      </c>
      <c r="E24" s="16" t="inlineStr"/>
      <c r="F24" s="17">
        <f>IF($C24="","",BDP($C24,F$3))</f>
        <v/>
      </c>
      <c r="G24" s="18">
        <f>IF($C24="","",BDP($C24,G$3))</f>
        <v/>
      </c>
      <c r="H24" s="18">
        <f>IF($C24="","",BDP($C24,H$3))</f>
        <v/>
      </c>
      <c r="I24" s="17">
        <f>IF($C24="","",BDP($C24,I$3,"EQY_FUND_CRNCY","USD"))</f>
        <v/>
      </c>
      <c r="J24" s="19">
        <f>IF($C24="","",BDP($C24,J$3,"EQY_FUND_CRNCY","USD"))</f>
        <v/>
      </c>
      <c r="K24" s="19">
        <f>IF($C24="","",BDP($C24,K$3,"EQY_FUND_CRNCY","USD"))</f>
        <v/>
      </c>
      <c r="L24" s="17">
        <f>IF($C24="","",BDP($C24,L$3,"EQY_FUND_CRNCY","USD"))</f>
        <v/>
      </c>
      <c r="M24" s="19">
        <f>IF($C24="","",BDP($C24,M$3,"EQY_FUND_CRNCY","USD"))</f>
        <v/>
      </c>
      <c r="N24" s="19">
        <f>IF($C24="","",BDP($C24,N$3,"EQY_FUND_CRNCY","USD"))</f>
        <v/>
      </c>
      <c r="O24" s="18">
        <f>IF($C24="","",BDP($C24,O$3))</f>
        <v/>
      </c>
      <c r="P24" s="18">
        <f>IF(LEFT($O24,1)="#","",IF($O24="","",BDP($O24,P$3)))</f>
        <v/>
      </c>
      <c r="Q24" s="20">
        <f>IF(AND(ISNUMBER($M24),ISNUMBER($N24)),IF($N24&gt;0,$M24/$N24,""),"")</f>
        <v/>
      </c>
      <c r="R24" s="21">
        <f>IF(AND(ISNUMBER($J24),ISNUMBER($I24)),IF($I24&gt;0,ABS($J24)/$I24,""),"")</f>
        <v/>
      </c>
      <c r="S24" s="21">
        <f>IF(AND(ISNUMBER($K24),ISNUMBER($L24)),IF($L24&gt;0,$K24/$L24,""),"")</f>
        <v/>
      </c>
      <c r="T24" s="22">
        <f>IF($D24="","",COUNTIFS('債券'!$B$5:$B$404,$D24,'債券'!$Y$5:$Y$404,1))</f>
        <v/>
      </c>
      <c r="U24" s="23">
        <f>IF($D24="","",SUMPRODUCT(('債券'!$B$5:$B$404=$D24)*('債券'!$Y$5:$Y$404=1)*'債券'!$AV$5:$AV$404)/1E6)</f>
        <v/>
      </c>
      <c r="V24" s="24">
        <f>IF($D24="","",IF(SUMPRODUCT(('債券'!$B$5:$B$404=$D24)*('債券'!$Y$5:$Y$404=1)*'債券'!$AV$5:$AV$404)&gt;0,SUMPRODUCT(('債券'!$B$5:$B$404=$D24)*('債券'!$Y$5:$Y$404=1)*'債券'!$AV$5:$AV$404*'債券'!$AT$5:$AT$404)/SUMPRODUCT(('債券'!$B$5:$B$404=$D24)*('債券'!$Y$5:$Y$404=1)*'債券'!$AV$5:$AV$404),""))</f>
        <v/>
      </c>
      <c r="W24" s="24">
        <f>IF($D24="","",IF(SUMPRODUCT(('債券'!$B$5:$B$404=$D24)*('債券'!$Y$5:$Y$404=1)*'債券'!$AV$5:$AV$404)&gt;0,SUMPRODUCT(('債券'!$B$5:$B$404=$D24)*('債券'!$Y$5:$Y$404=1)*'債券'!$AV$5:$AV$404*'債券'!$AW$5:$AW$404)/SUMPRODUCT(('債券'!$B$5:$B$404=$D24)*('債券'!$Y$5:$Y$404=1)*'債券'!$AV$5:$AV$404),""))</f>
        <v/>
      </c>
      <c r="X24" s="25">
        <f>IF($D24="","",IFERROR(AVERAGEIFS('債券'!$AQ$5:$AQ$404,'債券'!$B$5:$B$404,$D24,'債券'!$Y$5:$Y$404,1),""))</f>
        <v/>
      </c>
      <c r="Y24" s="22">
        <f>IF($D24="","",COUNTIFS('債券'!$B$5:$B$404,$D24,'債券'!$AS$5:$AS$404,"加碼候選"))</f>
        <v/>
      </c>
      <c r="Z24" s="22">
        <f>IF($D24="","",COUNTIFS('債券'!$B$5:$B$404,$D24,'債券'!$AS$5:$AS$404,"減碼候選"))</f>
        <v/>
      </c>
    </row>
    <row r="25">
      <c r="A25" s="16" t="inlineStr">
        <is>
          <t>軟體</t>
        </is>
      </c>
      <c r="B25" s="16" t="inlineStr">
        <is>
          <t>Salesforce</t>
        </is>
      </c>
      <c r="C25" s="16" t="inlineStr">
        <is>
          <t>CRM US Equity</t>
        </is>
      </c>
      <c r="D25" s="16" t="inlineStr">
        <is>
          <t>CRM</t>
        </is>
      </c>
      <c r="E25" s="16" t="inlineStr"/>
      <c r="F25" s="17">
        <f>IF($C25="","",BDP($C25,F$3))</f>
        <v/>
      </c>
      <c r="G25" s="18">
        <f>IF($C25="","",BDP($C25,G$3))</f>
        <v/>
      </c>
      <c r="H25" s="18">
        <f>IF($C25="","",BDP($C25,H$3))</f>
        <v/>
      </c>
      <c r="I25" s="17">
        <f>IF($C25="","",BDP($C25,I$3,"EQY_FUND_CRNCY","USD"))</f>
        <v/>
      </c>
      <c r="J25" s="19">
        <f>IF($C25="","",BDP($C25,J$3,"EQY_FUND_CRNCY","USD"))</f>
        <v/>
      </c>
      <c r="K25" s="19">
        <f>IF($C25="","",BDP($C25,K$3,"EQY_FUND_CRNCY","USD"))</f>
        <v/>
      </c>
      <c r="L25" s="17">
        <f>IF($C25="","",BDP($C25,L$3,"EQY_FUND_CRNCY","USD"))</f>
        <v/>
      </c>
      <c r="M25" s="19">
        <f>IF($C25="","",BDP($C25,M$3,"EQY_FUND_CRNCY","USD"))</f>
        <v/>
      </c>
      <c r="N25" s="19">
        <f>IF($C25="","",BDP($C25,N$3,"EQY_FUND_CRNCY","USD"))</f>
        <v/>
      </c>
      <c r="O25" s="18">
        <f>IF($C25="","",BDP($C25,O$3))</f>
        <v/>
      </c>
      <c r="P25" s="18">
        <f>IF(LEFT($O25,1)="#","",IF($O25="","",BDP($O25,P$3)))</f>
        <v/>
      </c>
      <c r="Q25" s="20">
        <f>IF(AND(ISNUMBER($M25),ISNUMBER($N25)),IF($N25&gt;0,$M25/$N25,""),"")</f>
        <v/>
      </c>
      <c r="R25" s="21">
        <f>IF(AND(ISNUMBER($J25),ISNUMBER($I25)),IF($I25&gt;0,ABS($J25)/$I25,""),"")</f>
        <v/>
      </c>
      <c r="S25" s="21">
        <f>IF(AND(ISNUMBER($K25),ISNUMBER($L25)),IF($L25&gt;0,$K25/$L25,""),"")</f>
        <v/>
      </c>
      <c r="T25" s="22">
        <f>IF($D25="","",COUNTIFS('債券'!$B$5:$B$404,$D25,'債券'!$Y$5:$Y$404,1))</f>
        <v/>
      </c>
      <c r="U25" s="23">
        <f>IF($D25="","",SUMPRODUCT(('債券'!$B$5:$B$404=$D25)*('債券'!$Y$5:$Y$404=1)*'債券'!$AV$5:$AV$404)/1E6)</f>
        <v/>
      </c>
      <c r="V25" s="24">
        <f>IF($D25="","",IF(SUMPRODUCT(('債券'!$B$5:$B$404=$D25)*('債券'!$Y$5:$Y$404=1)*'債券'!$AV$5:$AV$404)&gt;0,SUMPRODUCT(('債券'!$B$5:$B$404=$D25)*('債券'!$Y$5:$Y$404=1)*'債券'!$AV$5:$AV$404*'債券'!$AT$5:$AT$404)/SUMPRODUCT(('債券'!$B$5:$B$404=$D25)*('債券'!$Y$5:$Y$404=1)*'債券'!$AV$5:$AV$404),""))</f>
        <v/>
      </c>
      <c r="W25" s="24">
        <f>IF($D25="","",IF(SUMPRODUCT(('債券'!$B$5:$B$404=$D25)*('債券'!$Y$5:$Y$404=1)*'債券'!$AV$5:$AV$404)&gt;0,SUMPRODUCT(('債券'!$B$5:$B$404=$D25)*('債券'!$Y$5:$Y$404=1)*'債券'!$AV$5:$AV$404*'債券'!$AW$5:$AW$404)/SUMPRODUCT(('債券'!$B$5:$B$404=$D25)*('債券'!$Y$5:$Y$404=1)*'債券'!$AV$5:$AV$404),""))</f>
        <v/>
      </c>
      <c r="X25" s="25">
        <f>IF($D25="","",IFERROR(AVERAGEIFS('債券'!$AQ$5:$AQ$404,'債券'!$B$5:$B$404,$D25,'債券'!$Y$5:$Y$404,1),""))</f>
        <v/>
      </c>
      <c r="Y25" s="22">
        <f>IF($D25="","",COUNTIFS('債券'!$B$5:$B$404,$D25,'債券'!$AS$5:$AS$404,"加碼候選"))</f>
        <v/>
      </c>
      <c r="Z25" s="22">
        <f>IF($D25="","",COUNTIFS('債券'!$B$5:$B$404,$D25,'債券'!$AS$5:$AS$404,"減碼候選"))</f>
        <v/>
      </c>
    </row>
    <row r="26">
      <c r="A26" s="16" t="inlineStr">
        <is>
          <t>資料中心</t>
        </is>
      </c>
      <c r="B26" s="16" t="inlineStr">
        <is>
          <t>Equinix</t>
        </is>
      </c>
      <c r="C26" s="16" t="inlineStr">
        <is>
          <t>EQIX US Equity</t>
        </is>
      </c>
      <c r="D26" s="16" t="inlineStr">
        <is>
          <t>EQIX</t>
        </is>
      </c>
      <c r="E26" s="16" t="inlineStr">
        <is>
          <t>REIT</t>
        </is>
      </c>
      <c r="F26" s="17">
        <f>IF($C26="","",BDP($C26,F$3))</f>
        <v/>
      </c>
      <c r="G26" s="18">
        <f>IF($C26="","",BDP($C26,G$3))</f>
        <v/>
      </c>
      <c r="H26" s="18">
        <f>IF($C26="","",BDP($C26,H$3))</f>
        <v/>
      </c>
      <c r="I26" s="17">
        <f>IF($C26="","",BDP($C26,I$3,"EQY_FUND_CRNCY","USD"))</f>
        <v/>
      </c>
      <c r="J26" s="19">
        <f>IF($C26="","",BDP($C26,J$3,"EQY_FUND_CRNCY","USD"))</f>
        <v/>
      </c>
      <c r="K26" s="19">
        <f>IF($C26="","",BDP($C26,K$3,"EQY_FUND_CRNCY","USD"))</f>
        <v/>
      </c>
      <c r="L26" s="17">
        <f>IF($C26="","",BDP($C26,L$3,"EQY_FUND_CRNCY","USD"))</f>
        <v/>
      </c>
      <c r="M26" s="19">
        <f>IF($C26="","",BDP($C26,M$3,"EQY_FUND_CRNCY","USD"))</f>
        <v/>
      </c>
      <c r="N26" s="19">
        <f>IF($C26="","",BDP($C26,N$3,"EQY_FUND_CRNCY","USD"))</f>
        <v/>
      </c>
      <c r="O26" s="18">
        <f>IF($C26="","",BDP($C26,O$3))</f>
        <v/>
      </c>
      <c r="P26" s="18">
        <f>IF(LEFT($O26,1)="#","",IF($O26="","",BDP($O26,P$3)))</f>
        <v/>
      </c>
      <c r="Q26" s="20">
        <f>IF(AND(ISNUMBER($M26),ISNUMBER($N26)),IF($N26&gt;0,$M26/$N26,""),"")</f>
        <v/>
      </c>
      <c r="R26" s="21">
        <f>IF(AND(ISNUMBER($J26),ISNUMBER($I26)),IF($I26&gt;0,ABS($J26)/$I26,""),"")</f>
        <v/>
      </c>
      <c r="S26" s="21">
        <f>IF(AND(ISNUMBER($K26),ISNUMBER($L26)),IF($L26&gt;0,$K26/$L26,""),"")</f>
        <v/>
      </c>
      <c r="T26" s="22">
        <f>IF($D26="","",COUNTIFS('債券'!$B$5:$B$404,$D26,'債券'!$Y$5:$Y$404,1))</f>
        <v/>
      </c>
      <c r="U26" s="23">
        <f>IF($D26="","",SUMPRODUCT(('債券'!$B$5:$B$404=$D26)*('債券'!$Y$5:$Y$404=1)*'債券'!$AV$5:$AV$404)/1E6)</f>
        <v/>
      </c>
      <c r="V26" s="24">
        <f>IF($D26="","",IF(SUMPRODUCT(('債券'!$B$5:$B$404=$D26)*('債券'!$Y$5:$Y$404=1)*'債券'!$AV$5:$AV$404)&gt;0,SUMPRODUCT(('債券'!$B$5:$B$404=$D26)*('債券'!$Y$5:$Y$404=1)*'債券'!$AV$5:$AV$404*'債券'!$AT$5:$AT$404)/SUMPRODUCT(('債券'!$B$5:$B$404=$D26)*('債券'!$Y$5:$Y$404=1)*'債券'!$AV$5:$AV$404),""))</f>
        <v/>
      </c>
      <c r="W26" s="24">
        <f>IF($D26="","",IF(SUMPRODUCT(('債券'!$B$5:$B$404=$D26)*('債券'!$Y$5:$Y$404=1)*'債券'!$AV$5:$AV$404)&gt;0,SUMPRODUCT(('債券'!$B$5:$B$404=$D26)*('債券'!$Y$5:$Y$404=1)*'債券'!$AV$5:$AV$404*'債券'!$AW$5:$AW$404)/SUMPRODUCT(('債券'!$B$5:$B$404=$D26)*('債券'!$Y$5:$Y$404=1)*'債券'!$AV$5:$AV$404),""))</f>
        <v/>
      </c>
      <c r="X26" s="25">
        <f>IF($D26="","",IFERROR(AVERAGEIFS('債券'!$AQ$5:$AQ$404,'債券'!$B$5:$B$404,$D26,'債券'!$Y$5:$Y$404,1),""))</f>
        <v/>
      </c>
      <c r="Y26" s="22">
        <f>IF($D26="","",COUNTIFS('債券'!$B$5:$B$404,$D26,'債券'!$AS$5:$AS$404,"加碼候選"))</f>
        <v/>
      </c>
      <c r="Z26" s="22">
        <f>IF($D26="","",COUNTIFS('債券'!$B$5:$B$404,$D26,'債券'!$AS$5:$AS$404,"減碼候選"))</f>
        <v/>
      </c>
    </row>
    <row r="27">
      <c r="A27" s="16" t="inlineStr">
        <is>
          <t>資料中心</t>
        </is>
      </c>
      <c r="B27" s="16" t="inlineStr">
        <is>
          <t>Digital Realty</t>
        </is>
      </c>
      <c r="C27" s="16" t="inlineStr">
        <is>
          <t>DLR US Equity</t>
        </is>
      </c>
      <c r="D27" s="16" t="inlineStr">
        <is>
          <t>DLR</t>
        </is>
      </c>
      <c r="E27" s="16" t="inlineStr">
        <is>
          <t>REIT</t>
        </is>
      </c>
      <c r="F27" s="17">
        <f>IF($C27="","",BDP($C27,F$3))</f>
        <v/>
      </c>
      <c r="G27" s="18">
        <f>IF($C27="","",BDP($C27,G$3))</f>
        <v/>
      </c>
      <c r="H27" s="18">
        <f>IF($C27="","",BDP($C27,H$3))</f>
        <v/>
      </c>
      <c r="I27" s="17">
        <f>IF($C27="","",BDP($C27,I$3,"EQY_FUND_CRNCY","USD"))</f>
        <v/>
      </c>
      <c r="J27" s="19">
        <f>IF($C27="","",BDP($C27,J$3,"EQY_FUND_CRNCY","USD"))</f>
        <v/>
      </c>
      <c r="K27" s="19">
        <f>IF($C27="","",BDP($C27,K$3,"EQY_FUND_CRNCY","USD"))</f>
        <v/>
      </c>
      <c r="L27" s="17">
        <f>IF($C27="","",BDP($C27,L$3,"EQY_FUND_CRNCY","USD"))</f>
        <v/>
      </c>
      <c r="M27" s="19">
        <f>IF($C27="","",BDP($C27,M$3,"EQY_FUND_CRNCY","USD"))</f>
        <v/>
      </c>
      <c r="N27" s="19">
        <f>IF($C27="","",BDP($C27,N$3,"EQY_FUND_CRNCY","USD"))</f>
        <v/>
      </c>
      <c r="O27" s="18">
        <f>IF($C27="","",BDP($C27,O$3))</f>
        <v/>
      </c>
      <c r="P27" s="18">
        <f>IF(LEFT($O27,1)="#","",IF($O27="","",BDP($O27,P$3)))</f>
        <v/>
      </c>
      <c r="Q27" s="20">
        <f>IF(AND(ISNUMBER($M27),ISNUMBER($N27)),IF($N27&gt;0,$M27/$N27,""),"")</f>
        <v/>
      </c>
      <c r="R27" s="21">
        <f>IF(AND(ISNUMBER($J27),ISNUMBER($I27)),IF($I27&gt;0,ABS($J27)/$I27,""),"")</f>
        <v/>
      </c>
      <c r="S27" s="21">
        <f>IF(AND(ISNUMBER($K27),ISNUMBER($L27)),IF($L27&gt;0,$K27/$L27,""),"")</f>
        <v/>
      </c>
      <c r="T27" s="22">
        <f>IF($D27="","",COUNTIFS('債券'!$B$5:$B$404,$D27,'債券'!$Y$5:$Y$404,1))</f>
        <v/>
      </c>
      <c r="U27" s="23">
        <f>IF($D27="","",SUMPRODUCT(('債券'!$B$5:$B$404=$D27)*('債券'!$Y$5:$Y$404=1)*'債券'!$AV$5:$AV$404)/1E6)</f>
        <v/>
      </c>
      <c r="V27" s="24">
        <f>IF($D27="","",IF(SUMPRODUCT(('債券'!$B$5:$B$404=$D27)*('債券'!$Y$5:$Y$404=1)*'債券'!$AV$5:$AV$404)&gt;0,SUMPRODUCT(('債券'!$B$5:$B$404=$D27)*('債券'!$Y$5:$Y$404=1)*'債券'!$AV$5:$AV$404*'債券'!$AT$5:$AT$404)/SUMPRODUCT(('債券'!$B$5:$B$404=$D27)*('債券'!$Y$5:$Y$404=1)*'債券'!$AV$5:$AV$404),""))</f>
        <v/>
      </c>
      <c r="W27" s="24">
        <f>IF($D27="","",IF(SUMPRODUCT(('債券'!$B$5:$B$404=$D27)*('債券'!$Y$5:$Y$404=1)*'債券'!$AV$5:$AV$404)&gt;0,SUMPRODUCT(('債券'!$B$5:$B$404=$D27)*('債券'!$Y$5:$Y$404=1)*'債券'!$AV$5:$AV$404*'債券'!$AW$5:$AW$404)/SUMPRODUCT(('債券'!$B$5:$B$404=$D27)*('債券'!$Y$5:$Y$404=1)*'債券'!$AV$5:$AV$404),""))</f>
        <v/>
      </c>
      <c r="X27" s="25">
        <f>IF($D27="","",IFERROR(AVERAGEIFS('債券'!$AQ$5:$AQ$404,'債券'!$B$5:$B$404,$D27,'債券'!$Y$5:$Y$404,1),""))</f>
        <v/>
      </c>
      <c r="Y27" s="22">
        <f>IF($D27="","",COUNTIFS('債券'!$B$5:$B$404,$D27,'債券'!$AS$5:$AS$404,"加碼候選"))</f>
        <v/>
      </c>
      <c r="Z27" s="22">
        <f>IF($D27="","",COUNTIFS('債券'!$B$5:$B$404,$D27,'債券'!$AS$5:$AS$404,"減碼候選"))</f>
        <v/>
      </c>
    </row>
    <row r="28">
      <c r="A28" s="16" t="inlineStr">
        <is>
          <t>AI 雲端（高收益）</t>
        </is>
      </c>
      <c r="B28" s="16" t="inlineStr">
        <is>
          <t>CoreWeave</t>
        </is>
      </c>
      <c r="C28" s="16" t="inlineStr">
        <is>
          <t>CRWV US Equity</t>
        </is>
      </c>
      <c r="D28" s="16" t="inlineStr">
        <is>
          <t>請確認</t>
        </is>
      </c>
      <c r="E28" s="16" t="inlineStr">
        <is>
          <t>高收益，債務以 GPU 擔保融資為主</t>
        </is>
      </c>
      <c r="F28" s="17">
        <f>IF($C28="","",BDP($C28,F$3))</f>
        <v/>
      </c>
      <c r="G28" s="18">
        <f>IF($C28="","",BDP($C28,G$3))</f>
        <v/>
      </c>
      <c r="H28" s="18">
        <f>IF($C28="","",BDP($C28,H$3))</f>
        <v/>
      </c>
      <c r="I28" s="17">
        <f>IF($C28="","",BDP($C28,I$3,"EQY_FUND_CRNCY","USD"))</f>
        <v/>
      </c>
      <c r="J28" s="19">
        <f>IF($C28="","",BDP($C28,J$3,"EQY_FUND_CRNCY","USD"))</f>
        <v/>
      </c>
      <c r="K28" s="19">
        <f>IF($C28="","",BDP($C28,K$3,"EQY_FUND_CRNCY","USD"))</f>
        <v/>
      </c>
      <c r="L28" s="17">
        <f>IF($C28="","",BDP($C28,L$3,"EQY_FUND_CRNCY","USD"))</f>
        <v/>
      </c>
      <c r="M28" s="19">
        <f>IF($C28="","",BDP($C28,M$3,"EQY_FUND_CRNCY","USD"))</f>
        <v/>
      </c>
      <c r="N28" s="19">
        <f>IF($C28="","",BDP($C28,N$3,"EQY_FUND_CRNCY","USD"))</f>
        <v/>
      </c>
      <c r="O28" s="18">
        <f>IF($C28="","",BDP($C28,O$3))</f>
        <v/>
      </c>
      <c r="P28" s="18">
        <f>IF(LEFT($O28,1)="#","",IF($O28="","",BDP($O28,P$3)))</f>
        <v/>
      </c>
      <c r="Q28" s="20">
        <f>IF(AND(ISNUMBER($M28),ISNUMBER($N28)),IF($N28&gt;0,$M28/$N28,""),"")</f>
        <v/>
      </c>
      <c r="R28" s="21">
        <f>IF(AND(ISNUMBER($J28),ISNUMBER($I28)),IF($I28&gt;0,ABS($J28)/$I28,""),"")</f>
        <v/>
      </c>
      <c r="S28" s="21">
        <f>IF(AND(ISNUMBER($K28),ISNUMBER($L28)),IF($L28&gt;0,$K28/$L28,""),"")</f>
        <v/>
      </c>
      <c r="T28" s="22">
        <f>IF($D28="","",COUNTIFS('債券'!$B$5:$B$404,$D28,'債券'!$Y$5:$Y$404,1))</f>
        <v/>
      </c>
      <c r="U28" s="23">
        <f>IF($D28="","",SUMPRODUCT(('債券'!$B$5:$B$404=$D28)*('債券'!$Y$5:$Y$404=1)*'債券'!$AV$5:$AV$404)/1E6)</f>
        <v/>
      </c>
      <c r="V28" s="24">
        <f>IF($D28="","",IF(SUMPRODUCT(('債券'!$B$5:$B$404=$D28)*('債券'!$Y$5:$Y$404=1)*'債券'!$AV$5:$AV$404)&gt;0,SUMPRODUCT(('債券'!$B$5:$B$404=$D28)*('債券'!$Y$5:$Y$404=1)*'債券'!$AV$5:$AV$404*'債券'!$AT$5:$AT$404)/SUMPRODUCT(('債券'!$B$5:$B$404=$D28)*('債券'!$Y$5:$Y$404=1)*'債券'!$AV$5:$AV$404),""))</f>
        <v/>
      </c>
      <c r="W28" s="24">
        <f>IF($D28="","",IF(SUMPRODUCT(('債券'!$B$5:$B$404=$D28)*('債券'!$Y$5:$Y$404=1)*'債券'!$AV$5:$AV$404)&gt;0,SUMPRODUCT(('債券'!$B$5:$B$404=$D28)*('債券'!$Y$5:$Y$404=1)*'債券'!$AV$5:$AV$404*'債券'!$AW$5:$AW$404)/SUMPRODUCT(('債券'!$B$5:$B$404=$D28)*('債券'!$Y$5:$Y$404=1)*'債券'!$AV$5:$AV$404),""))</f>
        <v/>
      </c>
      <c r="X28" s="25">
        <f>IF($D28="","",IFERROR(AVERAGEIFS('債券'!$AQ$5:$AQ$404,'債券'!$B$5:$B$404,$D28,'債券'!$Y$5:$Y$404,1),""))</f>
        <v/>
      </c>
      <c r="Y28" s="22">
        <f>IF($D28="","",COUNTIFS('債券'!$B$5:$B$404,$D28,'債券'!$AS$5:$AS$404,"加碼候選"))</f>
        <v/>
      </c>
      <c r="Z28" s="22">
        <f>IF($D28="","",COUNTIFS('債券'!$B$5:$B$404,$D28,'債券'!$AS$5:$AS$404,"減碼候選"))</f>
        <v/>
      </c>
    </row>
    <row r="29">
      <c r="A29" s="26" t="n"/>
      <c r="B29" s="26" t="n"/>
      <c r="C29" s="26" t="n"/>
      <c r="D29" s="26" t="n"/>
      <c r="E29" s="26" t="n"/>
      <c r="F29" s="17">
        <f>IF($C29="","",BDP($C29,F$3))</f>
        <v/>
      </c>
      <c r="G29" s="18">
        <f>IF($C29="","",BDP($C29,G$3))</f>
        <v/>
      </c>
      <c r="H29" s="18">
        <f>IF($C29="","",BDP($C29,H$3))</f>
        <v/>
      </c>
      <c r="I29" s="17">
        <f>IF($C29="","",BDP($C29,I$3,"EQY_FUND_CRNCY","USD"))</f>
        <v/>
      </c>
      <c r="J29" s="19">
        <f>IF($C29="","",BDP($C29,J$3,"EQY_FUND_CRNCY","USD"))</f>
        <v/>
      </c>
      <c r="K29" s="19">
        <f>IF($C29="","",BDP($C29,K$3,"EQY_FUND_CRNCY","USD"))</f>
        <v/>
      </c>
      <c r="L29" s="17">
        <f>IF($C29="","",BDP($C29,L$3,"EQY_FUND_CRNCY","USD"))</f>
        <v/>
      </c>
      <c r="M29" s="19">
        <f>IF($C29="","",BDP($C29,M$3,"EQY_FUND_CRNCY","USD"))</f>
        <v/>
      </c>
      <c r="N29" s="19">
        <f>IF($C29="","",BDP($C29,N$3,"EQY_FUND_CRNCY","USD"))</f>
        <v/>
      </c>
      <c r="O29" s="18">
        <f>IF($C29="","",BDP($C29,O$3))</f>
        <v/>
      </c>
      <c r="P29" s="18">
        <f>IF(LEFT($O29,1)="#","",IF($O29="","",BDP($O29,P$3)))</f>
        <v/>
      </c>
      <c r="Q29" s="20">
        <f>IF(AND(ISNUMBER($M29),ISNUMBER($N29)),IF($N29&gt;0,$M29/$N29,""),"")</f>
        <v/>
      </c>
      <c r="R29" s="21">
        <f>IF(AND(ISNUMBER($J29),ISNUMBER($I29)),IF($I29&gt;0,ABS($J29)/$I29,""),"")</f>
        <v/>
      </c>
      <c r="S29" s="21">
        <f>IF(AND(ISNUMBER($K29),ISNUMBER($L29)),IF($L29&gt;0,$K29/$L29,""),"")</f>
        <v/>
      </c>
      <c r="T29" s="22">
        <f>IF($D29="","",COUNTIFS('債券'!$B$5:$B$404,$D29,'債券'!$Y$5:$Y$404,1))</f>
        <v/>
      </c>
      <c r="U29" s="23">
        <f>IF($D29="","",SUMPRODUCT(('債券'!$B$5:$B$404=$D29)*('債券'!$Y$5:$Y$404=1)*'債券'!$AV$5:$AV$404)/1E6)</f>
        <v/>
      </c>
      <c r="V29" s="24">
        <f>IF($D29="","",IF(SUMPRODUCT(('債券'!$B$5:$B$404=$D29)*('債券'!$Y$5:$Y$404=1)*'債券'!$AV$5:$AV$404)&gt;0,SUMPRODUCT(('債券'!$B$5:$B$404=$D29)*('債券'!$Y$5:$Y$404=1)*'債券'!$AV$5:$AV$404*'債券'!$AT$5:$AT$404)/SUMPRODUCT(('債券'!$B$5:$B$404=$D29)*('債券'!$Y$5:$Y$404=1)*'債券'!$AV$5:$AV$404),""))</f>
        <v/>
      </c>
      <c r="W29" s="24">
        <f>IF($D29="","",IF(SUMPRODUCT(('債券'!$B$5:$B$404=$D29)*('債券'!$Y$5:$Y$404=1)*'債券'!$AV$5:$AV$404)&gt;0,SUMPRODUCT(('債券'!$B$5:$B$404=$D29)*('債券'!$Y$5:$Y$404=1)*'債券'!$AV$5:$AV$404*'債券'!$AW$5:$AW$404)/SUMPRODUCT(('債券'!$B$5:$B$404=$D29)*('債券'!$Y$5:$Y$404=1)*'債券'!$AV$5:$AV$404),""))</f>
        <v/>
      </c>
      <c r="X29" s="25">
        <f>IF($D29="","",IFERROR(AVERAGEIFS('債券'!$AQ$5:$AQ$404,'債券'!$B$5:$B$404,$D29,'債券'!$Y$5:$Y$404,1),""))</f>
        <v/>
      </c>
      <c r="Y29" s="22">
        <f>IF($D29="","",COUNTIFS('債券'!$B$5:$B$404,$D29,'債券'!$AS$5:$AS$404,"加碼候選"))</f>
        <v/>
      </c>
      <c r="Z29" s="22">
        <f>IF($D29="","",COUNTIFS('債券'!$B$5:$B$404,$D29,'債券'!$AS$5:$AS$404,"減碼候選"))</f>
        <v/>
      </c>
    </row>
    <row r="30">
      <c r="A30" s="26" t="n"/>
      <c r="B30" s="26" t="n"/>
      <c r="C30" s="26" t="n"/>
      <c r="D30" s="26" t="n"/>
      <c r="E30" s="26" t="n"/>
      <c r="F30" s="17">
        <f>IF($C30="","",BDP($C30,F$3))</f>
        <v/>
      </c>
      <c r="G30" s="18">
        <f>IF($C30="","",BDP($C30,G$3))</f>
        <v/>
      </c>
      <c r="H30" s="18">
        <f>IF($C30="","",BDP($C30,H$3))</f>
        <v/>
      </c>
      <c r="I30" s="17">
        <f>IF($C30="","",BDP($C30,I$3,"EQY_FUND_CRNCY","USD"))</f>
        <v/>
      </c>
      <c r="J30" s="19">
        <f>IF($C30="","",BDP($C30,J$3,"EQY_FUND_CRNCY","USD"))</f>
        <v/>
      </c>
      <c r="K30" s="19">
        <f>IF($C30="","",BDP($C30,K$3,"EQY_FUND_CRNCY","USD"))</f>
        <v/>
      </c>
      <c r="L30" s="17">
        <f>IF($C30="","",BDP($C30,L$3,"EQY_FUND_CRNCY","USD"))</f>
        <v/>
      </c>
      <c r="M30" s="19">
        <f>IF($C30="","",BDP($C30,M$3,"EQY_FUND_CRNCY","USD"))</f>
        <v/>
      </c>
      <c r="N30" s="19">
        <f>IF($C30="","",BDP($C30,N$3,"EQY_FUND_CRNCY","USD"))</f>
        <v/>
      </c>
      <c r="O30" s="18">
        <f>IF($C30="","",BDP($C30,O$3))</f>
        <v/>
      </c>
      <c r="P30" s="18">
        <f>IF(LEFT($O30,1)="#","",IF($O30="","",BDP($O30,P$3)))</f>
        <v/>
      </c>
      <c r="Q30" s="20">
        <f>IF(AND(ISNUMBER($M30),ISNUMBER($N30)),IF($N30&gt;0,$M30/$N30,""),"")</f>
        <v/>
      </c>
      <c r="R30" s="21">
        <f>IF(AND(ISNUMBER($J30),ISNUMBER($I30)),IF($I30&gt;0,ABS($J30)/$I30,""),"")</f>
        <v/>
      </c>
      <c r="S30" s="21">
        <f>IF(AND(ISNUMBER($K30),ISNUMBER($L30)),IF($L30&gt;0,$K30/$L30,""),"")</f>
        <v/>
      </c>
      <c r="T30" s="22">
        <f>IF($D30="","",COUNTIFS('債券'!$B$5:$B$404,$D30,'債券'!$Y$5:$Y$404,1))</f>
        <v/>
      </c>
      <c r="U30" s="23">
        <f>IF($D30="","",SUMPRODUCT(('債券'!$B$5:$B$404=$D30)*('債券'!$Y$5:$Y$404=1)*'債券'!$AV$5:$AV$404)/1E6)</f>
        <v/>
      </c>
      <c r="V30" s="24">
        <f>IF($D30="","",IF(SUMPRODUCT(('債券'!$B$5:$B$404=$D30)*('債券'!$Y$5:$Y$404=1)*'債券'!$AV$5:$AV$404)&gt;0,SUMPRODUCT(('債券'!$B$5:$B$404=$D30)*('債券'!$Y$5:$Y$404=1)*'債券'!$AV$5:$AV$404*'債券'!$AT$5:$AT$404)/SUMPRODUCT(('債券'!$B$5:$B$404=$D30)*('債券'!$Y$5:$Y$404=1)*'債券'!$AV$5:$AV$404),""))</f>
        <v/>
      </c>
      <c r="W30" s="24">
        <f>IF($D30="","",IF(SUMPRODUCT(('債券'!$B$5:$B$404=$D30)*('債券'!$Y$5:$Y$404=1)*'債券'!$AV$5:$AV$404)&gt;0,SUMPRODUCT(('債券'!$B$5:$B$404=$D30)*('債券'!$Y$5:$Y$404=1)*'債券'!$AV$5:$AV$404*'債券'!$AW$5:$AW$404)/SUMPRODUCT(('債券'!$B$5:$B$404=$D30)*('債券'!$Y$5:$Y$404=1)*'債券'!$AV$5:$AV$404),""))</f>
        <v/>
      </c>
      <c r="X30" s="25">
        <f>IF($D30="","",IFERROR(AVERAGEIFS('債券'!$AQ$5:$AQ$404,'債券'!$B$5:$B$404,$D30,'債券'!$Y$5:$Y$404,1),""))</f>
        <v/>
      </c>
      <c r="Y30" s="22">
        <f>IF($D30="","",COUNTIFS('債券'!$B$5:$B$404,$D30,'債券'!$AS$5:$AS$404,"加碼候選"))</f>
        <v/>
      </c>
      <c r="Z30" s="22">
        <f>IF($D30="","",COUNTIFS('債券'!$B$5:$B$404,$D30,'債券'!$AS$5:$AS$404,"減碼候選"))</f>
        <v/>
      </c>
    </row>
    <row r="31">
      <c r="A31" s="26" t="n"/>
      <c r="B31" s="26" t="n"/>
      <c r="C31" s="26" t="n"/>
      <c r="D31" s="26" t="n"/>
      <c r="E31" s="26" t="n"/>
      <c r="F31" s="17">
        <f>IF($C31="","",BDP($C31,F$3))</f>
        <v/>
      </c>
      <c r="G31" s="18">
        <f>IF($C31="","",BDP($C31,G$3))</f>
        <v/>
      </c>
      <c r="H31" s="18">
        <f>IF($C31="","",BDP($C31,H$3))</f>
        <v/>
      </c>
      <c r="I31" s="17">
        <f>IF($C31="","",BDP($C31,I$3,"EQY_FUND_CRNCY","USD"))</f>
        <v/>
      </c>
      <c r="J31" s="19">
        <f>IF($C31="","",BDP($C31,J$3,"EQY_FUND_CRNCY","USD"))</f>
        <v/>
      </c>
      <c r="K31" s="19">
        <f>IF($C31="","",BDP($C31,K$3,"EQY_FUND_CRNCY","USD"))</f>
        <v/>
      </c>
      <c r="L31" s="17">
        <f>IF($C31="","",BDP($C31,L$3,"EQY_FUND_CRNCY","USD"))</f>
        <v/>
      </c>
      <c r="M31" s="19">
        <f>IF($C31="","",BDP($C31,M$3,"EQY_FUND_CRNCY","USD"))</f>
        <v/>
      </c>
      <c r="N31" s="19">
        <f>IF($C31="","",BDP($C31,N$3,"EQY_FUND_CRNCY","USD"))</f>
        <v/>
      </c>
      <c r="O31" s="18">
        <f>IF($C31="","",BDP($C31,O$3))</f>
        <v/>
      </c>
      <c r="P31" s="18">
        <f>IF(LEFT($O31,1)="#","",IF($O31="","",BDP($O31,P$3)))</f>
        <v/>
      </c>
      <c r="Q31" s="20">
        <f>IF(AND(ISNUMBER($M31),ISNUMBER($N31)),IF($N31&gt;0,$M31/$N31,""),"")</f>
        <v/>
      </c>
      <c r="R31" s="21">
        <f>IF(AND(ISNUMBER($J31),ISNUMBER($I31)),IF($I31&gt;0,ABS($J31)/$I31,""),"")</f>
        <v/>
      </c>
      <c r="S31" s="21">
        <f>IF(AND(ISNUMBER($K31),ISNUMBER($L31)),IF($L31&gt;0,$K31/$L31,""),"")</f>
        <v/>
      </c>
      <c r="T31" s="22">
        <f>IF($D31="","",COUNTIFS('債券'!$B$5:$B$404,$D31,'債券'!$Y$5:$Y$404,1))</f>
        <v/>
      </c>
      <c r="U31" s="23">
        <f>IF($D31="","",SUMPRODUCT(('債券'!$B$5:$B$404=$D31)*('債券'!$Y$5:$Y$404=1)*'債券'!$AV$5:$AV$404)/1E6)</f>
        <v/>
      </c>
      <c r="V31" s="24">
        <f>IF($D31="","",IF(SUMPRODUCT(('債券'!$B$5:$B$404=$D31)*('債券'!$Y$5:$Y$404=1)*'債券'!$AV$5:$AV$404)&gt;0,SUMPRODUCT(('債券'!$B$5:$B$404=$D31)*('債券'!$Y$5:$Y$404=1)*'債券'!$AV$5:$AV$404*'債券'!$AT$5:$AT$404)/SUMPRODUCT(('債券'!$B$5:$B$404=$D31)*('債券'!$Y$5:$Y$404=1)*'債券'!$AV$5:$AV$404),""))</f>
        <v/>
      </c>
      <c r="W31" s="24">
        <f>IF($D31="","",IF(SUMPRODUCT(('債券'!$B$5:$B$404=$D31)*('債券'!$Y$5:$Y$404=1)*'債券'!$AV$5:$AV$404)&gt;0,SUMPRODUCT(('債券'!$B$5:$B$404=$D31)*('債券'!$Y$5:$Y$404=1)*'債券'!$AV$5:$AV$404*'債券'!$AW$5:$AW$404)/SUMPRODUCT(('債券'!$B$5:$B$404=$D31)*('債券'!$Y$5:$Y$404=1)*'債券'!$AV$5:$AV$404),""))</f>
        <v/>
      </c>
      <c r="X31" s="25">
        <f>IF($D31="","",IFERROR(AVERAGEIFS('債券'!$AQ$5:$AQ$404,'債券'!$B$5:$B$404,$D31,'債券'!$Y$5:$Y$404,1),""))</f>
        <v/>
      </c>
      <c r="Y31" s="22">
        <f>IF($D31="","",COUNTIFS('債券'!$B$5:$B$404,$D31,'債券'!$AS$5:$AS$404,"加碼候選"))</f>
        <v/>
      </c>
      <c r="Z31" s="22">
        <f>IF($D31="","",COUNTIFS('債券'!$B$5:$B$404,$D31,'債券'!$AS$5:$AS$404,"減碼候選"))</f>
        <v/>
      </c>
    </row>
    <row r="32">
      <c r="A32" s="26" t="n"/>
      <c r="B32" s="26" t="n"/>
      <c r="C32" s="26" t="n"/>
      <c r="D32" s="26" t="n"/>
      <c r="E32" s="26" t="n"/>
      <c r="F32" s="17">
        <f>IF($C32="","",BDP($C32,F$3))</f>
        <v/>
      </c>
      <c r="G32" s="18">
        <f>IF($C32="","",BDP($C32,G$3))</f>
        <v/>
      </c>
      <c r="H32" s="18">
        <f>IF($C32="","",BDP($C32,H$3))</f>
        <v/>
      </c>
      <c r="I32" s="17">
        <f>IF($C32="","",BDP($C32,I$3,"EQY_FUND_CRNCY","USD"))</f>
        <v/>
      </c>
      <c r="J32" s="19">
        <f>IF($C32="","",BDP($C32,J$3,"EQY_FUND_CRNCY","USD"))</f>
        <v/>
      </c>
      <c r="K32" s="19">
        <f>IF($C32="","",BDP($C32,K$3,"EQY_FUND_CRNCY","USD"))</f>
        <v/>
      </c>
      <c r="L32" s="17">
        <f>IF($C32="","",BDP($C32,L$3,"EQY_FUND_CRNCY","USD"))</f>
        <v/>
      </c>
      <c r="M32" s="19">
        <f>IF($C32="","",BDP($C32,M$3,"EQY_FUND_CRNCY","USD"))</f>
        <v/>
      </c>
      <c r="N32" s="19">
        <f>IF($C32="","",BDP($C32,N$3,"EQY_FUND_CRNCY","USD"))</f>
        <v/>
      </c>
      <c r="O32" s="18">
        <f>IF($C32="","",BDP($C32,O$3))</f>
        <v/>
      </c>
      <c r="P32" s="18">
        <f>IF(LEFT($O32,1)="#","",IF($O32="","",BDP($O32,P$3)))</f>
        <v/>
      </c>
      <c r="Q32" s="20">
        <f>IF(AND(ISNUMBER($M32),ISNUMBER($N32)),IF($N32&gt;0,$M32/$N32,""),"")</f>
        <v/>
      </c>
      <c r="R32" s="21">
        <f>IF(AND(ISNUMBER($J32),ISNUMBER($I32)),IF($I32&gt;0,ABS($J32)/$I32,""),"")</f>
        <v/>
      </c>
      <c r="S32" s="21">
        <f>IF(AND(ISNUMBER($K32),ISNUMBER($L32)),IF($L32&gt;0,$K32/$L32,""),"")</f>
        <v/>
      </c>
      <c r="T32" s="22">
        <f>IF($D32="","",COUNTIFS('債券'!$B$5:$B$404,$D32,'債券'!$Y$5:$Y$404,1))</f>
        <v/>
      </c>
      <c r="U32" s="23">
        <f>IF($D32="","",SUMPRODUCT(('債券'!$B$5:$B$404=$D32)*('債券'!$Y$5:$Y$404=1)*'債券'!$AV$5:$AV$404)/1E6)</f>
        <v/>
      </c>
      <c r="V32" s="24">
        <f>IF($D32="","",IF(SUMPRODUCT(('債券'!$B$5:$B$404=$D32)*('債券'!$Y$5:$Y$404=1)*'債券'!$AV$5:$AV$404)&gt;0,SUMPRODUCT(('債券'!$B$5:$B$404=$D32)*('債券'!$Y$5:$Y$404=1)*'債券'!$AV$5:$AV$404*'債券'!$AT$5:$AT$404)/SUMPRODUCT(('債券'!$B$5:$B$404=$D32)*('債券'!$Y$5:$Y$404=1)*'債券'!$AV$5:$AV$404),""))</f>
        <v/>
      </c>
      <c r="W32" s="24">
        <f>IF($D32="","",IF(SUMPRODUCT(('債券'!$B$5:$B$404=$D32)*('債券'!$Y$5:$Y$404=1)*'債券'!$AV$5:$AV$404)&gt;0,SUMPRODUCT(('債券'!$B$5:$B$404=$D32)*('債券'!$Y$5:$Y$404=1)*'債券'!$AV$5:$AV$404*'債券'!$AW$5:$AW$404)/SUMPRODUCT(('債券'!$B$5:$B$404=$D32)*('債券'!$Y$5:$Y$404=1)*'債券'!$AV$5:$AV$404),""))</f>
        <v/>
      </c>
      <c r="X32" s="25">
        <f>IF($D32="","",IFERROR(AVERAGEIFS('債券'!$AQ$5:$AQ$404,'債券'!$B$5:$B$404,$D32,'債券'!$Y$5:$Y$404,1),""))</f>
        <v/>
      </c>
      <c r="Y32" s="22">
        <f>IF($D32="","",COUNTIFS('債券'!$B$5:$B$404,$D32,'債券'!$AS$5:$AS$404,"加碼候選"))</f>
        <v/>
      </c>
      <c r="Z32" s="22">
        <f>IF($D32="","",COUNTIFS('債券'!$B$5:$B$404,$D32,'債券'!$AS$5:$AS$404,"減碼候選"))</f>
        <v/>
      </c>
    </row>
    <row r="33">
      <c r="A33" s="26" t="n"/>
      <c r="B33" s="26" t="n"/>
      <c r="C33" s="26" t="n"/>
      <c r="D33" s="26" t="n"/>
      <c r="E33" s="26" t="n"/>
      <c r="F33" s="17">
        <f>IF($C33="","",BDP($C33,F$3))</f>
        <v/>
      </c>
      <c r="G33" s="18">
        <f>IF($C33="","",BDP($C33,G$3))</f>
        <v/>
      </c>
      <c r="H33" s="18">
        <f>IF($C33="","",BDP($C33,H$3))</f>
        <v/>
      </c>
      <c r="I33" s="17">
        <f>IF($C33="","",BDP($C33,I$3,"EQY_FUND_CRNCY","USD"))</f>
        <v/>
      </c>
      <c r="J33" s="19">
        <f>IF($C33="","",BDP($C33,J$3,"EQY_FUND_CRNCY","USD"))</f>
        <v/>
      </c>
      <c r="K33" s="19">
        <f>IF($C33="","",BDP($C33,K$3,"EQY_FUND_CRNCY","USD"))</f>
        <v/>
      </c>
      <c r="L33" s="17">
        <f>IF($C33="","",BDP($C33,L$3,"EQY_FUND_CRNCY","USD"))</f>
        <v/>
      </c>
      <c r="M33" s="19">
        <f>IF($C33="","",BDP($C33,M$3,"EQY_FUND_CRNCY","USD"))</f>
        <v/>
      </c>
      <c r="N33" s="19">
        <f>IF($C33="","",BDP($C33,N$3,"EQY_FUND_CRNCY","USD"))</f>
        <v/>
      </c>
      <c r="O33" s="18">
        <f>IF($C33="","",BDP($C33,O$3))</f>
        <v/>
      </c>
      <c r="P33" s="18">
        <f>IF(LEFT($O33,1)="#","",IF($O33="","",BDP($O33,P$3)))</f>
        <v/>
      </c>
      <c r="Q33" s="20">
        <f>IF(AND(ISNUMBER($M33),ISNUMBER($N33)),IF($N33&gt;0,$M33/$N33,""),"")</f>
        <v/>
      </c>
      <c r="R33" s="21">
        <f>IF(AND(ISNUMBER($J33),ISNUMBER($I33)),IF($I33&gt;0,ABS($J33)/$I33,""),"")</f>
        <v/>
      </c>
      <c r="S33" s="21">
        <f>IF(AND(ISNUMBER($K33),ISNUMBER($L33)),IF($L33&gt;0,$K33/$L33,""),"")</f>
        <v/>
      </c>
      <c r="T33" s="22">
        <f>IF($D33="","",COUNTIFS('債券'!$B$5:$B$404,$D33,'債券'!$Y$5:$Y$404,1))</f>
        <v/>
      </c>
      <c r="U33" s="23">
        <f>IF($D33="","",SUMPRODUCT(('債券'!$B$5:$B$404=$D33)*('債券'!$Y$5:$Y$404=1)*'債券'!$AV$5:$AV$404)/1E6)</f>
        <v/>
      </c>
      <c r="V33" s="24">
        <f>IF($D33="","",IF(SUMPRODUCT(('債券'!$B$5:$B$404=$D33)*('債券'!$Y$5:$Y$404=1)*'債券'!$AV$5:$AV$404)&gt;0,SUMPRODUCT(('債券'!$B$5:$B$404=$D33)*('債券'!$Y$5:$Y$404=1)*'債券'!$AV$5:$AV$404*'債券'!$AT$5:$AT$404)/SUMPRODUCT(('債券'!$B$5:$B$404=$D33)*('債券'!$Y$5:$Y$404=1)*'債券'!$AV$5:$AV$404),""))</f>
        <v/>
      </c>
      <c r="W33" s="24">
        <f>IF($D33="","",IF(SUMPRODUCT(('債券'!$B$5:$B$404=$D33)*('債券'!$Y$5:$Y$404=1)*'債券'!$AV$5:$AV$404)&gt;0,SUMPRODUCT(('債券'!$B$5:$B$404=$D33)*('債券'!$Y$5:$Y$404=1)*'債券'!$AV$5:$AV$404*'債券'!$AW$5:$AW$404)/SUMPRODUCT(('債券'!$B$5:$B$404=$D33)*('債券'!$Y$5:$Y$404=1)*'債券'!$AV$5:$AV$404),""))</f>
        <v/>
      </c>
      <c r="X33" s="25">
        <f>IF($D33="","",IFERROR(AVERAGEIFS('債券'!$AQ$5:$AQ$404,'債券'!$B$5:$B$404,$D33,'債券'!$Y$5:$Y$404,1),""))</f>
        <v/>
      </c>
      <c r="Y33" s="22">
        <f>IF($D33="","",COUNTIFS('債券'!$B$5:$B$404,$D33,'債券'!$AS$5:$AS$404,"加碼候選"))</f>
        <v/>
      </c>
      <c r="Z33" s="22">
        <f>IF($D33="","",COUNTIFS('債券'!$B$5:$B$404,$D33,'債券'!$AS$5:$AS$404,"減碼候選"))</f>
        <v/>
      </c>
    </row>
    <row r="34">
      <c r="A34" s="26" t="n"/>
      <c r="B34" s="26" t="n"/>
      <c r="C34" s="26" t="n"/>
      <c r="D34" s="26" t="n"/>
      <c r="E34" s="26" t="n"/>
      <c r="F34" s="17">
        <f>IF($C34="","",BDP($C34,F$3))</f>
        <v/>
      </c>
      <c r="G34" s="18">
        <f>IF($C34="","",BDP($C34,G$3))</f>
        <v/>
      </c>
      <c r="H34" s="18">
        <f>IF($C34="","",BDP($C34,H$3))</f>
        <v/>
      </c>
      <c r="I34" s="17">
        <f>IF($C34="","",BDP($C34,I$3,"EQY_FUND_CRNCY","USD"))</f>
        <v/>
      </c>
      <c r="J34" s="19">
        <f>IF($C34="","",BDP($C34,J$3,"EQY_FUND_CRNCY","USD"))</f>
        <v/>
      </c>
      <c r="K34" s="19">
        <f>IF($C34="","",BDP($C34,K$3,"EQY_FUND_CRNCY","USD"))</f>
        <v/>
      </c>
      <c r="L34" s="17">
        <f>IF($C34="","",BDP($C34,L$3,"EQY_FUND_CRNCY","USD"))</f>
        <v/>
      </c>
      <c r="M34" s="19">
        <f>IF($C34="","",BDP($C34,M$3,"EQY_FUND_CRNCY","USD"))</f>
        <v/>
      </c>
      <c r="N34" s="19">
        <f>IF($C34="","",BDP($C34,N$3,"EQY_FUND_CRNCY","USD"))</f>
        <v/>
      </c>
      <c r="O34" s="18">
        <f>IF($C34="","",BDP($C34,O$3))</f>
        <v/>
      </c>
      <c r="P34" s="18">
        <f>IF(LEFT($O34,1)="#","",IF($O34="","",BDP($O34,P$3)))</f>
        <v/>
      </c>
      <c r="Q34" s="20">
        <f>IF(AND(ISNUMBER($M34),ISNUMBER($N34)),IF($N34&gt;0,$M34/$N34,""),"")</f>
        <v/>
      </c>
      <c r="R34" s="21">
        <f>IF(AND(ISNUMBER($J34),ISNUMBER($I34)),IF($I34&gt;0,ABS($J34)/$I34,""),"")</f>
        <v/>
      </c>
      <c r="S34" s="21">
        <f>IF(AND(ISNUMBER($K34),ISNUMBER($L34)),IF($L34&gt;0,$K34/$L34,""),"")</f>
        <v/>
      </c>
      <c r="T34" s="22">
        <f>IF($D34="","",COUNTIFS('債券'!$B$5:$B$404,$D34,'債券'!$Y$5:$Y$404,1))</f>
        <v/>
      </c>
      <c r="U34" s="23">
        <f>IF($D34="","",SUMPRODUCT(('債券'!$B$5:$B$404=$D34)*('債券'!$Y$5:$Y$404=1)*'債券'!$AV$5:$AV$404)/1E6)</f>
        <v/>
      </c>
      <c r="V34" s="24">
        <f>IF($D34="","",IF(SUMPRODUCT(('債券'!$B$5:$B$404=$D34)*('債券'!$Y$5:$Y$404=1)*'債券'!$AV$5:$AV$404)&gt;0,SUMPRODUCT(('債券'!$B$5:$B$404=$D34)*('債券'!$Y$5:$Y$404=1)*'債券'!$AV$5:$AV$404*'債券'!$AT$5:$AT$404)/SUMPRODUCT(('債券'!$B$5:$B$404=$D34)*('債券'!$Y$5:$Y$404=1)*'債券'!$AV$5:$AV$404),""))</f>
        <v/>
      </c>
      <c r="W34" s="24">
        <f>IF($D34="","",IF(SUMPRODUCT(('債券'!$B$5:$B$404=$D34)*('債券'!$Y$5:$Y$404=1)*'債券'!$AV$5:$AV$404)&gt;0,SUMPRODUCT(('債券'!$B$5:$B$404=$D34)*('債券'!$Y$5:$Y$404=1)*'債券'!$AV$5:$AV$404*'債券'!$AW$5:$AW$404)/SUMPRODUCT(('債券'!$B$5:$B$404=$D34)*('債券'!$Y$5:$Y$404=1)*'債券'!$AV$5:$AV$404),""))</f>
        <v/>
      </c>
      <c r="X34" s="25">
        <f>IF($D34="","",IFERROR(AVERAGEIFS('債券'!$AQ$5:$AQ$404,'債券'!$B$5:$B$404,$D34,'債券'!$Y$5:$Y$404,1),""))</f>
        <v/>
      </c>
      <c r="Y34" s="22">
        <f>IF($D34="","",COUNTIFS('債券'!$B$5:$B$404,$D34,'債券'!$AS$5:$AS$404,"加碼候選"))</f>
        <v/>
      </c>
      <c r="Z34" s="22">
        <f>IF($D34="","",COUNTIFS('債券'!$B$5:$B$404,$D34,'債券'!$AS$5:$AS$404,"減碼候選"))</f>
        <v/>
      </c>
    </row>
    <row r="35">
      <c r="A35" s="26" t="n"/>
      <c r="B35" s="26" t="n"/>
      <c r="C35" s="26" t="n"/>
      <c r="D35" s="26" t="n"/>
      <c r="E35" s="26" t="n"/>
      <c r="F35" s="17">
        <f>IF($C35="","",BDP($C35,F$3))</f>
        <v/>
      </c>
      <c r="G35" s="18">
        <f>IF($C35="","",BDP($C35,G$3))</f>
        <v/>
      </c>
      <c r="H35" s="18">
        <f>IF($C35="","",BDP($C35,H$3))</f>
        <v/>
      </c>
      <c r="I35" s="17">
        <f>IF($C35="","",BDP($C35,I$3,"EQY_FUND_CRNCY","USD"))</f>
        <v/>
      </c>
      <c r="J35" s="19">
        <f>IF($C35="","",BDP($C35,J$3,"EQY_FUND_CRNCY","USD"))</f>
        <v/>
      </c>
      <c r="K35" s="19">
        <f>IF($C35="","",BDP($C35,K$3,"EQY_FUND_CRNCY","USD"))</f>
        <v/>
      </c>
      <c r="L35" s="17">
        <f>IF($C35="","",BDP($C35,L$3,"EQY_FUND_CRNCY","USD"))</f>
        <v/>
      </c>
      <c r="M35" s="19">
        <f>IF($C35="","",BDP($C35,M$3,"EQY_FUND_CRNCY","USD"))</f>
        <v/>
      </c>
      <c r="N35" s="19">
        <f>IF($C35="","",BDP($C35,N$3,"EQY_FUND_CRNCY","USD"))</f>
        <v/>
      </c>
      <c r="O35" s="18">
        <f>IF($C35="","",BDP($C35,O$3))</f>
        <v/>
      </c>
      <c r="P35" s="18">
        <f>IF(LEFT($O35,1)="#","",IF($O35="","",BDP($O35,P$3)))</f>
        <v/>
      </c>
      <c r="Q35" s="20">
        <f>IF(AND(ISNUMBER($M35),ISNUMBER($N35)),IF($N35&gt;0,$M35/$N35,""),"")</f>
        <v/>
      </c>
      <c r="R35" s="21">
        <f>IF(AND(ISNUMBER($J35),ISNUMBER($I35)),IF($I35&gt;0,ABS($J35)/$I35,""),"")</f>
        <v/>
      </c>
      <c r="S35" s="21">
        <f>IF(AND(ISNUMBER($K35),ISNUMBER($L35)),IF($L35&gt;0,$K35/$L35,""),"")</f>
        <v/>
      </c>
      <c r="T35" s="22">
        <f>IF($D35="","",COUNTIFS('債券'!$B$5:$B$404,$D35,'債券'!$Y$5:$Y$404,1))</f>
        <v/>
      </c>
      <c r="U35" s="23">
        <f>IF($D35="","",SUMPRODUCT(('債券'!$B$5:$B$404=$D35)*('債券'!$Y$5:$Y$404=1)*'債券'!$AV$5:$AV$404)/1E6)</f>
        <v/>
      </c>
      <c r="V35" s="24">
        <f>IF($D35="","",IF(SUMPRODUCT(('債券'!$B$5:$B$404=$D35)*('債券'!$Y$5:$Y$404=1)*'債券'!$AV$5:$AV$404)&gt;0,SUMPRODUCT(('債券'!$B$5:$B$404=$D35)*('債券'!$Y$5:$Y$404=1)*'債券'!$AV$5:$AV$404*'債券'!$AT$5:$AT$404)/SUMPRODUCT(('債券'!$B$5:$B$404=$D35)*('債券'!$Y$5:$Y$404=1)*'債券'!$AV$5:$AV$404),""))</f>
        <v/>
      </c>
      <c r="W35" s="24">
        <f>IF($D35="","",IF(SUMPRODUCT(('債券'!$B$5:$B$404=$D35)*('債券'!$Y$5:$Y$404=1)*'債券'!$AV$5:$AV$404)&gt;0,SUMPRODUCT(('債券'!$B$5:$B$404=$D35)*('債券'!$Y$5:$Y$404=1)*'債券'!$AV$5:$AV$404*'債券'!$AW$5:$AW$404)/SUMPRODUCT(('債券'!$B$5:$B$404=$D35)*('債券'!$Y$5:$Y$404=1)*'債券'!$AV$5:$AV$404),""))</f>
        <v/>
      </c>
      <c r="X35" s="25">
        <f>IF($D35="","",IFERROR(AVERAGEIFS('債券'!$AQ$5:$AQ$404,'債券'!$B$5:$B$404,$D35,'債券'!$Y$5:$Y$404,1),""))</f>
        <v/>
      </c>
      <c r="Y35" s="22">
        <f>IF($D35="","",COUNTIFS('債券'!$B$5:$B$404,$D35,'債券'!$AS$5:$AS$404,"加碼候選"))</f>
        <v/>
      </c>
      <c r="Z35" s="22">
        <f>IF($D35="","",COUNTIFS('債券'!$B$5:$B$404,$D35,'債券'!$AS$5:$AS$404,"減碼候選"))</f>
        <v/>
      </c>
    </row>
    <row r="36">
      <c r="A36" s="26" t="n"/>
      <c r="B36" s="26" t="n"/>
      <c r="C36" s="26" t="n"/>
      <c r="D36" s="26" t="n"/>
      <c r="E36" s="26" t="n"/>
      <c r="F36" s="17">
        <f>IF($C36="","",BDP($C36,F$3))</f>
        <v/>
      </c>
      <c r="G36" s="18">
        <f>IF($C36="","",BDP($C36,G$3))</f>
        <v/>
      </c>
      <c r="H36" s="18">
        <f>IF($C36="","",BDP($C36,H$3))</f>
        <v/>
      </c>
      <c r="I36" s="17">
        <f>IF($C36="","",BDP($C36,I$3,"EQY_FUND_CRNCY","USD"))</f>
        <v/>
      </c>
      <c r="J36" s="19">
        <f>IF($C36="","",BDP($C36,J$3,"EQY_FUND_CRNCY","USD"))</f>
        <v/>
      </c>
      <c r="K36" s="19">
        <f>IF($C36="","",BDP($C36,K$3,"EQY_FUND_CRNCY","USD"))</f>
        <v/>
      </c>
      <c r="L36" s="17">
        <f>IF($C36="","",BDP($C36,L$3,"EQY_FUND_CRNCY","USD"))</f>
        <v/>
      </c>
      <c r="M36" s="19">
        <f>IF($C36="","",BDP($C36,M$3,"EQY_FUND_CRNCY","USD"))</f>
        <v/>
      </c>
      <c r="N36" s="19">
        <f>IF($C36="","",BDP($C36,N$3,"EQY_FUND_CRNCY","USD"))</f>
        <v/>
      </c>
      <c r="O36" s="18">
        <f>IF($C36="","",BDP($C36,O$3))</f>
        <v/>
      </c>
      <c r="P36" s="18">
        <f>IF(LEFT($O36,1)="#","",IF($O36="","",BDP($O36,P$3)))</f>
        <v/>
      </c>
      <c r="Q36" s="20">
        <f>IF(AND(ISNUMBER($M36),ISNUMBER($N36)),IF($N36&gt;0,$M36/$N36,""),"")</f>
        <v/>
      </c>
      <c r="R36" s="21">
        <f>IF(AND(ISNUMBER($J36),ISNUMBER($I36)),IF($I36&gt;0,ABS($J36)/$I36,""),"")</f>
        <v/>
      </c>
      <c r="S36" s="21">
        <f>IF(AND(ISNUMBER($K36),ISNUMBER($L36)),IF($L36&gt;0,$K36/$L36,""),"")</f>
        <v/>
      </c>
      <c r="T36" s="22">
        <f>IF($D36="","",COUNTIFS('債券'!$B$5:$B$404,$D36,'債券'!$Y$5:$Y$404,1))</f>
        <v/>
      </c>
      <c r="U36" s="23">
        <f>IF($D36="","",SUMPRODUCT(('債券'!$B$5:$B$404=$D36)*('債券'!$Y$5:$Y$404=1)*'債券'!$AV$5:$AV$404)/1E6)</f>
        <v/>
      </c>
      <c r="V36" s="24">
        <f>IF($D36="","",IF(SUMPRODUCT(('債券'!$B$5:$B$404=$D36)*('債券'!$Y$5:$Y$404=1)*'債券'!$AV$5:$AV$404)&gt;0,SUMPRODUCT(('債券'!$B$5:$B$404=$D36)*('債券'!$Y$5:$Y$404=1)*'債券'!$AV$5:$AV$404*'債券'!$AT$5:$AT$404)/SUMPRODUCT(('債券'!$B$5:$B$404=$D36)*('債券'!$Y$5:$Y$404=1)*'債券'!$AV$5:$AV$404),""))</f>
        <v/>
      </c>
      <c r="W36" s="24">
        <f>IF($D36="","",IF(SUMPRODUCT(('債券'!$B$5:$B$404=$D36)*('債券'!$Y$5:$Y$404=1)*'債券'!$AV$5:$AV$404)&gt;0,SUMPRODUCT(('債券'!$B$5:$B$404=$D36)*('債券'!$Y$5:$Y$404=1)*'債券'!$AV$5:$AV$404*'債券'!$AW$5:$AW$404)/SUMPRODUCT(('債券'!$B$5:$B$404=$D36)*('債券'!$Y$5:$Y$404=1)*'債券'!$AV$5:$AV$404),""))</f>
        <v/>
      </c>
      <c r="X36" s="25">
        <f>IF($D36="","",IFERROR(AVERAGEIFS('債券'!$AQ$5:$AQ$404,'債券'!$B$5:$B$404,$D36,'債券'!$Y$5:$Y$404,1),""))</f>
        <v/>
      </c>
      <c r="Y36" s="22">
        <f>IF($D36="","",COUNTIFS('債券'!$B$5:$B$404,$D36,'債券'!$AS$5:$AS$404,"加碼候選"))</f>
        <v/>
      </c>
      <c r="Z36" s="22">
        <f>IF($D36="","",COUNTIFS('債券'!$B$5:$B$404,$D36,'債券'!$AS$5:$AS$404,"減碼候選"))</f>
        <v/>
      </c>
    </row>
    <row r="37">
      <c r="A37" s="26" t="n"/>
      <c r="B37" s="26" t="n"/>
      <c r="C37" s="26" t="n"/>
      <c r="D37" s="26" t="n"/>
      <c r="E37" s="26" t="n"/>
      <c r="F37" s="17">
        <f>IF($C37="","",BDP($C37,F$3))</f>
        <v/>
      </c>
      <c r="G37" s="18">
        <f>IF($C37="","",BDP($C37,G$3))</f>
        <v/>
      </c>
      <c r="H37" s="18">
        <f>IF($C37="","",BDP($C37,H$3))</f>
        <v/>
      </c>
      <c r="I37" s="17">
        <f>IF($C37="","",BDP($C37,I$3,"EQY_FUND_CRNCY","USD"))</f>
        <v/>
      </c>
      <c r="J37" s="19">
        <f>IF($C37="","",BDP($C37,J$3,"EQY_FUND_CRNCY","USD"))</f>
        <v/>
      </c>
      <c r="K37" s="19">
        <f>IF($C37="","",BDP($C37,K$3,"EQY_FUND_CRNCY","USD"))</f>
        <v/>
      </c>
      <c r="L37" s="17">
        <f>IF($C37="","",BDP($C37,L$3,"EQY_FUND_CRNCY","USD"))</f>
        <v/>
      </c>
      <c r="M37" s="19">
        <f>IF($C37="","",BDP($C37,M$3,"EQY_FUND_CRNCY","USD"))</f>
        <v/>
      </c>
      <c r="N37" s="19">
        <f>IF($C37="","",BDP($C37,N$3,"EQY_FUND_CRNCY","USD"))</f>
        <v/>
      </c>
      <c r="O37" s="18">
        <f>IF($C37="","",BDP($C37,O$3))</f>
        <v/>
      </c>
      <c r="P37" s="18">
        <f>IF(LEFT($O37,1)="#","",IF($O37="","",BDP($O37,P$3)))</f>
        <v/>
      </c>
      <c r="Q37" s="20">
        <f>IF(AND(ISNUMBER($M37),ISNUMBER($N37)),IF($N37&gt;0,$M37/$N37,""),"")</f>
        <v/>
      </c>
      <c r="R37" s="21">
        <f>IF(AND(ISNUMBER($J37),ISNUMBER($I37)),IF($I37&gt;0,ABS($J37)/$I37,""),"")</f>
        <v/>
      </c>
      <c r="S37" s="21">
        <f>IF(AND(ISNUMBER($K37),ISNUMBER($L37)),IF($L37&gt;0,$K37/$L37,""),"")</f>
        <v/>
      </c>
      <c r="T37" s="22">
        <f>IF($D37="","",COUNTIFS('債券'!$B$5:$B$404,$D37,'債券'!$Y$5:$Y$404,1))</f>
        <v/>
      </c>
      <c r="U37" s="23">
        <f>IF($D37="","",SUMPRODUCT(('債券'!$B$5:$B$404=$D37)*('債券'!$Y$5:$Y$404=1)*'債券'!$AV$5:$AV$404)/1E6)</f>
        <v/>
      </c>
      <c r="V37" s="24">
        <f>IF($D37="","",IF(SUMPRODUCT(('債券'!$B$5:$B$404=$D37)*('債券'!$Y$5:$Y$404=1)*'債券'!$AV$5:$AV$404)&gt;0,SUMPRODUCT(('債券'!$B$5:$B$404=$D37)*('債券'!$Y$5:$Y$404=1)*'債券'!$AV$5:$AV$404*'債券'!$AT$5:$AT$404)/SUMPRODUCT(('債券'!$B$5:$B$404=$D37)*('債券'!$Y$5:$Y$404=1)*'債券'!$AV$5:$AV$404),""))</f>
        <v/>
      </c>
      <c r="W37" s="24">
        <f>IF($D37="","",IF(SUMPRODUCT(('債券'!$B$5:$B$404=$D37)*('債券'!$Y$5:$Y$404=1)*'債券'!$AV$5:$AV$404)&gt;0,SUMPRODUCT(('債券'!$B$5:$B$404=$D37)*('債券'!$Y$5:$Y$404=1)*'債券'!$AV$5:$AV$404*'債券'!$AW$5:$AW$404)/SUMPRODUCT(('債券'!$B$5:$B$404=$D37)*('債券'!$Y$5:$Y$404=1)*'債券'!$AV$5:$AV$404),""))</f>
        <v/>
      </c>
      <c r="X37" s="25">
        <f>IF($D37="","",IFERROR(AVERAGEIFS('債券'!$AQ$5:$AQ$404,'債券'!$B$5:$B$404,$D37,'債券'!$Y$5:$Y$404,1),""))</f>
        <v/>
      </c>
      <c r="Y37" s="22">
        <f>IF($D37="","",COUNTIFS('債券'!$B$5:$B$404,$D37,'債券'!$AS$5:$AS$404,"加碼候選"))</f>
        <v/>
      </c>
      <c r="Z37" s="22">
        <f>IF($D37="","",COUNTIFS('債券'!$B$5:$B$404,$D37,'債券'!$AS$5:$AS$404,"減碼候選"))</f>
        <v/>
      </c>
    </row>
    <row r="38">
      <c r="A38" s="26" t="n"/>
      <c r="B38" s="26" t="n"/>
      <c r="C38" s="26" t="n"/>
      <c r="D38" s="26" t="n"/>
      <c r="E38" s="26" t="n"/>
      <c r="F38" s="17">
        <f>IF($C38="","",BDP($C38,F$3))</f>
        <v/>
      </c>
      <c r="G38" s="18">
        <f>IF($C38="","",BDP($C38,G$3))</f>
        <v/>
      </c>
      <c r="H38" s="18">
        <f>IF($C38="","",BDP($C38,H$3))</f>
        <v/>
      </c>
      <c r="I38" s="17">
        <f>IF($C38="","",BDP($C38,I$3,"EQY_FUND_CRNCY","USD"))</f>
        <v/>
      </c>
      <c r="J38" s="19">
        <f>IF($C38="","",BDP($C38,J$3,"EQY_FUND_CRNCY","USD"))</f>
        <v/>
      </c>
      <c r="K38" s="19">
        <f>IF($C38="","",BDP($C38,K$3,"EQY_FUND_CRNCY","USD"))</f>
        <v/>
      </c>
      <c r="L38" s="17">
        <f>IF($C38="","",BDP($C38,L$3,"EQY_FUND_CRNCY","USD"))</f>
        <v/>
      </c>
      <c r="M38" s="19">
        <f>IF($C38="","",BDP($C38,M$3,"EQY_FUND_CRNCY","USD"))</f>
        <v/>
      </c>
      <c r="N38" s="19">
        <f>IF($C38="","",BDP($C38,N$3,"EQY_FUND_CRNCY","USD"))</f>
        <v/>
      </c>
      <c r="O38" s="18">
        <f>IF($C38="","",BDP($C38,O$3))</f>
        <v/>
      </c>
      <c r="P38" s="18">
        <f>IF(LEFT($O38,1)="#","",IF($O38="","",BDP($O38,P$3)))</f>
        <v/>
      </c>
      <c r="Q38" s="20">
        <f>IF(AND(ISNUMBER($M38),ISNUMBER($N38)),IF($N38&gt;0,$M38/$N38,""),"")</f>
        <v/>
      </c>
      <c r="R38" s="21">
        <f>IF(AND(ISNUMBER($J38),ISNUMBER($I38)),IF($I38&gt;0,ABS($J38)/$I38,""),"")</f>
        <v/>
      </c>
      <c r="S38" s="21">
        <f>IF(AND(ISNUMBER($K38),ISNUMBER($L38)),IF($L38&gt;0,$K38/$L38,""),"")</f>
        <v/>
      </c>
      <c r="T38" s="22">
        <f>IF($D38="","",COUNTIFS('債券'!$B$5:$B$404,$D38,'債券'!$Y$5:$Y$404,1))</f>
        <v/>
      </c>
      <c r="U38" s="23">
        <f>IF($D38="","",SUMPRODUCT(('債券'!$B$5:$B$404=$D38)*('債券'!$Y$5:$Y$404=1)*'債券'!$AV$5:$AV$404)/1E6)</f>
        <v/>
      </c>
      <c r="V38" s="24">
        <f>IF($D38="","",IF(SUMPRODUCT(('債券'!$B$5:$B$404=$D38)*('債券'!$Y$5:$Y$404=1)*'債券'!$AV$5:$AV$404)&gt;0,SUMPRODUCT(('債券'!$B$5:$B$404=$D38)*('債券'!$Y$5:$Y$404=1)*'債券'!$AV$5:$AV$404*'債券'!$AT$5:$AT$404)/SUMPRODUCT(('債券'!$B$5:$B$404=$D38)*('債券'!$Y$5:$Y$404=1)*'債券'!$AV$5:$AV$404),""))</f>
        <v/>
      </c>
      <c r="W38" s="24">
        <f>IF($D38="","",IF(SUMPRODUCT(('債券'!$B$5:$B$404=$D38)*('債券'!$Y$5:$Y$404=1)*'債券'!$AV$5:$AV$404)&gt;0,SUMPRODUCT(('債券'!$B$5:$B$404=$D38)*('債券'!$Y$5:$Y$404=1)*'債券'!$AV$5:$AV$404*'債券'!$AW$5:$AW$404)/SUMPRODUCT(('債券'!$B$5:$B$404=$D38)*('債券'!$Y$5:$Y$404=1)*'債券'!$AV$5:$AV$404),""))</f>
        <v/>
      </c>
      <c r="X38" s="25">
        <f>IF($D38="","",IFERROR(AVERAGEIFS('債券'!$AQ$5:$AQ$404,'債券'!$B$5:$B$404,$D38,'債券'!$Y$5:$Y$404,1),""))</f>
        <v/>
      </c>
      <c r="Y38" s="22">
        <f>IF($D38="","",COUNTIFS('債券'!$B$5:$B$404,$D38,'債券'!$AS$5:$AS$404,"加碼候選"))</f>
        <v/>
      </c>
      <c r="Z38" s="22">
        <f>IF($D38="","",COUNTIFS('債券'!$B$5:$B$404,$D38,'債券'!$AS$5:$AS$404,"減碼候選"))</f>
        <v/>
      </c>
    </row>
    <row r="39">
      <c r="A39" s="26" t="n"/>
      <c r="B39" s="26" t="n"/>
      <c r="C39" s="26" t="n"/>
      <c r="D39" s="26" t="n"/>
      <c r="E39" s="26" t="n"/>
      <c r="F39" s="17">
        <f>IF($C39="","",BDP($C39,F$3))</f>
        <v/>
      </c>
      <c r="G39" s="18">
        <f>IF($C39="","",BDP($C39,G$3))</f>
        <v/>
      </c>
      <c r="H39" s="18">
        <f>IF($C39="","",BDP($C39,H$3))</f>
        <v/>
      </c>
      <c r="I39" s="17">
        <f>IF($C39="","",BDP($C39,I$3,"EQY_FUND_CRNCY","USD"))</f>
        <v/>
      </c>
      <c r="J39" s="19">
        <f>IF($C39="","",BDP($C39,J$3,"EQY_FUND_CRNCY","USD"))</f>
        <v/>
      </c>
      <c r="K39" s="19">
        <f>IF($C39="","",BDP($C39,K$3,"EQY_FUND_CRNCY","USD"))</f>
        <v/>
      </c>
      <c r="L39" s="17">
        <f>IF($C39="","",BDP($C39,L$3,"EQY_FUND_CRNCY","USD"))</f>
        <v/>
      </c>
      <c r="M39" s="19">
        <f>IF($C39="","",BDP($C39,M$3,"EQY_FUND_CRNCY","USD"))</f>
        <v/>
      </c>
      <c r="N39" s="19">
        <f>IF($C39="","",BDP($C39,N$3,"EQY_FUND_CRNCY","USD"))</f>
        <v/>
      </c>
      <c r="O39" s="18">
        <f>IF($C39="","",BDP($C39,O$3))</f>
        <v/>
      </c>
      <c r="P39" s="18">
        <f>IF(LEFT($O39,1)="#","",IF($O39="","",BDP($O39,P$3)))</f>
        <v/>
      </c>
      <c r="Q39" s="20">
        <f>IF(AND(ISNUMBER($M39),ISNUMBER($N39)),IF($N39&gt;0,$M39/$N39,""),"")</f>
        <v/>
      </c>
      <c r="R39" s="21">
        <f>IF(AND(ISNUMBER($J39),ISNUMBER($I39)),IF($I39&gt;0,ABS($J39)/$I39,""),"")</f>
        <v/>
      </c>
      <c r="S39" s="21">
        <f>IF(AND(ISNUMBER($K39),ISNUMBER($L39)),IF($L39&gt;0,$K39/$L39,""),"")</f>
        <v/>
      </c>
      <c r="T39" s="22">
        <f>IF($D39="","",COUNTIFS('債券'!$B$5:$B$404,$D39,'債券'!$Y$5:$Y$404,1))</f>
        <v/>
      </c>
      <c r="U39" s="23">
        <f>IF($D39="","",SUMPRODUCT(('債券'!$B$5:$B$404=$D39)*('債券'!$Y$5:$Y$404=1)*'債券'!$AV$5:$AV$404)/1E6)</f>
        <v/>
      </c>
      <c r="V39" s="24">
        <f>IF($D39="","",IF(SUMPRODUCT(('債券'!$B$5:$B$404=$D39)*('債券'!$Y$5:$Y$404=1)*'債券'!$AV$5:$AV$404)&gt;0,SUMPRODUCT(('債券'!$B$5:$B$404=$D39)*('債券'!$Y$5:$Y$404=1)*'債券'!$AV$5:$AV$404*'債券'!$AT$5:$AT$404)/SUMPRODUCT(('債券'!$B$5:$B$404=$D39)*('債券'!$Y$5:$Y$404=1)*'債券'!$AV$5:$AV$404),""))</f>
        <v/>
      </c>
      <c r="W39" s="24">
        <f>IF($D39="","",IF(SUMPRODUCT(('債券'!$B$5:$B$404=$D39)*('債券'!$Y$5:$Y$404=1)*'債券'!$AV$5:$AV$404)&gt;0,SUMPRODUCT(('債券'!$B$5:$B$404=$D39)*('債券'!$Y$5:$Y$404=1)*'債券'!$AV$5:$AV$404*'債券'!$AW$5:$AW$404)/SUMPRODUCT(('債券'!$B$5:$B$404=$D39)*('債券'!$Y$5:$Y$404=1)*'債券'!$AV$5:$AV$404),""))</f>
        <v/>
      </c>
      <c r="X39" s="25">
        <f>IF($D39="","",IFERROR(AVERAGEIFS('債券'!$AQ$5:$AQ$404,'債券'!$B$5:$B$404,$D39,'債券'!$Y$5:$Y$404,1),""))</f>
        <v/>
      </c>
      <c r="Y39" s="22">
        <f>IF($D39="","",COUNTIFS('債券'!$B$5:$B$404,$D39,'債券'!$AS$5:$AS$404,"加碼候選"))</f>
        <v/>
      </c>
      <c r="Z39" s="22">
        <f>IF($D39="","",COUNTIFS('債券'!$B$5:$B$404,$D39,'債券'!$AS$5:$AS$404,"減碼候選"))</f>
        <v/>
      </c>
    </row>
    <row r="40">
      <c r="A40" s="26" t="n"/>
      <c r="B40" s="26" t="n"/>
      <c r="C40" s="26" t="n"/>
      <c r="D40" s="26" t="n"/>
      <c r="E40" s="26" t="n"/>
      <c r="F40" s="17">
        <f>IF($C40="","",BDP($C40,F$3))</f>
        <v/>
      </c>
      <c r="G40" s="18">
        <f>IF($C40="","",BDP($C40,G$3))</f>
        <v/>
      </c>
      <c r="H40" s="18">
        <f>IF($C40="","",BDP($C40,H$3))</f>
        <v/>
      </c>
      <c r="I40" s="17">
        <f>IF($C40="","",BDP($C40,I$3,"EQY_FUND_CRNCY","USD"))</f>
        <v/>
      </c>
      <c r="J40" s="19">
        <f>IF($C40="","",BDP($C40,J$3,"EQY_FUND_CRNCY","USD"))</f>
        <v/>
      </c>
      <c r="K40" s="19">
        <f>IF($C40="","",BDP($C40,K$3,"EQY_FUND_CRNCY","USD"))</f>
        <v/>
      </c>
      <c r="L40" s="17">
        <f>IF($C40="","",BDP($C40,L$3,"EQY_FUND_CRNCY","USD"))</f>
        <v/>
      </c>
      <c r="M40" s="19">
        <f>IF($C40="","",BDP($C40,M$3,"EQY_FUND_CRNCY","USD"))</f>
        <v/>
      </c>
      <c r="N40" s="19">
        <f>IF($C40="","",BDP($C40,N$3,"EQY_FUND_CRNCY","USD"))</f>
        <v/>
      </c>
      <c r="O40" s="18">
        <f>IF($C40="","",BDP($C40,O$3))</f>
        <v/>
      </c>
      <c r="P40" s="18">
        <f>IF(LEFT($O40,1)="#","",IF($O40="","",BDP($O40,P$3)))</f>
        <v/>
      </c>
      <c r="Q40" s="20">
        <f>IF(AND(ISNUMBER($M40),ISNUMBER($N40)),IF($N40&gt;0,$M40/$N40,""),"")</f>
        <v/>
      </c>
      <c r="R40" s="21">
        <f>IF(AND(ISNUMBER($J40),ISNUMBER($I40)),IF($I40&gt;0,ABS($J40)/$I40,""),"")</f>
        <v/>
      </c>
      <c r="S40" s="21">
        <f>IF(AND(ISNUMBER($K40),ISNUMBER($L40)),IF($L40&gt;0,$K40/$L40,""),"")</f>
        <v/>
      </c>
      <c r="T40" s="22">
        <f>IF($D40="","",COUNTIFS('債券'!$B$5:$B$404,$D40,'債券'!$Y$5:$Y$404,1))</f>
        <v/>
      </c>
      <c r="U40" s="23">
        <f>IF($D40="","",SUMPRODUCT(('債券'!$B$5:$B$404=$D40)*('債券'!$Y$5:$Y$404=1)*'債券'!$AV$5:$AV$404)/1E6)</f>
        <v/>
      </c>
      <c r="V40" s="24">
        <f>IF($D40="","",IF(SUMPRODUCT(('債券'!$B$5:$B$404=$D40)*('債券'!$Y$5:$Y$404=1)*'債券'!$AV$5:$AV$404)&gt;0,SUMPRODUCT(('債券'!$B$5:$B$404=$D40)*('債券'!$Y$5:$Y$404=1)*'債券'!$AV$5:$AV$404*'債券'!$AT$5:$AT$404)/SUMPRODUCT(('債券'!$B$5:$B$404=$D40)*('債券'!$Y$5:$Y$404=1)*'債券'!$AV$5:$AV$404),""))</f>
        <v/>
      </c>
      <c r="W40" s="24">
        <f>IF($D40="","",IF(SUMPRODUCT(('債券'!$B$5:$B$404=$D40)*('債券'!$Y$5:$Y$404=1)*'債券'!$AV$5:$AV$404)&gt;0,SUMPRODUCT(('債券'!$B$5:$B$404=$D40)*('債券'!$Y$5:$Y$404=1)*'債券'!$AV$5:$AV$404*'債券'!$AW$5:$AW$404)/SUMPRODUCT(('債券'!$B$5:$B$404=$D40)*('債券'!$Y$5:$Y$404=1)*'債券'!$AV$5:$AV$404),""))</f>
        <v/>
      </c>
      <c r="X40" s="25">
        <f>IF($D40="","",IFERROR(AVERAGEIFS('債券'!$AQ$5:$AQ$404,'債券'!$B$5:$B$404,$D40,'債券'!$Y$5:$Y$404,1),""))</f>
        <v/>
      </c>
      <c r="Y40" s="22">
        <f>IF($D40="","",COUNTIFS('債券'!$B$5:$B$404,$D40,'債券'!$AS$5:$AS$404,"加碼候選"))</f>
        <v/>
      </c>
      <c r="Z40" s="22">
        <f>IF($D40="","",COUNTIFS('債券'!$B$5:$B$404,$D40,'債券'!$AS$5:$AS$404,"減碼候選"))</f>
        <v/>
      </c>
    </row>
    <row r="41">
      <c r="A41" s="26" t="n"/>
      <c r="B41" s="26" t="n"/>
      <c r="C41" s="26" t="n"/>
      <c r="D41" s="26" t="n"/>
      <c r="E41" s="26" t="n"/>
      <c r="F41" s="17">
        <f>IF($C41="","",BDP($C41,F$3))</f>
        <v/>
      </c>
      <c r="G41" s="18">
        <f>IF($C41="","",BDP($C41,G$3))</f>
        <v/>
      </c>
      <c r="H41" s="18">
        <f>IF($C41="","",BDP($C41,H$3))</f>
        <v/>
      </c>
      <c r="I41" s="17">
        <f>IF($C41="","",BDP($C41,I$3,"EQY_FUND_CRNCY","USD"))</f>
        <v/>
      </c>
      <c r="J41" s="19">
        <f>IF($C41="","",BDP($C41,J$3,"EQY_FUND_CRNCY","USD"))</f>
        <v/>
      </c>
      <c r="K41" s="19">
        <f>IF($C41="","",BDP($C41,K$3,"EQY_FUND_CRNCY","USD"))</f>
        <v/>
      </c>
      <c r="L41" s="17">
        <f>IF($C41="","",BDP($C41,L$3,"EQY_FUND_CRNCY","USD"))</f>
        <v/>
      </c>
      <c r="M41" s="19">
        <f>IF($C41="","",BDP($C41,M$3,"EQY_FUND_CRNCY","USD"))</f>
        <v/>
      </c>
      <c r="N41" s="19">
        <f>IF($C41="","",BDP($C41,N$3,"EQY_FUND_CRNCY","USD"))</f>
        <v/>
      </c>
      <c r="O41" s="18">
        <f>IF($C41="","",BDP($C41,O$3))</f>
        <v/>
      </c>
      <c r="P41" s="18">
        <f>IF(LEFT($O41,1)="#","",IF($O41="","",BDP($O41,P$3)))</f>
        <v/>
      </c>
      <c r="Q41" s="20">
        <f>IF(AND(ISNUMBER($M41),ISNUMBER($N41)),IF($N41&gt;0,$M41/$N41,""),"")</f>
        <v/>
      </c>
      <c r="R41" s="21">
        <f>IF(AND(ISNUMBER($J41),ISNUMBER($I41)),IF($I41&gt;0,ABS($J41)/$I41,""),"")</f>
        <v/>
      </c>
      <c r="S41" s="21">
        <f>IF(AND(ISNUMBER($K41),ISNUMBER($L41)),IF($L41&gt;0,$K41/$L41,""),"")</f>
        <v/>
      </c>
      <c r="T41" s="22">
        <f>IF($D41="","",COUNTIFS('債券'!$B$5:$B$404,$D41,'債券'!$Y$5:$Y$404,1))</f>
        <v/>
      </c>
      <c r="U41" s="23">
        <f>IF($D41="","",SUMPRODUCT(('債券'!$B$5:$B$404=$D41)*('債券'!$Y$5:$Y$404=1)*'債券'!$AV$5:$AV$404)/1E6)</f>
        <v/>
      </c>
      <c r="V41" s="24">
        <f>IF($D41="","",IF(SUMPRODUCT(('債券'!$B$5:$B$404=$D41)*('債券'!$Y$5:$Y$404=1)*'債券'!$AV$5:$AV$404)&gt;0,SUMPRODUCT(('債券'!$B$5:$B$404=$D41)*('債券'!$Y$5:$Y$404=1)*'債券'!$AV$5:$AV$404*'債券'!$AT$5:$AT$404)/SUMPRODUCT(('債券'!$B$5:$B$404=$D41)*('債券'!$Y$5:$Y$404=1)*'債券'!$AV$5:$AV$404),""))</f>
        <v/>
      </c>
      <c r="W41" s="24">
        <f>IF($D41="","",IF(SUMPRODUCT(('債券'!$B$5:$B$404=$D41)*('債券'!$Y$5:$Y$404=1)*'債券'!$AV$5:$AV$404)&gt;0,SUMPRODUCT(('債券'!$B$5:$B$404=$D41)*('債券'!$Y$5:$Y$404=1)*'債券'!$AV$5:$AV$404*'債券'!$AW$5:$AW$404)/SUMPRODUCT(('債券'!$B$5:$B$404=$D41)*('債券'!$Y$5:$Y$404=1)*'債券'!$AV$5:$AV$404),""))</f>
        <v/>
      </c>
      <c r="X41" s="25">
        <f>IF($D41="","",IFERROR(AVERAGEIFS('債券'!$AQ$5:$AQ$404,'債券'!$B$5:$B$404,$D41,'債券'!$Y$5:$Y$404,1),""))</f>
        <v/>
      </c>
      <c r="Y41" s="22">
        <f>IF($D41="","",COUNTIFS('債券'!$B$5:$B$404,$D41,'債券'!$AS$5:$AS$404,"加碼候選"))</f>
        <v/>
      </c>
      <c r="Z41" s="22">
        <f>IF($D41="","",COUNTIFS('債券'!$B$5:$B$404,$D41,'債券'!$AS$5:$AS$404,"減碼候選"))</f>
        <v/>
      </c>
    </row>
    <row r="42">
      <c r="A42" s="26" t="n"/>
      <c r="B42" s="26" t="n"/>
      <c r="C42" s="26" t="n"/>
      <c r="D42" s="26" t="n"/>
      <c r="E42" s="26" t="n"/>
      <c r="F42" s="17">
        <f>IF($C42="","",BDP($C42,F$3))</f>
        <v/>
      </c>
      <c r="G42" s="18">
        <f>IF($C42="","",BDP($C42,G$3))</f>
        <v/>
      </c>
      <c r="H42" s="18">
        <f>IF($C42="","",BDP($C42,H$3))</f>
        <v/>
      </c>
      <c r="I42" s="17">
        <f>IF($C42="","",BDP($C42,I$3,"EQY_FUND_CRNCY","USD"))</f>
        <v/>
      </c>
      <c r="J42" s="19">
        <f>IF($C42="","",BDP($C42,J$3,"EQY_FUND_CRNCY","USD"))</f>
        <v/>
      </c>
      <c r="K42" s="19">
        <f>IF($C42="","",BDP($C42,K$3,"EQY_FUND_CRNCY","USD"))</f>
        <v/>
      </c>
      <c r="L42" s="17">
        <f>IF($C42="","",BDP($C42,L$3,"EQY_FUND_CRNCY","USD"))</f>
        <v/>
      </c>
      <c r="M42" s="19">
        <f>IF($C42="","",BDP($C42,M$3,"EQY_FUND_CRNCY","USD"))</f>
        <v/>
      </c>
      <c r="N42" s="19">
        <f>IF($C42="","",BDP($C42,N$3,"EQY_FUND_CRNCY","USD"))</f>
        <v/>
      </c>
      <c r="O42" s="18">
        <f>IF($C42="","",BDP($C42,O$3))</f>
        <v/>
      </c>
      <c r="P42" s="18">
        <f>IF(LEFT($O42,1)="#","",IF($O42="","",BDP($O42,P$3)))</f>
        <v/>
      </c>
      <c r="Q42" s="20">
        <f>IF(AND(ISNUMBER($M42),ISNUMBER($N42)),IF($N42&gt;0,$M42/$N42,""),"")</f>
        <v/>
      </c>
      <c r="R42" s="21">
        <f>IF(AND(ISNUMBER($J42),ISNUMBER($I42)),IF($I42&gt;0,ABS($J42)/$I42,""),"")</f>
        <v/>
      </c>
      <c r="S42" s="21">
        <f>IF(AND(ISNUMBER($K42),ISNUMBER($L42)),IF($L42&gt;0,$K42/$L42,""),"")</f>
        <v/>
      </c>
      <c r="T42" s="22">
        <f>IF($D42="","",COUNTIFS('債券'!$B$5:$B$404,$D42,'債券'!$Y$5:$Y$404,1))</f>
        <v/>
      </c>
      <c r="U42" s="23">
        <f>IF($D42="","",SUMPRODUCT(('債券'!$B$5:$B$404=$D42)*('債券'!$Y$5:$Y$404=1)*'債券'!$AV$5:$AV$404)/1E6)</f>
        <v/>
      </c>
      <c r="V42" s="24">
        <f>IF($D42="","",IF(SUMPRODUCT(('債券'!$B$5:$B$404=$D42)*('債券'!$Y$5:$Y$404=1)*'債券'!$AV$5:$AV$404)&gt;0,SUMPRODUCT(('債券'!$B$5:$B$404=$D42)*('債券'!$Y$5:$Y$404=1)*'債券'!$AV$5:$AV$404*'債券'!$AT$5:$AT$404)/SUMPRODUCT(('債券'!$B$5:$B$404=$D42)*('債券'!$Y$5:$Y$404=1)*'債券'!$AV$5:$AV$404),""))</f>
        <v/>
      </c>
      <c r="W42" s="24">
        <f>IF($D42="","",IF(SUMPRODUCT(('債券'!$B$5:$B$404=$D42)*('債券'!$Y$5:$Y$404=1)*'債券'!$AV$5:$AV$404)&gt;0,SUMPRODUCT(('債券'!$B$5:$B$404=$D42)*('債券'!$Y$5:$Y$404=1)*'債券'!$AV$5:$AV$404*'債券'!$AW$5:$AW$404)/SUMPRODUCT(('債券'!$B$5:$B$404=$D42)*('債券'!$Y$5:$Y$404=1)*'債券'!$AV$5:$AV$404),""))</f>
        <v/>
      </c>
      <c r="X42" s="25">
        <f>IF($D42="","",IFERROR(AVERAGEIFS('債券'!$AQ$5:$AQ$404,'債券'!$B$5:$B$404,$D42,'債券'!$Y$5:$Y$404,1),""))</f>
        <v/>
      </c>
      <c r="Y42" s="22">
        <f>IF($D42="","",COUNTIFS('債券'!$B$5:$B$404,$D42,'債券'!$AS$5:$AS$404,"加碼候選"))</f>
        <v/>
      </c>
      <c r="Z42" s="22">
        <f>IF($D42="","",COUNTIFS('債券'!$B$5:$B$404,$D42,'債券'!$AS$5:$AS$404,"減碼候選"))</f>
        <v/>
      </c>
    </row>
    <row r="43">
      <c r="A43" s="26" t="n"/>
      <c r="B43" s="26" t="n"/>
      <c r="C43" s="26" t="n"/>
      <c r="D43" s="26" t="n"/>
      <c r="E43" s="26" t="n"/>
      <c r="F43" s="17">
        <f>IF($C43="","",BDP($C43,F$3))</f>
        <v/>
      </c>
      <c r="G43" s="18">
        <f>IF($C43="","",BDP($C43,G$3))</f>
        <v/>
      </c>
      <c r="H43" s="18">
        <f>IF($C43="","",BDP($C43,H$3))</f>
        <v/>
      </c>
      <c r="I43" s="17">
        <f>IF($C43="","",BDP($C43,I$3,"EQY_FUND_CRNCY","USD"))</f>
        <v/>
      </c>
      <c r="J43" s="19">
        <f>IF($C43="","",BDP($C43,J$3,"EQY_FUND_CRNCY","USD"))</f>
        <v/>
      </c>
      <c r="K43" s="19">
        <f>IF($C43="","",BDP($C43,K$3,"EQY_FUND_CRNCY","USD"))</f>
        <v/>
      </c>
      <c r="L43" s="17">
        <f>IF($C43="","",BDP($C43,L$3,"EQY_FUND_CRNCY","USD"))</f>
        <v/>
      </c>
      <c r="M43" s="19">
        <f>IF($C43="","",BDP($C43,M$3,"EQY_FUND_CRNCY","USD"))</f>
        <v/>
      </c>
      <c r="N43" s="19">
        <f>IF($C43="","",BDP($C43,N$3,"EQY_FUND_CRNCY","USD"))</f>
        <v/>
      </c>
      <c r="O43" s="18">
        <f>IF($C43="","",BDP($C43,O$3))</f>
        <v/>
      </c>
      <c r="P43" s="18">
        <f>IF(LEFT($O43,1)="#","",IF($O43="","",BDP($O43,P$3)))</f>
        <v/>
      </c>
      <c r="Q43" s="20">
        <f>IF(AND(ISNUMBER($M43),ISNUMBER($N43)),IF($N43&gt;0,$M43/$N43,""),"")</f>
        <v/>
      </c>
      <c r="R43" s="21">
        <f>IF(AND(ISNUMBER($J43),ISNUMBER($I43)),IF($I43&gt;0,ABS($J43)/$I43,""),"")</f>
        <v/>
      </c>
      <c r="S43" s="21">
        <f>IF(AND(ISNUMBER($K43),ISNUMBER($L43)),IF($L43&gt;0,$K43/$L43,""),"")</f>
        <v/>
      </c>
      <c r="T43" s="22">
        <f>IF($D43="","",COUNTIFS('債券'!$B$5:$B$404,$D43,'債券'!$Y$5:$Y$404,1))</f>
        <v/>
      </c>
      <c r="U43" s="23">
        <f>IF($D43="","",SUMPRODUCT(('債券'!$B$5:$B$404=$D43)*('債券'!$Y$5:$Y$404=1)*'債券'!$AV$5:$AV$404)/1E6)</f>
        <v/>
      </c>
      <c r="V43" s="24">
        <f>IF($D43="","",IF(SUMPRODUCT(('債券'!$B$5:$B$404=$D43)*('債券'!$Y$5:$Y$404=1)*'債券'!$AV$5:$AV$404)&gt;0,SUMPRODUCT(('債券'!$B$5:$B$404=$D43)*('債券'!$Y$5:$Y$404=1)*'債券'!$AV$5:$AV$404*'債券'!$AT$5:$AT$404)/SUMPRODUCT(('債券'!$B$5:$B$404=$D43)*('債券'!$Y$5:$Y$404=1)*'債券'!$AV$5:$AV$404),""))</f>
        <v/>
      </c>
      <c r="W43" s="24">
        <f>IF($D43="","",IF(SUMPRODUCT(('債券'!$B$5:$B$404=$D43)*('債券'!$Y$5:$Y$404=1)*'債券'!$AV$5:$AV$404)&gt;0,SUMPRODUCT(('債券'!$B$5:$B$404=$D43)*('債券'!$Y$5:$Y$404=1)*'債券'!$AV$5:$AV$404*'債券'!$AW$5:$AW$404)/SUMPRODUCT(('債券'!$B$5:$B$404=$D43)*('債券'!$Y$5:$Y$404=1)*'債券'!$AV$5:$AV$404),""))</f>
        <v/>
      </c>
      <c r="X43" s="25">
        <f>IF($D43="","",IFERROR(AVERAGEIFS('債券'!$AQ$5:$AQ$404,'債券'!$B$5:$B$404,$D43,'債券'!$Y$5:$Y$404,1),""))</f>
        <v/>
      </c>
      <c r="Y43" s="22">
        <f>IF($D43="","",COUNTIFS('債券'!$B$5:$B$404,$D43,'債券'!$AS$5:$AS$404,"加碼候選"))</f>
        <v/>
      </c>
      <c r="Z43" s="22">
        <f>IF($D43="","",COUNTIFS('債券'!$B$5:$B$404,$D43,'債券'!$AS$5:$AS$404,"減碼候選"))</f>
        <v/>
      </c>
    </row>
    <row r="44">
      <c r="A44" s="26" t="n"/>
      <c r="B44" s="26" t="n"/>
      <c r="C44" s="26" t="n"/>
      <c r="D44" s="26" t="n"/>
      <c r="E44" s="26" t="n"/>
      <c r="F44" s="17">
        <f>IF($C44="","",BDP($C44,F$3))</f>
        <v/>
      </c>
      <c r="G44" s="18">
        <f>IF($C44="","",BDP($C44,G$3))</f>
        <v/>
      </c>
      <c r="H44" s="18">
        <f>IF($C44="","",BDP($C44,H$3))</f>
        <v/>
      </c>
      <c r="I44" s="17">
        <f>IF($C44="","",BDP($C44,I$3,"EQY_FUND_CRNCY","USD"))</f>
        <v/>
      </c>
      <c r="J44" s="19">
        <f>IF($C44="","",BDP($C44,J$3,"EQY_FUND_CRNCY","USD"))</f>
        <v/>
      </c>
      <c r="K44" s="19">
        <f>IF($C44="","",BDP($C44,K$3,"EQY_FUND_CRNCY","USD"))</f>
        <v/>
      </c>
      <c r="L44" s="17">
        <f>IF($C44="","",BDP($C44,L$3,"EQY_FUND_CRNCY","USD"))</f>
        <v/>
      </c>
      <c r="M44" s="19">
        <f>IF($C44="","",BDP($C44,M$3,"EQY_FUND_CRNCY","USD"))</f>
        <v/>
      </c>
      <c r="N44" s="19">
        <f>IF($C44="","",BDP($C44,N$3,"EQY_FUND_CRNCY","USD"))</f>
        <v/>
      </c>
      <c r="O44" s="18">
        <f>IF($C44="","",BDP($C44,O$3))</f>
        <v/>
      </c>
      <c r="P44" s="18">
        <f>IF(LEFT($O44,1)="#","",IF($O44="","",BDP($O44,P$3)))</f>
        <v/>
      </c>
      <c r="Q44" s="20">
        <f>IF(AND(ISNUMBER($M44),ISNUMBER($N44)),IF($N44&gt;0,$M44/$N44,""),"")</f>
        <v/>
      </c>
      <c r="R44" s="21">
        <f>IF(AND(ISNUMBER($J44),ISNUMBER($I44)),IF($I44&gt;0,ABS($J44)/$I44,""),"")</f>
        <v/>
      </c>
      <c r="S44" s="21">
        <f>IF(AND(ISNUMBER($K44),ISNUMBER($L44)),IF($L44&gt;0,$K44/$L44,""),"")</f>
        <v/>
      </c>
      <c r="T44" s="22">
        <f>IF($D44="","",COUNTIFS('債券'!$B$5:$B$404,$D44,'債券'!$Y$5:$Y$404,1))</f>
        <v/>
      </c>
      <c r="U44" s="23">
        <f>IF($D44="","",SUMPRODUCT(('債券'!$B$5:$B$404=$D44)*('債券'!$Y$5:$Y$404=1)*'債券'!$AV$5:$AV$404)/1E6)</f>
        <v/>
      </c>
      <c r="V44" s="24">
        <f>IF($D44="","",IF(SUMPRODUCT(('債券'!$B$5:$B$404=$D44)*('債券'!$Y$5:$Y$404=1)*'債券'!$AV$5:$AV$404)&gt;0,SUMPRODUCT(('債券'!$B$5:$B$404=$D44)*('債券'!$Y$5:$Y$404=1)*'債券'!$AV$5:$AV$404*'債券'!$AT$5:$AT$404)/SUMPRODUCT(('債券'!$B$5:$B$404=$D44)*('債券'!$Y$5:$Y$404=1)*'債券'!$AV$5:$AV$404),""))</f>
        <v/>
      </c>
      <c r="W44" s="24">
        <f>IF($D44="","",IF(SUMPRODUCT(('債券'!$B$5:$B$404=$D44)*('債券'!$Y$5:$Y$404=1)*'債券'!$AV$5:$AV$404)&gt;0,SUMPRODUCT(('債券'!$B$5:$B$404=$D44)*('債券'!$Y$5:$Y$404=1)*'債券'!$AV$5:$AV$404*'債券'!$AW$5:$AW$404)/SUMPRODUCT(('債券'!$B$5:$B$404=$D44)*('債券'!$Y$5:$Y$404=1)*'債券'!$AV$5:$AV$404),""))</f>
        <v/>
      </c>
      <c r="X44" s="25">
        <f>IF($D44="","",IFERROR(AVERAGEIFS('債券'!$AQ$5:$AQ$404,'債券'!$B$5:$B$404,$D44,'債券'!$Y$5:$Y$404,1),""))</f>
        <v/>
      </c>
      <c r="Y44" s="22">
        <f>IF($D44="","",COUNTIFS('債券'!$B$5:$B$404,$D44,'債券'!$AS$5:$AS$404,"加碼候選"))</f>
        <v/>
      </c>
      <c r="Z44" s="22">
        <f>IF($D44="","",COUNTIFS('債券'!$B$5:$B$404,$D44,'債券'!$AS$5:$AS$404,"減碼候選"))</f>
        <v/>
      </c>
    </row>
  </sheetData>
  <autoFilter ref="A4:Z44"/>
  <conditionalFormatting sqref="X5:X44">
    <cfRule type="colorScale" priority="1">
      <colorScale>
        <cfvo type="num" val="-1"/>
        <cfvo type="num" val="0"/>
        <cfvo type="num" val="1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40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22" customWidth="1" min="3" max="3"/>
    <col width="10" customWidth="1" min="4" max="4"/>
    <col width="11" customWidth="1" min="5" max="5"/>
    <col width="15" customWidth="1" min="6" max="6"/>
    <col width="10" customWidth="1" min="7" max="7"/>
    <col width="10" customWidth="1" min="8" max="8"/>
    <col width="10" customWidth="1" min="9" max="9"/>
    <col width="14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6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1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</cols>
  <sheetData>
    <row r="1">
      <c r="A1" s="6" t="inlineStr">
        <is>
          <t>美元公司債：AI 相關發行人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</row>
    <row r="2">
      <c r="A2" s="7" t="inlineStr">
        <is>
          <t>A 欄貼上債券代碼（見「說明」）。第 3 列黃底是彭博欄位代碼，可依 FLDS 查詢結果修改。灰色標題為輔助欄，請勿刪除。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</row>
    <row r="3">
      <c r="A3" s="7" t="inlineStr">
        <is>
          <t>彭博欄位 →</t>
        </is>
      </c>
      <c r="B3" s="16" t="inlineStr">
        <is>
          <t>TICKER</t>
        </is>
      </c>
      <c r="C3" s="16" t="inlineStr">
        <is>
          <t>SECURITY_DES</t>
        </is>
      </c>
      <c r="D3" s="16" t="inlineStr">
        <is>
          <t>CPN</t>
        </is>
      </c>
      <c r="E3" s="16" t="inlineStr">
        <is>
          <t>MATURITY</t>
        </is>
      </c>
      <c r="F3" s="16" t="inlineStr">
        <is>
          <t>AMT_OUTSTANDING</t>
        </is>
      </c>
      <c r="G3" s="16" t="inlineStr">
        <is>
          <t>BB_COMPOSITE</t>
        </is>
      </c>
      <c r="H3" s="16" t="inlineStr">
        <is>
          <t>RTG_SP</t>
        </is>
      </c>
      <c r="I3" s="16" t="inlineStr">
        <is>
          <t>RTG_MOODY</t>
        </is>
      </c>
      <c r="J3" s="16" t="inlineStr">
        <is>
          <t>PAYMENT_RANK</t>
        </is>
      </c>
      <c r="K3" s="16" t="inlineStr">
        <is>
          <t>MTY_TYP</t>
        </is>
      </c>
      <c r="L3" s="16" t="inlineStr">
        <is>
          <t>PX_MID</t>
        </is>
      </c>
      <c r="M3" s="16" t="inlineStr">
        <is>
          <t>YLD_YTM_MID</t>
        </is>
      </c>
      <c r="N3" s="16" t="inlineStr">
        <is>
          <t>OAS_SPREAD_MID</t>
        </is>
      </c>
      <c r="O3" s="16" t="inlineStr">
        <is>
          <t>DUR_ADJ_MID</t>
        </is>
      </c>
      <c r="P3" s="7" t="inlineStr">
        <is>
          <t>BDH（同 OAS 欄位）</t>
        </is>
      </c>
      <c r="Q3" s="7" t="inlineStr">
        <is>
          <t>BDH（同 OAS 欄位）</t>
        </is>
      </c>
      <c r="R3" s="7" t="inlineStr">
        <is>
          <t>BDH（同 OAS 欄位）</t>
        </is>
      </c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</row>
    <row r="4" ht="44" customHeight="1">
      <c r="A4" s="14" t="inlineStr">
        <is>
          <t>債券代碼
（ISIN 或彭博代碼）</t>
        </is>
      </c>
      <c r="B4" s="14" t="inlineStr">
        <is>
          <t>發行人代碼</t>
        </is>
      </c>
      <c r="C4" s="14" t="inlineStr">
        <is>
          <t>債券簡稱</t>
        </is>
      </c>
      <c r="D4" s="14" t="inlineStr">
        <is>
          <t>票息 (%)</t>
        </is>
      </c>
      <c r="E4" s="14" t="inlineStr">
        <is>
          <t>到期日</t>
        </is>
      </c>
      <c r="F4" s="14" t="inlineStr">
        <is>
          <t>流通在外 (USD)</t>
        </is>
      </c>
      <c r="G4" s="14" t="inlineStr">
        <is>
          <t>彭博綜合評等</t>
        </is>
      </c>
      <c r="H4" s="14" t="inlineStr">
        <is>
          <t>S&amp;P</t>
        </is>
      </c>
      <c r="I4" s="14" t="inlineStr">
        <is>
          <t>Moody's</t>
        </is>
      </c>
      <c r="J4" s="14" t="inlineStr">
        <is>
          <t>求償順位</t>
        </is>
      </c>
      <c r="K4" s="14" t="inlineStr">
        <is>
          <t>到期型態</t>
        </is>
      </c>
      <c r="L4" s="14" t="inlineStr">
        <is>
          <t>價格 (Mid)</t>
        </is>
      </c>
      <c r="M4" s="14" t="inlineStr">
        <is>
          <t>殖利率 (%)</t>
        </is>
      </c>
      <c r="N4" s="14" t="inlineStr">
        <is>
          <t>OAS (bp)</t>
        </is>
      </c>
      <c r="O4" s="14" t="inlineStr">
        <is>
          <t>利差存續期間</t>
        </is>
      </c>
      <c r="P4" s="14" t="inlineStr">
        <is>
          <t>OAS
1 個月前</t>
        </is>
      </c>
      <c r="Q4" s="14" t="inlineStr">
        <is>
          <t>OAS
3 個月前</t>
        </is>
      </c>
      <c r="R4" s="14" t="inlineStr">
        <is>
          <t>OAS
6 個月前</t>
        </is>
      </c>
      <c r="S4" s="14" t="inlineStr">
        <is>
          <t>分類</t>
        </is>
      </c>
      <c r="T4" s="14" t="inlineStr">
        <is>
          <t>股票 6M
報酬 (%)</t>
        </is>
      </c>
      <c r="U4" s="14" t="inlineStr">
        <is>
          <t>剩餘年限</t>
        </is>
      </c>
      <c r="V4" s="14" t="inlineStr">
        <is>
          <t>天期分群</t>
        </is>
      </c>
      <c r="W4" s="14" t="inlineStr">
        <is>
          <t>評等分數</t>
        </is>
      </c>
      <c r="X4" s="14" t="inlineStr">
        <is>
          <t>評等分群</t>
        </is>
      </c>
      <c r="Y4" s="14" t="inlineStr">
        <is>
          <t>有效
(1/0)</t>
        </is>
      </c>
      <c r="Z4" s="14" t="inlineStr">
        <is>
          <t>DTS</t>
        </is>
      </c>
      <c r="AA4" s="14" t="inlineStr">
        <is>
          <t>3M OAS
變化 (bp)</t>
        </is>
      </c>
      <c r="AB4" s="14" t="inlineStr">
        <is>
          <t>動能：6M→1M
超額報酬 (bp)</t>
        </is>
      </c>
      <c r="AC4" s="14" t="inlineStr">
        <is>
          <t>Carry
組內檔數</t>
        </is>
      </c>
      <c r="AD4" s="14" t="inlineStr">
        <is>
          <t>Carry
組平均 OAS</t>
        </is>
      </c>
      <c r="AE4" s="14" t="inlineStr">
        <is>
          <t>Carry
組標準差</t>
        </is>
      </c>
      <c r="AF4" s="14" t="inlineStr">
        <is>
          <t>Carry z</t>
        </is>
      </c>
      <c r="AG4" s="14" t="inlineStr">
        <is>
          <t>發行人
檔數</t>
        </is>
      </c>
      <c r="AH4" s="14" t="inlineStr">
        <is>
          <t>發行人曲線
擬合 OAS</t>
        </is>
      </c>
      <c r="AI4" s="14" t="inlineStr">
        <is>
          <t>相對發行人
曲線 (bp)</t>
        </is>
      </c>
      <c r="AJ4" s="14" t="inlineStr">
        <is>
          <t>評等曲線
擬合 OAS</t>
        </is>
      </c>
      <c r="AK4" s="14" t="inlineStr">
        <is>
          <t>相對評等
曲線 (bp)</t>
        </is>
      </c>
      <c r="AL4" s="14" t="inlineStr">
        <is>
          <t>Value：
相對便宜 %</t>
        </is>
      </c>
      <c r="AM4" s="14" t="inlineStr">
        <is>
          <t>Value z</t>
        </is>
      </c>
      <c r="AN4" s="14" t="inlineStr">
        <is>
          <t>動能 ÷ DTS
(×100)</t>
        </is>
      </c>
      <c r="AO4" s="14" t="inlineStr">
        <is>
          <t>Momentum z</t>
        </is>
      </c>
      <c r="AP4" s="14" t="inlineStr">
        <is>
          <t>股票動能 z</t>
        </is>
      </c>
      <c r="AQ4" s="14" t="inlineStr">
        <is>
          <t>綜合分數</t>
        </is>
      </c>
      <c r="AR4" s="14" t="inlineStr">
        <is>
          <t>評等分群內
排名百分位</t>
        </is>
      </c>
      <c r="AS4" s="14" t="inlineStr">
        <is>
          <t>訊號</t>
        </is>
      </c>
      <c r="AT4" s="27" t="inlineStr">
        <is>
          <t>輔助
OAS</t>
        </is>
      </c>
      <c r="AU4" s="27" t="inlineStr">
        <is>
          <t>輔助
ln(存續)</t>
        </is>
      </c>
      <c r="AV4" s="27" t="inlineStr">
        <is>
          <t>輔助
流通在外</t>
        </is>
      </c>
      <c r="AW4" s="27" t="inlineStr">
        <is>
          <t>輔助
DTS</t>
        </is>
      </c>
      <c r="AX4" s="27" t="inlineStr">
        <is>
          <t>輔助
Value</t>
        </is>
      </c>
      <c r="AY4" s="27" t="inlineStr">
        <is>
          <t>輔助
Value 有效</t>
        </is>
      </c>
      <c r="AZ4" s="27" t="inlineStr">
        <is>
          <t>輔助
動能</t>
        </is>
      </c>
      <c r="BA4" s="27" t="inlineStr">
        <is>
          <t>輔助
動能有效</t>
        </is>
      </c>
      <c r="BB4" s="27" t="inlineStr">
        <is>
          <t>輔助
股票</t>
        </is>
      </c>
      <c r="BC4" s="27" t="inlineStr">
        <is>
          <t>輔助
股票有效</t>
        </is>
      </c>
      <c r="BD4" s="27" t="inlineStr">
        <is>
          <t>輔助
排序（高）</t>
        </is>
      </c>
      <c r="BE4" s="27" t="inlineStr">
        <is>
          <t>輔助
排序（低）</t>
        </is>
      </c>
    </row>
    <row r="5">
      <c r="A5" s="16" t="n"/>
      <c r="B5" s="8">
        <f>IF($A5="","",BDP($A5,B$3))</f>
        <v/>
      </c>
      <c r="C5" s="8">
        <f>IF($A5="","",BDP($A5,C$3))</f>
        <v/>
      </c>
      <c r="D5" s="28">
        <f>IF($A5="","",BDP($A5,D$3))</f>
        <v/>
      </c>
      <c r="E5" s="29">
        <f>IF($A5="","",BDP($A5,E$3))</f>
        <v/>
      </c>
      <c r="F5" s="17">
        <f>IF($A5="","",BDP($A5,F$3))</f>
        <v/>
      </c>
      <c r="G5" s="8">
        <f>IF($A5="","",BDP($A5,G$3))</f>
        <v/>
      </c>
      <c r="H5" s="8">
        <f>IF($A5="","",BDP($A5,H$3))</f>
        <v/>
      </c>
      <c r="I5" s="8">
        <f>IF($A5="","",BDP($A5,I$3))</f>
        <v/>
      </c>
      <c r="J5" s="8">
        <f>IF($A5="","",BDP($A5,J$3))</f>
        <v/>
      </c>
      <c r="K5" s="8">
        <f>IF($A5="","",BDP($A5,K$3))</f>
        <v/>
      </c>
      <c r="L5" s="28">
        <f>IF($A5="","",BDP($A5,L$3))</f>
        <v/>
      </c>
      <c r="M5" s="28">
        <f>IF($A5="","",BDP($A5,M$3))</f>
        <v/>
      </c>
      <c r="N5" s="30">
        <f>IF($A5="","",BDP($A5,N$3))</f>
        <v/>
      </c>
      <c r="O5" s="31">
        <f>IF($A5="","",BDP($A5,O$3))</f>
        <v/>
      </c>
      <c r="P5" s="30">
        <f>IF($A5="","",BDH($A5,$N$3,'參數'!$B$5,'參數'!$B$5,"Days=A","Fill=P","Dates=H"))</f>
        <v/>
      </c>
      <c r="Q5" s="30">
        <f>IF($A5="","",BDH($A5,$N$3,'參數'!$B$6,'參數'!$B$6,"Days=A","Fill=P","Dates=H"))</f>
        <v/>
      </c>
      <c r="R5" s="30">
        <f>IF($A5="","",BDH($A5,$N$3,'參數'!$B$7,'參數'!$B$7,"Days=A","Fill=P","Dates=H"))</f>
        <v/>
      </c>
      <c r="S5" s="32">
        <f>IF($A5="","",IFERROR(INDEX('發行人'!$A$5:$A$44,MATCH(B5,'發行人'!$D$5:$D$44,0)),"未對應"))</f>
        <v/>
      </c>
      <c r="T5" s="24">
        <f>IF($A5="","",IFERROR(INDEX('發行人'!$G$5:$G$44,MATCH(B5,'發行人'!$D$5:$D$44,0))+0,""))</f>
        <v/>
      </c>
      <c r="U5" s="18">
        <f>IF(ISNUMBER(E5),YEARFRAC('參數'!$B$4,E5),"")</f>
        <v/>
      </c>
      <c r="V5" s="8">
        <f>IF(U5="","",IF(U5&lt;3,"1-3y",IF(U5&lt;5,"3-5y",IF(U5&lt;7,"5-7y",IF(U5&lt;10,"7-10y","10y+")))))</f>
        <v/>
      </c>
      <c r="W5" s="30">
        <f>IF($A5="","",IFERROR(INDEX('參數'!$B$24:$B$45,MATCH(G5,'參數'!$A$24:$A$45,0)),""))</f>
        <v/>
      </c>
      <c r="X5" s="8">
        <f>IF($A5="","",IFERROR(INDEX('參數'!$C$24:$C$45,MATCH(G5,'參數'!$A$24:$A$45,0)),""))</f>
        <v/>
      </c>
      <c r="Y5" s="30">
        <f>IF(AND(ISNUMBER(N5),ISNUMBER(O5),ISNUMBER(U5)),IF(AND(O5&gt;0,X5&lt;&gt;""),1,0),0)</f>
        <v/>
      </c>
      <c r="Z5" s="17">
        <f>IF(Y5=1,O5*N5,"")</f>
        <v/>
      </c>
      <c r="AA5" s="33">
        <f>IF(Y5=1,IF(ISNUMBER(Q5),N5-Q5,""),"")</f>
        <v/>
      </c>
      <c r="AB5" s="33">
        <f>IF(Y5=1,IF(AND(ISNUMBER(P5),ISNUMBER(R5)),R5*5/12-O5*(P5-R5),""),"")</f>
        <v/>
      </c>
      <c r="AC5" s="30">
        <f>IF(Y5=1,COUNTIFS($X$5:$X$404,X5,$V$5:$V$404,V5,$Y$5:$Y$404,1),"")</f>
        <v/>
      </c>
      <c r="AD5" s="30">
        <f>IF(Y5=1,IFERROR(IF(AC5&gt;='參數'!$B$9,INDEX('分群統計'!$G$13:$K$16,MATCH(X5,'分群統計'!$A$13:$A$16,0),MATCH(V5,'分群統計'!$G$12:$K$12,0)),INDEX('分群統計'!$I$5:$I$8,MATCH(X5,'分群統計'!$A$5:$A$8,0))),""),"")</f>
        <v/>
      </c>
      <c r="AE5" s="18">
        <f>IF(Y5=1,IFERROR(IF(AC5&gt;='參數'!$B$9,INDEX('分群統計'!$L$13:$P$16,MATCH(X5,'分群統計'!$A$13:$A$16,0),MATCH(V5,'分群統計'!$L$12:$P$12,0)),INDEX('分群統計'!$J$5:$J$8,MATCH(X5,'分群統計'!$A$5:$A$8,0))),""),"")</f>
        <v/>
      </c>
      <c r="AF5" s="31">
        <f>IF(ISNUMBER(AE5),IF(AE5&gt;0,MAX(-3,MIN(3,(N5-AD5)/AE5)),0),"")</f>
        <v/>
      </c>
      <c r="AG5" s="30">
        <f>IF(Y5=1,COUNTIFS($B$5:$B$404,B5,$Y$5:$Y$404,1),"")</f>
        <v/>
      </c>
      <c r="AH5" s="30">
        <f>IF(Y5=1,IFERROR(IF(ISNUMBER(INDEX('分群統計'!$G$20:$G$59,MATCH(B5,'分群統計'!$A$20:$A$59,0))),INDEX('分群統計'!$H$20:$H$59,MATCH(B5,'分群統計'!$A$20:$A$59,0))+INDEX('分群統計'!$G$20:$G$59,MATCH(B5,'分群統計'!$A$20:$A$59,0))*AU5,""),""),"")</f>
        <v/>
      </c>
      <c r="AI5" s="34">
        <f>IF(ISNUMBER(AH5),N5-AH5,"")</f>
        <v/>
      </c>
      <c r="AJ5" s="30">
        <f>IF(Y5=1,IFERROR(IF(ISNUMBER(INDEX('分群統計'!$G$5:$G$8,MATCH(X5,'分群統計'!$A$5:$A$8,0))),INDEX('分群統計'!$H$5:$H$8,MATCH(X5,'分群統計'!$A$5:$A$8,0))+INDEX('分群統計'!$G$5:$G$8,MATCH(X5,'分群統計'!$A$5:$A$8,0))*AU5,""),""),"")</f>
        <v/>
      </c>
      <c r="AK5" s="34">
        <f>IF(ISNUMBER(AJ5),N5-AJ5,"")</f>
        <v/>
      </c>
      <c r="AL5" s="21">
        <f>IF(ISNUMBER(AJ5),IF(AJ5&gt;0,AK5/AJ5,""),"")</f>
        <v/>
      </c>
      <c r="AM5" s="31">
        <f>IF(AY5&lt;&gt;1,"",IFERROR(IF(INDEX('分群統計'!$K$5:$K$8,MATCH(X5,'分群統計'!$A$5:$A$8,0))&lt;3,"",IF(INDEX('分群統計'!$M$5:$M$8,MATCH(X5,'分群統計'!$A$5:$A$8,0))&gt;0,MAX(-3,MIN(3,(AX5-INDEX('分群統計'!$L$5:$L$8,MATCH(X5,'分群統計'!$A$5:$A$8,0)))/INDEX('分群統計'!$M$5:$M$8,MATCH(X5,'分群統計'!$A$5:$A$8,0)))),0)),""))</f>
        <v/>
      </c>
      <c r="AN5" s="31">
        <f>IF(ISNUMBER(AB5),IF(Z5&gt;0,AB5/Z5*100,""),"")</f>
        <v/>
      </c>
      <c r="AO5" s="31">
        <f>IF(BA5&lt;&gt;1,"",IFERROR(IF(INDEX('分群統計'!$N$5:$N$8,MATCH(X5,'分群統計'!$A$5:$A$8,0))&lt;3,"",IF(INDEX('分群統計'!$P$5:$P$8,MATCH(X5,'分群統計'!$A$5:$A$8,0))&gt;0,MAX(-3,MIN(3,(AZ5-INDEX('分群統計'!$O$5:$O$8,MATCH(X5,'分群統計'!$A$5:$A$8,0)))/INDEX('分群統計'!$P$5:$P$8,MATCH(X5,'分群統計'!$A$5:$A$8,0)))),0)),""))</f>
        <v/>
      </c>
      <c r="AP5" s="31">
        <f>IF(BC5&lt;&gt;1,"",IFERROR(IF(INDEX('分群統計'!$Q$5:$Q$8,MATCH(X5,'分群統計'!$A$5:$A$8,0))&lt;3,"",IF(INDEX('分群統計'!$S$5:$S$8,MATCH(X5,'分群統計'!$A$5:$A$8,0))&gt;0,MAX(-3,MIN(3,(BB5-INDEX('分群統計'!$R$5:$R$8,MATCH(X5,'分群統計'!$A$5:$A$8,0)))/INDEX('分群統計'!$S$5:$S$8,MATCH(X5,'分群統計'!$A$5:$A$8,0)))),0)),""))</f>
        <v/>
      </c>
      <c r="AQ5" s="31">
        <f>IF(Y5=1,(IF(ISNUMBER(AF5),AF5,0)*'參數'!$B$13+IF(ISNUMBER(AM5),AM5,0)*'參數'!$B$14+IF(ISNUMBER(AO5),AO5,0)*'參數'!$B$15+IF(ISNUMBER(AP5),AP5,0)*'參數'!$B$16)/('參數'!$B$13+'參數'!$B$14+'參數'!$B$15+'參數'!$B$16),"")</f>
        <v/>
      </c>
      <c r="AR5" s="35">
        <f>IF(Y5=1,(SUMPRODUCT(($X$5:$X$404=X5)*($Y$5:$Y$404=1)*($BD$5:$BD$404&gt;BD5))+1)/COUNTIFS($X$5:$X$404,X5,$Y$5:$Y$404,1),"")</f>
        <v/>
      </c>
      <c r="AS5" s="8">
        <f>IF(ISNUMBER(AR5),IF(AR5&lt;='參數'!$B$18,"加碼候選",IF(AR5&gt;'參數'!$B$19,"減碼候選","")),"")</f>
        <v/>
      </c>
      <c r="AT5" s="7">
        <f>IF(Y5=1,N5,0)</f>
        <v/>
      </c>
      <c r="AU5" s="7">
        <f>IF(Y5=1,LN(O5),0)</f>
        <v/>
      </c>
      <c r="AV5" s="36">
        <f>IF(Y5=1,IF(ISNUMBER(F5),F5,0),0)</f>
        <v/>
      </c>
      <c r="AW5" s="7">
        <f>IF(Y5=1,Z5,0)</f>
        <v/>
      </c>
      <c r="AX5" s="7">
        <f>IF(Y5=1,IF(ISNUMBER(AL5),AL5,0),0)</f>
        <v/>
      </c>
      <c r="AY5" s="7">
        <f>IF(Y5=1,IF(ISNUMBER(AL5),1,0),0)</f>
        <v/>
      </c>
      <c r="AZ5" s="7">
        <f>IF(Y5=1,IF(ISNUMBER(AN5),AN5,0),0)</f>
        <v/>
      </c>
      <c r="BA5" s="7">
        <f>IF(Y5=1,IF(ISNUMBER(AN5),1,0),0)</f>
        <v/>
      </c>
      <c r="BB5" s="7">
        <f>IF(Y5=1,IF(ISNUMBER(T5),T5,0),0)</f>
        <v/>
      </c>
      <c r="BC5" s="7">
        <f>IF(Y5=1,IF(ISNUMBER(T5),1,0),0)</f>
        <v/>
      </c>
      <c r="BD5" s="7">
        <f>IF(Y5=1,AQ5+ROW()/1E9,-1E9)</f>
        <v/>
      </c>
      <c r="BE5" s="7">
        <f>IF(Y5=1,AQ5+ROW()/1E9,1E9)</f>
        <v/>
      </c>
    </row>
    <row r="6">
      <c r="A6" s="16" t="n"/>
      <c r="B6" s="8">
        <f>IF($A6="","",BDP($A6,B$3))</f>
        <v/>
      </c>
      <c r="C6" s="8">
        <f>IF($A6="","",BDP($A6,C$3))</f>
        <v/>
      </c>
      <c r="D6" s="28">
        <f>IF($A6="","",BDP($A6,D$3))</f>
        <v/>
      </c>
      <c r="E6" s="29">
        <f>IF($A6="","",BDP($A6,E$3))</f>
        <v/>
      </c>
      <c r="F6" s="17">
        <f>IF($A6="","",BDP($A6,F$3))</f>
        <v/>
      </c>
      <c r="G6" s="8">
        <f>IF($A6="","",BDP($A6,G$3))</f>
        <v/>
      </c>
      <c r="H6" s="8">
        <f>IF($A6="","",BDP($A6,H$3))</f>
        <v/>
      </c>
      <c r="I6" s="8">
        <f>IF($A6="","",BDP($A6,I$3))</f>
        <v/>
      </c>
      <c r="J6" s="8">
        <f>IF($A6="","",BDP($A6,J$3))</f>
        <v/>
      </c>
      <c r="K6" s="8">
        <f>IF($A6="","",BDP($A6,K$3))</f>
        <v/>
      </c>
      <c r="L6" s="28">
        <f>IF($A6="","",BDP($A6,L$3))</f>
        <v/>
      </c>
      <c r="M6" s="28">
        <f>IF($A6="","",BDP($A6,M$3))</f>
        <v/>
      </c>
      <c r="N6" s="30">
        <f>IF($A6="","",BDP($A6,N$3))</f>
        <v/>
      </c>
      <c r="O6" s="31">
        <f>IF($A6="","",BDP($A6,O$3))</f>
        <v/>
      </c>
      <c r="P6" s="30">
        <f>IF($A6="","",BDH($A6,$N$3,'參數'!$B$5,'參數'!$B$5,"Days=A","Fill=P","Dates=H"))</f>
        <v/>
      </c>
      <c r="Q6" s="30">
        <f>IF($A6="","",BDH($A6,$N$3,'參數'!$B$6,'參數'!$B$6,"Days=A","Fill=P","Dates=H"))</f>
        <v/>
      </c>
      <c r="R6" s="30">
        <f>IF($A6="","",BDH($A6,$N$3,'參數'!$B$7,'參數'!$B$7,"Days=A","Fill=P","Dates=H"))</f>
        <v/>
      </c>
      <c r="S6" s="32">
        <f>IF($A6="","",IFERROR(INDEX('發行人'!$A$5:$A$44,MATCH(B6,'發行人'!$D$5:$D$44,0)),"未對應"))</f>
        <v/>
      </c>
      <c r="T6" s="24">
        <f>IF($A6="","",IFERROR(INDEX('發行人'!$G$5:$G$44,MATCH(B6,'發行人'!$D$5:$D$44,0))+0,""))</f>
        <v/>
      </c>
      <c r="U6" s="18">
        <f>IF(ISNUMBER(E6),YEARFRAC('參數'!$B$4,E6),"")</f>
        <v/>
      </c>
      <c r="V6" s="8">
        <f>IF(U6="","",IF(U6&lt;3,"1-3y",IF(U6&lt;5,"3-5y",IF(U6&lt;7,"5-7y",IF(U6&lt;10,"7-10y","10y+")))))</f>
        <v/>
      </c>
      <c r="W6" s="30">
        <f>IF($A6="","",IFERROR(INDEX('參數'!$B$24:$B$45,MATCH(G6,'參數'!$A$24:$A$45,0)),""))</f>
        <v/>
      </c>
      <c r="X6" s="8">
        <f>IF($A6="","",IFERROR(INDEX('參數'!$C$24:$C$45,MATCH(G6,'參數'!$A$24:$A$45,0)),""))</f>
        <v/>
      </c>
      <c r="Y6" s="30">
        <f>IF(AND(ISNUMBER(N6),ISNUMBER(O6),ISNUMBER(U6)),IF(AND(O6&gt;0,X6&lt;&gt;""),1,0),0)</f>
        <v/>
      </c>
      <c r="Z6" s="17">
        <f>IF(Y6=1,O6*N6,"")</f>
        <v/>
      </c>
      <c r="AA6" s="33">
        <f>IF(Y6=1,IF(ISNUMBER(Q6),N6-Q6,""),"")</f>
        <v/>
      </c>
      <c r="AB6" s="33">
        <f>IF(Y6=1,IF(AND(ISNUMBER(P6),ISNUMBER(R6)),R6*5/12-O6*(P6-R6),""),"")</f>
        <v/>
      </c>
      <c r="AC6" s="30">
        <f>IF(Y6=1,COUNTIFS($X$5:$X$404,X6,$V$5:$V$404,V6,$Y$5:$Y$404,1),"")</f>
        <v/>
      </c>
      <c r="AD6" s="30">
        <f>IF(Y6=1,IFERROR(IF(AC6&gt;='參數'!$B$9,INDEX('分群統計'!$G$13:$K$16,MATCH(X6,'分群統計'!$A$13:$A$16,0),MATCH(V6,'分群統計'!$G$12:$K$12,0)),INDEX('分群統計'!$I$5:$I$8,MATCH(X6,'分群統計'!$A$5:$A$8,0))),""),"")</f>
        <v/>
      </c>
      <c r="AE6" s="18">
        <f>IF(Y6=1,IFERROR(IF(AC6&gt;='參數'!$B$9,INDEX('分群統計'!$L$13:$P$16,MATCH(X6,'分群統計'!$A$13:$A$16,0),MATCH(V6,'分群統計'!$L$12:$P$12,0)),INDEX('分群統計'!$J$5:$J$8,MATCH(X6,'分群統計'!$A$5:$A$8,0))),""),"")</f>
        <v/>
      </c>
      <c r="AF6" s="31">
        <f>IF(ISNUMBER(AE6),IF(AE6&gt;0,MAX(-3,MIN(3,(N6-AD6)/AE6)),0),"")</f>
        <v/>
      </c>
      <c r="AG6" s="30">
        <f>IF(Y6=1,COUNTIFS($B$5:$B$404,B6,$Y$5:$Y$404,1),"")</f>
        <v/>
      </c>
      <c r="AH6" s="30">
        <f>IF(Y6=1,IFERROR(IF(ISNUMBER(INDEX('分群統計'!$G$20:$G$59,MATCH(B6,'分群統計'!$A$20:$A$59,0))),INDEX('分群統計'!$H$20:$H$59,MATCH(B6,'分群統計'!$A$20:$A$59,0))+INDEX('分群統計'!$G$20:$G$59,MATCH(B6,'分群統計'!$A$20:$A$59,0))*AU6,""),""),"")</f>
        <v/>
      </c>
      <c r="AI6" s="34">
        <f>IF(ISNUMBER(AH6),N6-AH6,"")</f>
        <v/>
      </c>
      <c r="AJ6" s="30">
        <f>IF(Y6=1,IFERROR(IF(ISNUMBER(INDEX('分群統計'!$G$5:$G$8,MATCH(X6,'分群統計'!$A$5:$A$8,0))),INDEX('分群統計'!$H$5:$H$8,MATCH(X6,'分群統計'!$A$5:$A$8,0))+INDEX('分群統計'!$G$5:$G$8,MATCH(X6,'分群統計'!$A$5:$A$8,0))*AU6,""),""),"")</f>
        <v/>
      </c>
      <c r="AK6" s="34">
        <f>IF(ISNUMBER(AJ6),N6-AJ6,"")</f>
        <v/>
      </c>
      <c r="AL6" s="21">
        <f>IF(ISNUMBER(AJ6),IF(AJ6&gt;0,AK6/AJ6,""),"")</f>
        <v/>
      </c>
      <c r="AM6" s="31">
        <f>IF(AY6&lt;&gt;1,"",IFERROR(IF(INDEX('分群統計'!$K$5:$K$8,MATCH(X6,'分群統計'!$A$5:$A$8,0))&lt;3,"",IF(INDEX('分群統計'!$M$5:$M$8,MATCH(X6,'分群統計'!$A$5:$A$8,0))&gt;0,MAX(-3,MIN(3,(AX6-INDEX('分群統計'!$L$5:$L$8,MATCH(X6,'分群統計'!$A$5:$A$8,0)))/INDEX('分群統計'!$M$5:$M$8,MATCH(X6,'分群統計'!$A$5:$A$8,0)))),0)),""))</f>
        <v/>
      </c>
      <c r="AN6" s="31">
        <f>IF(ISNUMBER(AB6),IF(Z6&gt;0,AB6/Z6*100,""),"")</f>
        <v/>
      </c>
      <c r="AO6" s="31">
        <f>IF(BA6&lt;&gt;1,"",IFERROR(IF(INDEX('分群統計'!$N$5:$N$8,MATCH(X6,'分群統計'!$A$5:$A$8,0))&lt;3,"",IF(INDEX('分群統計'!$P$5:$P$8,MATCH(X6,'分群統計'!$A$5:$A$8,0))&gt;0,MAX(-3,MIN(3,(AZ6-INDEX('分群統計'!$O$5:$O$8,MATCH(X6,'分群統計'!$A$5:$A$8,0)))/INDEX('分群統計'!$P$5:$P$8,MATCH(X6,'分群統計'!$A$5:$A$8,0)))),0)),""))</f>
        <v/>
      </c>
      <c r="AP6" s="31">
        <f>IF(BC6&lt;&gt;1,"",IFERROR(IF(INDEX('分群統計'!$Q$5:$Q$8,MATCH(X6,'分群統計'!$A$5:$A$8,0))&lt;3,"",IF(INDEX('分群統計'!$S$5:$S$8,MATCH(X6,'分群統計'!$A$5:$A$8,0))&gt;0,MAX(-3,MIN(3,(BB6-INDEX('分群統計'!$R$5:$R$8,MATCH(X6,'分群統計'!$A$5:$A$8,0)))/INDEX('分群統計'!$S$5:$S$8,MATCH(X6,'分群統計'!$A$5:$A$8,0)))),0)),""))</f>
        <v/>
      </c>
      <c r="AQ6" s="31">
        <f>IF(Y6=1,(IF(ISNUMBER(AF6),AF6,0)*'參數'!$B$13+IF(ISNUMBER(AM6),AM6,0)*'參數'!$B$14+IF(ISNUMBER(AO6),AO6,0)*'參數'!$B$15+IF(ISNUMBER(AP6),AP6,0)*'參數'!$B$16)/('參數'!$B$13+'參數'!$B$14+'參數'!$B$15+'參數'!$B$16),"")</f>
        <v/>
      </c>
      <c r="AR6" s="35">
        <f>IF(Y6=1,(SUMPRODUCT(($X$5:$X$404=X6)*($Y$5:$Y$404=1)*($BD$5:$BD$404&gt;BD6))+1)/COUNTIFS($X$5:$X$404,X6,$Y$5:$Y$404,1),"")</f>
        <v/>
      </c>
      <c r="AS6" s="8">
        <f>IF(ISNUMBER(AR6),IF(AR6&lt;='參數'!$B$18,"加碼候選",IF(AR6&gt;'參數'!$B$19,"減碼候選","")),"")</f>
        <v/>
      </c>
      <c r="AT6" s="7">
        <f>IF(Y6=1,N6,0)</f>
        <v/>
      </c>
      <c r="AU6" s="7">
        <f>IF(Y6=1,LN(O6),0)</f>
        <v/>
      </c>
      <c r="AV6" s="36">
        <f>IF(Y6=1,IF(ISNUMBER(F6),F6,0),0)</f>
        <v/>
      </c>
      <c r="AW6" s="7">
        <f>IF(Y6=1,Z6,0)</f>
        <v/>
      </c>
      <c r="AX6" s="7">
        <f>IF(Y6=1,IF(ISNUMBER(AL6),AL6,0),0)</f>
        <v/>
      </c>
      <c r="AY6" s="7">
        <f>IF(Y6=1,IF(ISNUMBER(AL6),1,0),0)</f>
        <v/>
      </c>
      <c r="AZ6" s="7">
        <f>IF(Y6=1,IF(ISNUMBER(AN6),AN6,0),0)</f>
        <v/>
      </c>
      <c r="BA6" s="7">
        <f>IF(Y6=1,IF(ISNUMBER(AN6),1,0),0)</f>
        <v/>
      </c>
      <c r="BB6" s="7">
        <f>IF(Y6=1,IF(ISNUMBER(T6),T6,0),0)</f>
        <v/>
      </c>
      <c r="BC6" s="7">
        <f>IF(Y6=1,IF(ISNUMBER(T6),1,0),0)</f>
        <v/>
      </c>
      <c r="BD6" s="7">
        <f>IF(Y6=1,AQ6+ROW()/1E9,-1E9)</f>
        <v/>
      </c>
      <c r="BE6" s="7">
        <f>IF(Y6=1,AQ6+ROW()/1E9,1E9)</f>
        <v/>
      </c>
    </row>
    <row r="7">
      <c r="A7" s="16" t="n"/>
      <c r="B7" s="8">
        <f>IF($A7="","",BDP($A7,B$3))</f>
        <v/>
      </c>
      <c r="C7" s="8">
        <f>IF($A7="","",BDP($A7,C$3))</f>
        <v/>
      </c>
      <c r="D7" s="28">
        <f>IF($A7="","",BDP($A7,D$3))</f>
        <v/>
      </c>
      <c r="E7" s="29">
        <f>IF($A7="","",BDP($A7,E$3))</f>
        <v/>
      </c>
      <c r="F7" s="17">
        <f>IF($A7="","",BDP($A7,F$3))</f>
        <v/>
      </c>
      <c r="G7" s="8">
        <f>IF($A7="","",BDP($A7,G$3))</f>
        <v/>
      </c>
      <c r="H7" s="8">
        <f>IF($A7="","",BDP($A7,H$3))</f>
        <v/>
      </c>
      <c r="I7" s="8">
        <f>IF($A7="","",BDP($A7,I$3))</f>
        <v/>
      </c>
      <c r="J7" s="8">
        <f>IF($A7="","",BDP($A7,J$3))</f>
        <v/>
      </c>
      <c r="K7" s="8">
        <f>IF($A7="","",BDP($A7,K$3))</f>
        <v/>
      </c>
      <c r="L7" s="28">
        <f>IF($A7="","",BDP($A7,L$3))</f>
        <v/>
      </c>
      <c r="M7" s="28">
        <f>IF($A7="","",BDP($A7,M$3))</f>
        <v/>
      </c>
      <c r="N7" s="30">
        <f>IF($A7="","",BDP($A7,N$3))</f>
        <v/>
      </c>
      <c r="O7" s="31">
        <f>IF($A7="","",BDP($A7,O$3))</f>
        <v/>
      </c>
      <c r="P7" s="30">
        <f>IF($A7="","",BDH($A7,$N$3,'參數'!$B$5,'參數'!$B$5,"Days=A","Fill=P","Dates=H"))</f>
        <v/>
      </c>
      <c r="Q7" s="30">
        <f>IF($A7="","",BDH($A7,$N$3,'參數'!$B$6,'參數'!$B$6,"Days=A","Fill=P","Dates=H"))</f>
        <v/>
      </c>
      <c r="R7" s="30">
        <f>IF($A7="","",BDH($A7,$N$3,'參數'!$B$7,'參數'!$B$7,"Days=A","Fill=P","Dates=H"))</f>
        <v/>
      </c>
      <c r="S7" s="32">
        <f>IF($A7="","",IFERROR(INDEX('發行人'!$A$5:$A$44,MATCH(B7,'發行人'!$D$5:$D$44,0)),"未對應"))</f>
        <v/>
      </c>
      <c r="T7" s="24">
        <f>IF($A7="","",IFERROR(INDEX('發行人'!$G$5:$G$44,MATCH(B7,'發行人'!$D$5:$D$44,0))+0,""))</f>
        <v/>
      </c>
      <c r="U7" s="18">
        <f>IF(ISNUMBER(E7),YEARFRAC('參數'!$B$4,E7),"")</f>
        <v/>
      </c>
      <c r="V7" s="8">
        <f>IF(U7="","",IF(U7&lt;3,"1-3y",IF(U7&lt;5,"3-5y",IF(U7&lt;7,"5-7y",IF(U7&lt;10,"7-10y","10y+")))))</f>
        <v/>
      </c>
      <c r="W7" s="30">
        <f>IF($A7="","",IFERROR(INDEX('參數'!$B$24:$B$45,MATCH(G7,'參數'!$A$24:$A$45,0)),""))</f>
        <v/>
      </c>
      <c r="X7" s="8">
        <f>IF($A7="","",IFERROR(INDEX('參數'!$C$24:$C$45,MATCH(G7,'參數'!$A$24:$A$45,0)),""))</f>
        <v/>
      </c>
      <c r="Y7" s="30">
        <f>IF(AND(ISNUMBER(N7),ISNUMBER(O7),ISNUMBER(U7)),IF(AND(O7&gt;0,X7&lt;&gt;""),1,0),0)</f>
        <v/>
      </c>
      <c r="Z7" s="17">
        <f>IF(Y7=1,O7*N7,"")</f>
        <v/>
      </c>
      <c r="AA7" s="33">
        <f>IF(Y7=1,IF(ISNUMBER(Q7),N7-Q7,""),"")</f>
        <v/>
      </c>
      <c r="AB7" s="33">
        <f>IF(Y7=1,IF(AND(ISNUMBER(P7),ISNUMBER(R7)),R7*5/12-O7*(P7-R7),""),"")</f>
        <v/>
      </c>
      <c r="AC7" s="30">
        <f>IF(Y7=1,COUNTIFS($X$5:$X$404,X7,$V$5:$V$404,V7,$Y$5:$Y$404,1),"")</f>
        <v/>
      </c>
      <c r="AD7" s="30">
        <f>IF(Y7=1,IFERROR(IF(AC7&gt;='參數'!$B$9,INDEX('分群統計'!$G$13:$K$16,MATCH(X7,'分群統計'!$A$13:$A$16,0),MATCH(V7,'分群統計'!$G$12:$K$12,0)),INDEX('分群統計'!$I$5:$I$8,MATCH(X7,'分群統計'!$A$5:$A$8,0))),""),"")</f>
        <v/>
      </c>
      <c r="AE7" s="18">
        <f>IF(Y7=1,IFERROR(IF(AC7&gt;='參數'!$B$9,INDEX('分群統計'!$L$13:$P$16,MATCH(X7,'分群統計'!$A$13:$A$16,0),MATCH(V7,'分群統計'!$L$12:$P$12,0)),INDEX('分群統計'!$J$5:$J$8,MATCH(X7,'分群統計'!$A$5:$A$8,0))),""),"")</f>
        <v/>
      </c>
      <c r="AF7" s="31">
        <f>IF(ISNUMBER(AE7),IF(AE7&gt;0,MAX(-3,MIN(3,(N7-AD7)/AE7)),0),"")</f>
        <v/>
      </c>
      <c r="AG7" s="30">
        <f>IF(Y7=1,COUNTIFS($B$5:$B$404,B7,$Y$5:$Y$404,1),"")</f>
        <v/>
      </c>
      <c r="AH7" s="30">
        <f>IF(Y7=1,IFERROR(IF(ISNUMBER(INDEX('分群統計'!$G$20:$G$59,MATCH(B7,'分群統計'!$A$20:$A$59,0))),INDEX('分群統計'!$H$20:$H$59,MATCH(B7,'分群統計'!$A$20:$A$59,0))+INDEX('分群統計'!$G$20:$G$59,MATCH(B7,'分群統計'!$A$20:$A$59,0))*AU7,""),""),"")</f>
        <v/>
      </c>
      <c r="AI7" s="34">
        <f>IF(ISNUMBER(AH7),N7-AH7,"")</f>
        <v/>
      </c>
      <c r="AJ7" s="30">
        <f>IF(Y7=1,IFERROR(IF(ISNUMBER(INDEX('分群統計'!$G$5:$G$8,MATCH(X7,'分群統計'!$A$5:$A$8,0))),INDEX('分群統計'!$H$5:$H$8,MATCH(X7,'分群統計'!$A$5:$A$8,0))+INDEX('分群統計'!$G$5:$G$8,MATCH(X7,'分群統計'!$A$5:$A$8,0))*AU7,""),""),"")</f>
        <v/>
      </c>
      <c r="AK7" s="34">
        <f>IF(ISNUMBER(AJ7),N7-AJ7,"")</f>
        <v/>
      </c>
      <c r="AL7" s="21">
        <f>IF(ISNUMBER(AJ7),IF(AJ7&gt;0,AK7/AJ7,""),"")</f>
        <v/>
      </c>
      <c r="AM7" s="31">
        <f>IF(AY7&lt;&gt;1,"",IFERROR(IF(INDEX('分群統計'!$K$5:$K$8,MATCH(X7,'分群統計'!$A$5:$A$8,0))&lt;3,"",IF(INDEX('分群統計'!$M$5:$M$8,MATCH(X7,'分群統計'!$A$5:$A$8,0))&gt;0,MAX(-3,MIN(3,(AX7-INDEX('分群統計'!$L$5:$L$8,MATCH(X7,'分群統計'!$A$5:$A$8,0)))/INDEX('分群統計'!$M$5:$M$8,MATCH(X7,'分群統計'!$A$5:$A$8,0)))),0)),""))</f>
        <v/>
      </c>
      <c r="AN7" s="31">
        <f>IF(ISNUMBER(AB7),IF(Z7&gt;0,AB7/Z7*100,""),"")</f>
        <v/>
      </c>
      <c r="AO7" s="31">
        <f>IF(BA7&lt;&gt;1,"",IFERROR(IF(INDEX('分群統計'!$N$5:$N$8,MATCH(X7,'分群統計'!$A$5:$A$8,0))&lt;3,"",IF(INDEX('分群統計'!$P$5:$P$8,MATCH(X7,'分群統計'!$A$5:$A$8,0))&gt;0,MAX(-3,MIN(3,(AZ7-INDEX('分群統計'!$O$5:$O$8,MATCH(X7,'分群統計'!$A$5:$A$8,0)))/INDEX('分群統計'!$P$5:$P$8,MATCH(X7,'分群統計'!$A$5:$A$8,0)))),0)),""))</f>
        <v/>
      </c>
      <c r="AP7" s="31">
        <f>IF(BC7&lt;&gt;1,"",IFERROR(IF(INDEX('分群統計'!$Q$5:$Q$8,MATCH(X7,'分群統計'!$A$5:$A$8,0))&lt;3,"",IF(INDEX('分群統計'!$S$5:$S$8,MATCH(X7,'分群統計'!$A$5:$A$8,0))&gt;0,MAX(-3,MIN(3,(BB7-INDEX('分群統計'!$R$5:$R$8,MATCH(X7,'分群統計'!$A$5:$A$8,0)))/INDEX('分群統計'!$S$5:$S$8,MATCH(X7,'分群統計'!$A$5:$A$8,0)))),0)),""))</f>
        <v/>
      </c>
      <c r="AQ7" s="31">
        <f>IF(Y7=1,(IF(ISNUMBER(AF7),AF7,0)*'參數'!$B$13+IF(ISNUMBER(AM7),AM7,0)*'參數'!$B$14+IF(ISNUMBER(AO7),AO7,0)*'參數'!$B$15+IF(ISNUMBER(AP7),AP7,0)*'參數'!$B$16)/('參數'!$B$13+'參數'!$B$14+'參數'!$B$15+'參數'!$B$16),"")</f>
        <v/>
      </c>
      <c r="AR7" s="35">
        <f>IF(Y7=1,(SUMPRODUCT(($X$5:$X$404=X7)*($Y$5:$Y$404=1)*($BD$5:$BD$404&gt;BD7))+1)/COUNTIFS($X$5:$X$404,X7,$Y$5:$Y$404,1),"")</f>
        <v/>
      </c>
      <c r="AS7" s="8">
        <f>IF(ISNUMBER(AR7),IF(AR7&lt;='參數'!$B$18,"加碼候選",IF(AR7&gt;'參數'!$B$19,"減碼候選","")),"")</f>
        <v/>
      </c>
      <c r="AT7" s="7">
        <f>IF(Y7=1,N7,0)</f>
        <v/>
      </c>
      <c r="AU7" s="7">
        <f>IF(Y7=1,LN(O7),0)</f>
        <v/>
      </c>
      <c r="AV7" s="36">
        <f>IF(Y7=1,IF(ISNUMBER(F7),F7,0),0)</f>
        <v/>
      </c>
      <c r="AW7" s="7">
        <f>IF(Y7=1,Z7,0)</f>
        <v/>
      </c>
      <c r="AX7" s="7">
        <f>IF(Y7=1,IF(ISNUMBER(AL7),AL7,0),0)</f>
        <v/>
      </c>
      <c r="AY7" s="7">
        <f>IF(Y7=1,IF(ISNUMBER(AL7),1,0),0)</f>
        <v/>
      </c>
      <c r="AZ7" s="7">
        <f>IF(Y7=1,IF(ISNUMBER(AN7),AN7,0),0)</f>
        <v/>
      </c>
      <c r="BA7" s="7">
        <f>IF(Y7=1,IF(ISNUMBER(AN7),1,0),0)</f>
        <v/>
      </c>
      <c r="BB7" s="7">
        <f>IF(Y7=1,IF(ISNUMBER(T7),T7,0),0)</f>
        <v/>
      </c>
      <c r="BC7" s="7">
        <f>IF(Y7=1,IF(ISNUMBER(T7),1,0),0)</f>
        <v/>
      </c>
      <c r="BD7" s="7">
        <f>IF(Y7=1,AQ7+ROW()/1E9,-1E9)</f>
        <v/>
      </c>
      <c r="BE7" s="7">
        <f>IF(Y7=1,AQ7+ROW()/1E9,1E9)</f>
        <v/>
      </c>
    </row>
    <row r="8">
      <c r="A8" s="16" t="n"/>
      <c r="B8" s="8">
        <f>IF($A8="","",BDP($A8,B$3))</f>
        <v/>
      </c>
      <c r="C8" s="8">
        <f>IF($A8="","",BDP($A8,C$3))</f>
        <v/>
      </c>
      <c r="D8" s="28">
        <f>IF($A8="","",BDP($A8,D$3))</f>
        <v/>
      </c>
      <c r="E8" s="29">
        <f>IF($A8="","",BDP($A8,E$3))</f>
        <v/>
      </c>
      <c r="F8" s="17">
        <f>IF($A8="","",BDP($A8,F$3))</f>
        <v/>
      </c>
      <c r="G8" s="8">
        <f>IF($A8="","",BDP($A8,G$3))</f>
        <v/>
      </c>
      <c r="H8" s="8">
        <f>IF($A8="","",BDP($A8,H$3))</f>
        <v/>
      </c>
      <c r="I8" s="8">
        <f>IF($A8="","",BDP($A8,I$3))</f>
        <v/>
      </c>
      <c r="J8" s="8">
        <f>IF($A8="","",BDP($A8,J$3))</f>
        <v/>
      </c>
      <c r="K8" s="8">
        <f>IF($A8="","",BDP($A8,K$3))</f>
        <v/>
      </c>
      <c r="L8" s="28">
        <f>IF($A8="","",BDP($A8,L$3))</f>
        <v/>
      </c>
      <c r="M8" s="28">
        <f>IF($A8="","",BDP($A8,M$3))</f>
        <v/>
      </c>
      <c r="N8" s="30">
        <f>IF($A8="","",BDP($A8,N$3))</f>
        <v/>
      </c>
      <c r="O8" s="31">
        <f>IF($A8="","",BDP($A8,O$3))</f>
        <v/>
      </c>
      <c r="P8" s="30">
        <f>IF($A8="","",BDH($A8,$N$3,'參數'!$B$5,'參數'!$B$5,"Days=A","Fill=P","Dates=H"))</f>
        <v/>
      </c>
      <c r="Q8" s="30">
        <f>IF($A8="","",BDH($A8,$N$3,'參數'!$B$6,'參數'!$B$6,"Days=A","Fill=P","Dates=H"))</f>
        <v/>
      </c>
      <c r="R8" s="30">
        <f>IF($A8="","",BDH($A8,$N$3,'參數'!$B$7,'參數'!$B$7,"Days=A","Fill=P","Dates=H"))</f>
        <v/>
      </c>
      <c r="S8" s="32">
        <f>IF($A8="","",IFERROR(INDEX('發行人'!$A$5:$A$44,MATCH(B8,'發行人'!$D$5:$D$44,0)),"未對應"))</f>
        <v/>
      </c>
      <c r="T8" s="24">
        <f>IF($A8="","",IFERROR(INDEX('發行人'!$G$5:$G$44,MATCH(B8,'發行人'!$D$5:$D$44,0))+0,""))</f>
        <v/>
      </c>
      <c r="U8" s="18">
        <f>IF(ISNUMBER(E8),YEARFRAC('參數'!$B$4,E8),"")</f>
        <v/>
      </c>
      <c r="V8" s="8">
        <f>IF(U8="","",IF(U8&lt;3,"1-3y",IF(U8&lt;5,"3-5y",IF(U8&lt;7,"5-7y",IF(U8&lt;10,"7-10y","10y+")))))</f>
        <v/>
      </c>
      <c r="W8" s="30">
        <f>IF($A8="","",IFERROR(INDEX('參數'!$B$24:$B$45,MATCH(G8,'參數'!$A$24:$A$45,0)),""))</f>
        <v/>
      </c>
      <c r="X8" s="8">
        <f>IF($A8="","",IFERROR(INDEX('參數'!$C$24:$C$45,MATCH(G8,'參數'!$A$24:$A$45,0)),""))</f>
        <v/>
      </c>
      <c r="Y8" s="30">
        <f>IF(AND(ISNUMBER(N8),ISNUMBER(O8),ISNUMBER(U8)),IF(AND(O8&gt;0,X8&lt;&gt;""),1,0),0)</f>
        <v/>
      </c>
      <c r="Z8" s="17">
        <f>IF(Y8=1,O8*N8,"")</f>
        <v/>
      </c>
      <c r="AA8" s="33">
        <f>IF(Y8=1,IF(ISNUMBER(Q8),N8-Q8,""),"")</f>
        <v/>
      </c>
      <c r="AB8" s="33">
        <f>IF(Y8=1,IF(AND(ISNUMBER(P8),ISNUMBER(R8)),R8*5/12-O8*(P8-R8),""),"")</f>
        <v/>
      </c>
      <c r="AC8" s="30">
        <f>IF(Y8=1,COUNTIFS($X$5:$X$404,X8,$V$5:$V$404,V8,$Y$5:$Y$404,1),"")</f>
        <v/>
      </c>
      <c r="AD8" s="30">
        <f>IF(Y8=1,IFERROR(IF(AC8&gt;='參數'!$B$9,INDEX('分群統計'!$G$13:$K$16,MATCH(X8,'分群統計'!$A$13:$A$16,0),MATCH(V8,'分群統計'!$G$12:$K$12,0)),INDEX('分群統計'!$I$5:$I$8,MATCH(X8,'分群統計'!$A$5:$A$8,0))),""),"")</f>
        <v/>
      </c>
      <c r="AE8" s="18">
        <f>IF(Y8=1,IFERROR(IF(AC8&gt;='參數'!$B$9,INDEX('分群統計'!$L$13:$P$16,MATCH(X8,'分群統計'!$A$13:$A$16,0),MATCH(V8,'分群統計'!$L$12:$P$12,0)),INDEX('分群統計'!$J$5:$J$8,MATCH(X8,'分群統計'!$A$5:$A$8,0))),""),"")</f>
        <v/>
      </c>
      <c r="AF8" s="31">
        <f>IF(ISNUMBER(AE8),IF(AE8&gt;0,MAX(-3,MIN(3,(N8-AD8)/AE8)),0),"")</f>
        <v/>
      </c>
      <c r="AG8" s="30">
        <f>IF(Y8=1,COUNTIFS($B$5:$B$404,B8,$Y$5:$Y$404,1),"")</f>
        <v/>
      </c>
      <c r="AH8" s="30">
        <f>IF(Y8=1,IFERROR(IF(ISNUMBER(INDEX('分群統計'!$G$20:$G$59,MATCH(B8,'分群統計'!$A$20:$A$59,0))),INDEX('分群統計'!$H$20:$H$59,MATCH(B8,'分群統計'!$A$20:$A$59,0))+INDEX('分群統計'!$G$20:$G$59,MATCH(B8,'分群統計'!$A$20:$A$59,0))*AU8,""),""),"")</f>
        <v/>
      </c>
      <c r="AI8" s="34">
        <f>IF(ISNUMBER(AH8),N8-AH8,"")</f>
        <v/>
      </c>
      <c r="AJ8" s="30">
        <f>IF(Y8=1,IFERROR(IF(ISNUMBER(INDEX('分群統計'!$G$5:$G$8,MATCH(X8,'分群統計'!$A$5:$A$8,0))),INDEX('分群統計'!$H$5:$H$8,MATCH(X8,'分群統計'!$A$5:$A$8,0))+INDEX('分群統計'!$G$5:$G$8,MATCH(X8,'分群統計'!$A$5:$A$8,0))*AU8,""),""),"")</f>
        <v/>
      </c>
      <c r="AK8" s="34">
        <f>IF(ISNUMBER(AJ8),N8-AJ8,"")</f>
        <v/>
      </c>
      <c r="AL8" s="21">
        <f>IF(ISNUMBER(AJ8),IF(AJ8&gt;0,AK8/AJ8,""),"")</f>
        <v/>
      </c>
      <c r="AM8" s="31">
        <f>IF(AY8&lt;&gt;1,"",IFERROR(IF(INDEX('分群統計'!$K$5:$K$8,MATCH(X8,'分群統計'!$A$5:$A$8,0))&lt;3,"",IF(INDEX('分群統計'!$M$5:$M$8,MATCH(X8,'分群統計'!$A$5:$A$8,0))&gt;0,MAX(-3,MIN(3,(AX8-INDEX('分群統計'!$L$5:$L$8,MATCH(X8,'分群統計'!$A$5:$A$8,0)))/INDEX('分群統計'!$M$5:$M$8,MATCH(X8,'分群統計'!$A$5:$A$8,0)))),0)),""))</f>
        <v/>
      </c>
      <c r="AN8" s="31">
        <f>IF(ISNUMBER(AB8),IF(Z8&gt;0,AB8/Z8*100,""),"")</f>
        <v/>
      </c>
      <c r="AO8" s="31">
        <f>IF(BA8&lt;&gt;1,"",IFERROR(IF(INDEX('分群統計'!$N$5:$N$8,MATCH(X8,'分群統計'!$A$5:$A$8,0))&lt;3,"",IF(INDEX('分群統計'!$P$5:$P$8,MATCH(X8,'分群統計'!$A$5:$A$8,0))&gt;0,MAX(-3,MIN(3,(AZ8-INDEX('分群統計'!$O$5:$O$8,MATCH(X8,'分群統計'!$A$5:$A$8,0)))/INDEX('分群統計'!$P$5:$P$8,MATCH(X8,'分群統計'!$A$5:$A$8,0)))),0)),""))</f>
        <v/>
      </c>
      <c r="AP8" s="31">
        <f>IF(BC8&lt;&gt;1,"",IFERROR(IF(INDEX('分群統計'!$Q$5:$Q$8,MATCH(X8,'分群統計'!$A$5:$A$8,0))&lt;3,"",IF(INDEX('分群統計'!$S$5:$S$8,MATCH(X8,'分群統計'!$A$5:$A$8,0))&gt;0,MAX(-3,MIN(3,(BB8-INDEX('分群統計'!$R$5:$R$8,MATCH(X8,'分群統計'!$A$5:$A$8,0)))/INDEX('分群統計'!$S$5:$S$8,MATCH(X8,'分群統計'!$A$5:$A$8,0)))),0)),""))</f>
        <v/>
      </c>
      <c r="AQ8" s="31">
        <f>IF(Y8=1,(IF(ISNUMBER(AF8),AF8,0)*'參數'!$B$13+IF(ISNUMBER(AM8),AM8,0)*'參數'!$B$14+IF(ISNUMBER(AO8),AO8,0)*'參數'!$B$15+IF(ISNUMBER(AP8),AP8,0)*'參數'!$B$16)/('參數'!$B$13+'參數'!$B$14+'參數'!$B$15+'參數'!$B$16),"")</f>
        <v/>
      </c>
      <c r="AR8" s="35">
        <f>IF(Y8=1,(SUMPRODUCT(($X$5:$X$404=X8)*($Y$5:$Y$404=1)*($BD$5:$BD$404&gt;BD8))+1)/COUNTIFS($X$5:$X$404,X8,$Y$5:$Y$404,1),"")</f>
        <v/>
      </c>
      <c r="AS8" s="8">
        <f>IF(ISNUMBER(AR8),IF(AR8&lt;='參數'!$B$18,"加碼候選",IF(AR8&gt;'參數'!$B$19,"減碼候選","")),"")</f>
        <v/>
      </c>
      <c r="AT8" s="7">
        <f>IF(Y8=1,N8,0)</f>
        <v/>
      </c>
      <c r="AU8" s="7">
        <f>IF(Y8=1,LN(O8),0)</f>
        <v/>
      </c>
      <c r="AV8" s="36">
        <f>IF(Y8=1,IF(ISNUMBER(F8),F8,0),0)</f>
        <v/>
      </c>
      <c r="AW8" s="7">
        <f>IF(Y8=1,Z8,0)</f>
        <v/>
      </c>
      <c r="AX8" s="7">
        <f>IF(Y8=1,IF(ISNUMBER(AL8),AL8,0),0)</f>
        <v/>
      </c>
      <c r="AY8" s="7">
        <f>IF(Y8=1,IF(ISNUMBER(AL8),1,0),0)</f>
        <v/>
      </c>
      <c r="AZ8" s="7">
        <f>IF(Y8=1,IF(ISNUMBER(AN8),AN8,0),0)</f>
        <v/>
      </c>
      <c r="BA8" s="7">
        <f>IF(Y8=1,IF(ISNUMBER(AN8),1,0),0)</f>
        <v/>
      </c>
      <c r="BB8" s="7">
        <f>IF(Y8=1,IF(ISNUMBER(T8),T8,0),0)</f>
        <v/>
      </c>
      <c r="BC8" s="7">
        <f>IF(Y8=1,IF(ISNUMBER(T8),1,0),0)</f>
        <v/>
      </c>
      <c r="BD8" s="7">
        <f>IF(Y8=1,AQ8+ROW()/1E9,-1E9)</f>
        <v/>
      </c>
      <c r="BE8" s="7">
        <f>IF(Y8=1,AQ8+ROW()/1E9,1E9)</f>
        <v/>
      </c>
    </row>
    <row r="9">
      <c r="A9" s="16" t="n"/>
      <c r="B9" s="8">
        <f>IF($A9="","",BDP($A9,B$3))</f>
        <v/>
      </c>
      <c r="C9" s="8">
        <f>IF($A9="","",BDP($A9,C$3))</f>
        <v/>
      </c>
      <c r="D9" s="28">
        <f>IF($A9="","",BDP($A9,D$3))</f>
        <v/>
      </c>
      <c r="E9" s="29">
        <f>IF($A9="","",BDP($A9,E$3))</f>
        <v/>
      </c>
      <c r="F9" s="17">
        <f>IF($A9="","",BDP($A9,F$3))</f>
        <v/>
      </c>
      <c r="G9" s="8">
        <f>IF($A9="","",BDP($A9,G$3))</f>
        <v/>
      </c>
      <c r="H9" s="8">
        <f>IF($A9="","",BDP($A9,H$3))</f>
        <v/>
      </c>
      <c r="I9" s="8">
        <f>IF($A9="","",BDP($A9,I$3))</f>
        <v/>
      </c>
      <c r="J9" s="8">
        <f>IF($A9="","",BDP($A9,J$3))</f>
        <v/>
      </c>
      <c r="K9" s="8">
        <f>IF($A9="","",BDP($A9,K$3))</f>
        <v/>
      </c>
      <c r="L9" s="28">
        <f>IF($A9="","",BDP($A9,L$3))</f>
        <v/>
      </c>
      <c r="M9" s="28">
        <f>IF($A9="","",BDP($A9,M$3))</f>
        <v/>
      </c>
      <c r="N9" s="30">
        <f>IF($A9="","",BDP($A9,N$3))</f>
        <v/>
      </c>
      <c r="O9" s="31">
        <f>IF($A9="","",BDP($A9,O$3))</f>
        <v/>
      </c>
      <c r="P9" s="30">
        <f>IF($A9="","",BDH($A9,$N$3,'參數'!$B$5,'參數'!$B$5,"Days=A","Fill=P","Dates=H"))</f>
        <v/>
      </c>
      <c r="Q9" s="30">
        <f>IF($A9="","",BDH($A9,$N$3,'參數'!$B$6,'參數'!$B$6,"Days=A","Fill=P","Dates=H"))</f>
        <v/>
      </c>
      <c r="R9" s="30">
        <f>IF($A9="","",BDH($A9,$N$3,'參數'!$B$7,'參數'!$B$7,"Days=A","Fill=P","Dates=H"))</f>
        <v/>
      </c>
      <c r="S9" s="32">
        <f>IF($A9="","",IFERROR(INDEX('發行人'!$A$5:$A$44,MATCH(B9,'發行人'!$D$5:$D$44,0)),"未對應"))</f>
        <v/>
      </c>
      <c r="T9" s="24">
        <f>IF($A9="","",IFERROR(INDEX('發行人'!$G$5:$G$44,MATCH(B9,'發行人'!$D$5:$D$44,0))+0,""))</f>
        <v/>
      </c>
      <c r="U9" s="18">
        <f>IF(ISNUMBER(E9),YEARFRAC('參數'!$B$4,E9),"")</f>
        <v/>
      </c>
      <c r="V9" s="8">
        <f>IF(U9="","",IF(U9&lt;3,"1-3y",IF(U9&lt;5,"3-5y",IF(U9&lt;7,"5-7y",IF(U9&lt;10,"7-10y","10y+")))))</f>
        <v/>
      </c>
      <c r="W9" s="30">
        <f>IF($A9="","",IFERROR(INDEX('參數'!$B$24:$B$45,MATCH(G9,'參數'!$A$24:$A$45,0)),""))</f>
        <v/>
      </c>
      <c r="X9" s="8">
        <f>IF($A9="","",IFERROR(INDEX('參數'!$C$24:$C$45,MATCH(G9,'參數'!$A$24:$A$45,0)),""))</f>
        <v/>
      </c>
      <c r="Y9" s="30">
        <f>IF(AND(ISNUMBER(N9),ISNUMBER(O9),ISNUMBER(U9)),IF(AND(O9&gt;0,X9&lt;&gt;""),1,0),0)</f>
        <v/>
      </c>
      <c r="Z9" s="17">
        <f>IF(Y9=1,O9*N9,"")</f>
        <v/>
      </c>
      <c r="AA9" s="33">
        <f>IF(Y9=1,IF(ISNUMBER(Q9),N9-Q9,""),"")</f>
        <v/>
      </c>
      <c r="AB9" s="33">
        <f>IF(Y9=1,IF(AND(ISNUMBER(P9),ISNUMBER(R9)),R9*5/12-O9*(P9-R9),""),"")</f>
        <v/>
      </c>
      <c r="AC9" s="30">
        <f>IF(Y9=1,COUNTIFS($X$5:$X$404,X9,$V$5:$V$404,V9,$Y$5:$Y$404,1),"")</f>
        <v/>
      </c>
      <c r="AD9" s="30">
        <f>IF(Y9=1,IFERROR(IF(AC9&gt;='參數'!$B$9,INDEX('分群統計'!$G$13:$K$16,MATCH(X9,'分群統計'!$A$13:$A$16,0),MATCH(V9,'分群統計'!$G$12:$K$12,0)),INDEX('分群統計'!$I$5:$I$8,MATCH(X9,'分群統計'!$A$5:$A$8,0))),""),"")</f>
        <v/>
      </c>
      <c r="AE9" s="18">
        <f>IF(Y9=1,IFERROR(IF(AC9&gt;='參數'!$B$9,INDEX('分群統計'!$L$13:$P$16,MATCH(X9,'分群統計'!$A$13:$A$16,0),MATCH(V9,'分群統計'!$L$12:$P$12,0)),INDEX('分群統計'!$J$5:$J$8,MATCH(X9,'分群統計'!$A$5:$A$8,0))),""),"")</f>
        <v/>
      </c>
      <c r="AF9" s="31">
        <f>IF(ISNUMBER(AE9),IF(AE9&gt;0,MAX(-3,MIN(3,(N9-AD9)/AE9)),0),"")</f>
        <v/>
      </c>
      <c r="AG9" s="30">
        <f>IF(Y9=1,COUNTIFS($B$5:$B$404,B9,$Y$5:$Y$404,1),"")</f>
        <v/>
      </c>
      <c r="AH9" s="30">
        <f>IF(Y9=1,IFERROR(IF(ISNUMBER(INDEX('分群統計'!$G$20:$G$59,MATCH(B9,'分群統計'!$A$20:$A$59,0))),INDEX('分群統計'!$H$20:$H$59,MATCH(B9,'分群統計'!$A$20:$A$59,0))+INDEX('分群統計'!$G$20:$G$59,MATCH(B9,'分群統計'!$A$20:$A$59,0))*AU9,""),""),"")</f>
        <v/>
      </c>
      <c r="AI9" s="34">
        <f>IF(ISNUMBER(AH9),N9-AH9,"")</f>
        <v/>
      </c>
      <c r="AJ9" s="30">
        <f>IF(Y9=1,IFERROR(IF(ISNUMBER(INDEX('分群統計'!$G$5:$G$8,MATCH(X9,'分群統計'!$A$5:$A$8,0))),INDEX('分群統計'!$H$5:$H$8,MATCH(X9,'分群統計'!$A$5:$A$8,0))+INDEX('分群統計'!$G$5:$G$8,MATCH(X9,'分群統計'!$A$5:$A$8,0))*AU9,""),""),"")</f>
        <v/>
      </c>
      <c r="AK9" s="34">
        <f>IF(ISNUMBER(AJ9),N9-AJ9,"")</f>
        <v/>
      </c>
      <c r="AL9" s="21">
        <f>IF(ISNUMBER(AJ9),IF(AJ9&gt;0,AK9/AJ9,""),"")</f>
        <v/>
      </c>
      <c r="AM9" s="31">
        <f>IF(AY9&lt;&gt;1,"",IFERROR(IF(INDEX('分群統計'!$K$5:$K$8,MATCH(X9,'分群統計'!$A$5:$A$8,0))&lt;3,"",IF(INDEX('分群統計'!$M$5:$M$8,MATCH(X9,'分群統計'!$A$5:$A$8,0))&gt;0,MAX(-3,MIN(3,(AX9-INDEX('分群統計'!$L$5:$L$8,MATCH(X9,'分群統計'!$A$5:$A$8,0)))/INDEX('分群統計'!$M$5:$M$8,MATCH(X9,'分群統計'!$A$5:$A$8,0)))),0)),""))</f>
        <v/>
      </c>
      <c r="AN9" s="31">
        <f>IF(ISNUMBER(AB9),IF(Z9&gt;0,AB9/Z9*100,""),"")</f>
        <v/>
      </c>
      <c r="AO9" s="31">
        <f>IF(BA9&lt;&gt;1,"",IFERROR(IF(INDEX('分群統計'!$N$5:$N$8,MATCH(X9,'分群統計'!$A$5:$A$8,0))&lt;3,"",IF(INDEX('分群統計'!$P$5:$P$8,MATCH(X9,'分群統計'!$A$5:$A$8,0))&gt;0,MAX(-3,MIN(3,(AZ9-INDEX('分群統計'!$O$5:$O$8,MATCH(X9,'分群統計'!$A$5:$A$8,0)))/INDEX('分群統計'!$P$5:$P$8,MATCH(X9,'分群統計'!$A$5:$A$8,0)))),0)),""))</f>
        <v/>
      </c>
      <c r="AP9" s="31">
        <f>IF(BC9&lt;&gt;1,"",IFERROR(IF(INDEX('分群統計'!$Q$5:$Q$8,MATCH(X9,'分群統計'!$A$5:$A$8,0))&lt;3,"",IF(INDEX('分群統計'!$S$5:$S$8,MATCH(X9,'分群統計'!$A$5:$A$8,0))&gt;0,MAX(-3,MIN(3,(BB9-INDEX('分群統計'!$R$5:$R$8,MATCH(X9,'分群統計'!$A$5:$A$8,0)))/INDEX('分群統計'!$S$5:$S$8,MATCH(X9,'分群統計'!$A$5:$A$8,0)))),0)),""))</f>
        <v/>
      </c>
      <c r="AQ9" s="31">
        <f>IF(Y9=1,(IF(ISNUMBER(AF9),AF9,0)*'參數'!$B$13+IF(ISNUMBER(AM9),AM9,0)*'參數'!$B$14+IF(ISNUMBER(AO9),AO9,0)*'參數'!$B$15+IF(ISNUMBER(AP9),AP9,0)*'參數'!$B$16)/('參數'!$B$13+'參數'!$B$14+'參數'!$B$15+'參數'!$B$16),"")</f>
        <v/>
      </c>
      <c r="AR9" s="35">
        <f>IF(Y9=1,(SUMPRODUCT(($X$5:$X$404=X9)*($Y$5:$Y$404=1)*($BD$5:$BD$404&gt;BD9))+1)/COUNTIFS($X$5:$X$404,X9,$Y$5:$Y$404,1),"")</f>
        <v/>
      </c>
      <c r="AS9" s="8">
        <f>IF(ISNUMBER(AR9),IF(AR9&lt;='參數'!$B$18,"加碼候選",IF(AR9&gt;'參數'!$B$19,"減碼候選","")),"")</f>
        <v/>
      </c>
      <c r="AT9" s="7">
        <f>IF(Y9=1,N9,0)</f>
        <v/>
      </c>
      <c r="AU9" s="7">
        <f>IF(Y9=1,LN(O9),0)</f>
        <v/>
      </c>
      <c r="AV9" s="36">
        <f>IF(Y9=1,IF(ISNUMBER(F9),F9,0),0)</f>
        <v/>
      </c>
      <c r="AW9" s="7">
        <f>IF(Y9=1,Z9,0)</f>
        <v/>
      </c>
      <c r="AX9" s="7">
        <f>IF(Y9=1,IF(ISNUMBER(AL9),AL9,0),0)</f>
        <v/>
      </c>
      <c r="AY9" s="7">
        <f>IF(Y9=1,IF(ISNUMBER(AL9),1,0),0)</f>
        <v/>
      </c>
      <c r="AZ9" s="7">
        <f>IF(Y9=1,IF(ISNUMBER(AN9),AN9,0),0)</f>
        <v/>
      </c>
      <c r="BA9" s="7">
        <f>IF(Y9=1,IF(ISNUMBER(AN9),1,0),0)</f>
        <v/>
      </c>
      <c r="BB9" s="7">
        <f>IF(Y9=1,IF(ISNUMBER(T9),T9,0),0)</f>
        <v/>
      </c>
      <c r="BC9" s="7">
        <f>IF(Y9=1,IF(ISNUMBER(T9),1,0),0)</f>
        <v/>
      </c>
      <c r="BD9" s="7">
        <f>IF(Y9=1,AQ9+ROW()/1E9,-1E9)</f>
        <v/>
      </c>
      <c r="BE9" s="7">
        <f>IF(Y9=1,AQ9+ROW()/1E9,1E9)</f>
        <v/>
      </c>
    </row>
    <row r="10">
      <c r="A10" s="16" t="n"/>
      <c r="B10" s="8">
        <f>IF($A10="","",BDP($A10,B$3))</f>
        <v/>
      </c>
      <c r="C10" s="8">
        <f>IF($A10="","",BDP($A10,C$3))</f>
        <v/>
      </c>
      <c r="D10" s="28">
        <f>IF($A10="","",BDP($A10,D$3))</f>
        <v/>
      </c>
      <c r="E10" s="29">
        <f>IF($A10="","",BDP($A10,E$3))</f>
        <v/>
      </c>
      <c r="F10" s="17">
        <f>IF($A10="","",BDP($A10,F$3))</f>
        <v/>
      </c>
      <c r="G10" s="8">
        <f>IF($A10="","",BDP($A10,G$3))</f>
        <v/>
      </c>
      <c r="H10" s="8">
        <f>IF($A10="","",BDP($A10,H$3))</f>
        <v/>
      </c>
      <c r="I10" s="8">
        <f>IF($A10="","",BDP($A10,I$3))</f>
        <v/>
      </c>
      <c r="J10" s="8">
        <f>IF($A10="","",BDP($A10,J$3))</f>
        <v/>
      </c>
      <c r="K10" s="8">
        <f>IF($A10="","",BDP($A10,K$3))</f>
        <v/>
      </c>
      <c r="L10" s="28">
        <f>IF($A10="","",BDP($A10,L$3))</f>
        <v/>
      </c>
      <c r="M10" s="28">
        <f>IF($A10="","",BDP($A10,M$3))</f>
        <v/>
      </c>
      <c r="N10" s="30">
        <f>IF($A10="","",BDP($A10,N$3))</f>
        <v/>
      </c>
      <c r="O10" s="31">
        <f>IF($A10="","",BDP($A10,O$3))</f>
        <v/>
      </c>
      <c r="P10" s="30">
        <f>IF($A10="","",BDH($A10,$N$3,'參數'!$B$5,'參數'!$B$5,"Days=A","Fill=P","Dates=H"))</f>
        <v/>
      </c>
      <c r="Q10" s="30">
        <f>IF($A10="","",BDH($A10,$N$3,'參數'!$B$6,'參數'!$B$6,"Days=A","Fill=P","Dates=H"))</f>
        <v/>
      </c>
      <c r="R10" s="30">
        <f>IF($A10="","",BDH($A10,$N$3,'參數'!$B$7,'參數'!$B$7,"Days=A","Fill=P","Dates=H"))</f>
        <v/>
      </c>
      <c r="S10" s="32">
        <f>IF($A10="","",IFERROR(INDEX('發行人'!$A$5:$A$44,MATCH(B10,'發行人'!$D$5:$D$44,0)),"未對應"))</f>
        <v/>
      </c>
      <c r="T10" s="24">
        <f>IF($A10="","",IFERROR(INDEX('發行人'!$G$5:$G$44,MATCH(B10,'發行人'!$D$5:$D$44,0))+0,""))</f>
        <v/>
      </c>
      <c r="U10" s="18">
        <f>IF(ISNUMBER(E10),YEARFRAC('參數'!$B$4,E10),"")</f>
        <v/>
      </c>
      <c r="V10" s="8">
        <f>IF(U10="","",IF(U10&lt;3,"1-3y",IF(U10&lt;5,"3-5y",IF(U10&lt;7,"5-7y",IF(U10&lt;10,"7-10y","10y+")))))</f>
        <v/>
      </c>
      <c r="W10" s="30">
        <f>IF($A10="","",IFERROR(INDEX('參數'!$B$24:$B$45,MATCH(G10,'參數'!$A$24:$A$45,0)),""))</f>
        <v/>
      </c>
      <c r="X10" s="8">
        <f>IF($A10="","",IFERROR(INDEX('參數'!$C$24:$C$45,MATCH(G10,'參數'!$A$24:$A$45,0)),""))</f>
        <v/>
      </c>
      <c r="Y10" s="30">
        <f>IF(AND(ISNUMBER(N10),ISNUMBER(O10),ISNUMBER(U10)),IF(AND(O10&gt;0,X10&lt;&gt;""),1,0),0)</f>
        <v/>
      </c>
      <c r="Z10" s="17">
        <f>IF(Y10=1,O10*N10,"")</f>
        <v/>
      </c>
      <c r="AA10" s="33">
        <f>IF(Y10=1,IF(ISNUMBER(Q10),N10-Q10,""),"")</f>
        <v/>
      </c>
      <c r="AB10" s="33">
        <f>IF(Y10=1,IF(AND(ISNUMBER(P10),ISNUMBER(R10)),R10*5/12-O10*(P10-R10),""),"")</f>
        <v/>
      </c>
      <c r="AC10" s="30">
        <f>IF(Y10=1,COUNTIFS($X$5:$X$404,X10,$V$5:$V$404,V10,$Y$5:$Y$404,1),"")</f>
        <v/>
      </c>
      <c r="AD10" s="30">
        <f>IF(Y10=1,IFERROR(IF(AC10&gt;='參數'!$B$9,INDEX('分群統計'!$G$13:$K$16,MATCH(X10,'分群統計'!$A$13:$A$16,0),MATCH(V10,'分群統計'!$G$12:$K$12,0)),INDEX('分群統計'!$I$5:$I$8,MATCH(X10,'分群統計'!$A$5:$A$8,0))),""),"")</f>
        <v/>
      </c>
      <c r="AE10" s="18">
        <f>IF(Y10=1,IFERROR(IF(AC10&gt;='參數'!$B$9,INDEX('分群統計'!$L$13:$P$16,MATCH(X10,'分群統計'!$A$13:$A$16,0),MATCH(V10,'分群統計'!$L$12:$P$12,0)),INDEX('分群統計'!$J$5:$J$8,MATCH(X10,'分群統計'!$A$5:$A$8,0))),""),"")</f>
        <v/>
      </c>
      <c r="AF10" s="31">
        <f>IF(ISNUMBER(AE10),IF(AE10&gt;0,MAX(-3,MIN(3,(N10-AD10)/AE10)),0),"")</f>
        <v/>
      </c>
      <c r="AG10" s="30">
        <f>IF(Y10=1,COUNTIFS($B$5:$B$404,B10,$Y$5:$Y$404,1),"")</f>
        <v/>
      </c>
      <c r="AH10" s="30">
        <f>IF(Y10=1,IFERROR(IF(ISNUMBER(INDEX('分群統計'!$G$20:$G$59,MATCH(B10,'分群統計'!$A$20:$A$59,0))),INDEX('分群統計'!$H$20:$H$59,MATCH(B10,'分群統計'!$A$20:$A$59,0))+INDEX('分群統計'!$G$20:$G$59,MATCH(B10,'分群統計'!$A$20:$A$59,0))*AU10,""),""),"")</f>
        <v/>
      </c>
      <c r="AI10" s="34">
        <f>IF(ISNUMBER(AH10),N10-AH10,"")</f>
        <v/>
      </c>
      <c r="AJ10" s="30">
        <f>IF(Y10=1,IFERROR(IF(ISNUMBER(INDEX('分群統計'!$G$5:$G$8,MATCH(X10,'分群統計'!$A$5:$A$8,0))),INDEX('分群統計'!$H$5:$H$8,MATCH(X10,'分群統計'!$A$5:$A$8,0))+INDEX('分群統計'!$G$5:$G$8,MATCH(X10,'分群統計'!$A$5:$A$8,0))*AU10,""),""),"")</f>
        <v/>
      </c>
      <c r="AK10" s="34">
        <f>IF(ISNUMBER(AJ10),N10-AJ10,"")</f>
        <v/>
      </c>
      <c r="AL10" s="21">
        <f>IF(ISNUMBER(AJ10),IF(AJ10&gt;0,AK10/AJ10,""),"")</f>
        <v/>
      </c>
      <c r="AM10" s="31">
        <f>IF(AY10&lt;&gt;1,"",IFERROR(IF(INDEX('分群統計'!$K$5:$K$8,MATCH(X10,'分群統計'!$A$5:$A$8,0))&lt;3,"",IF(INDEX('分群統計'!$M$5:$M$8,MATCH(X10,'分群統計'!$A$5:$A$8,0))&gt;0,MAX(-3,MIN(3,(AX10-INDEX('分群統計'!$L$5:$L$8,MATCH(X10,'分群統計'!$A$5:$A$8,0)))/INDEX('分群統計'!$M$5:$M$8,MATCH(X10,'分群統計'!$A$5:$A$8,0)))),0)),""))</f>
        <v/>
      </c>
      <c r="AN10" s="31">
        <f>IF(ISNUMBER(AB10),IF(Z10&gt;0,AB10/Z10*100,""),"")</f>
        <v/>
      </c>
      <c r="AO10" s="31">
        <f>IF(BA10&lt;&gt;1,"",IFERROR(IF(INDEX('分群統計'!$N$5:$N$8,MATCH(X10,'分群統計'!$A$5:$A$8,0))&lt;3,"",IF(INDEX('分群統計'!$P$5:$P$8,MATCH(X10,'分群統計'!$A$5:$A$8,0))&gt;0,MAX(-3,MIN(3,(AZ10-INDEX('分群統計'!$O$5:$O$8,MATCH(X10,'分群統計'!$A$5:$A$8,0)))/INDEX('分群統計'!$P$5:$P$8,MATCH(X10,'分群統計'!$A$5:$A$8,0)))),0)),""))</f>
        <v/>
      </c>
      <c r="AP10" s="31">
        <f>IF(BC10&lt;&gt;1,"",IFERROR(IF(INDEX('分群統計'!$Q$5:$Q$8,MATCH(X10,'分群統計'!$A$5:$A$8,0))&lt;3,"",IF(INDEX('分群統計'!$S$5:$S$8,MATCH(X10,'分群統計'!$A$5:$A$8,0))&gt;0,MAX(-3,MIN(3,(BB10-INDEX('分群統計'!$R$5:$R$8,MATCH(X10,'分群統計'!$A$5:$A$8,0)))/INDEX('分群統計'!$S$5:$S$8,MATCH(X10,'分群統計'!$A$5:$A$8,0)))),0)),""))</f>
        <v/>
      </c>
      <c r="AQ10" s="31">
        <f>IF(Y10=1,(IF(ISNUMBER(AF10),AF10,0)*'參數'!$B$13+IF(ISNUMBER(AM10),AM10,0)*'參數'!$B$14+IF(ISNUMBER(AO10),AO10,0)*'參數'!$B$15+IF(ISNUMBER(AP10),AP10,0)*'參數'!$B$16)/('參數'!$B$13+'參數'!$B$14+'參數'!$B$15+'參數'!$B$16),"")</f>
        <v/>
      </c>
      <c r="AR10" s="35">
        <f>IF(Y10=1,(SUMPRODUCT(($X$5:$X$404=X10)*($Y$5:$Y$404=1)*($BD$5:$BD$404&gt;BD10))+1)/COUNTIFS($X$5:$X$404,X10,$Y$5:$Y$404,1),"")</f>
        <v/>
      </c>
      <c r="AS10" s="8">
        <f>IF(ISNUMBER(AR10),IF(AR10&lt;='參數'!$B$18,"加碼候選",IF(AR10&gt;'參數'!$B$19,"減碼候選","")),"")</f>
        <v/>
      </c>
      <c r="AT10" s="7">
        <f>IF(Y10=1,N10,0)</f>
        <v/>
      </c>
      <c r="AU10" s="7">
        <f>IF(Y10=1,LN(O10),0)</f>
        <v/>
      </c>
      <c r="AV10" s="36">
        <f>IF(Y10=1,IF(ISNUMBER(F10),F10,0),0)</f>
        <v/>
      </c>
      <c r="AW10" s="7">
        <f>IF(Y10=1,Z10,0)</f>
        <v/>
      </c>
      <c r="AX10" s="7">
        <f>IF(Y10=1,IF(ISNUMBER(AL10),AL10,0),0)</f>
        <v/>
      </c>
      <c r="AY10" s="7">
        <f>IF(Y10=1,IF(ISNUMBER(AL10),1,0),0)</f>
        <v/>
      </c>
      <c r="AZ10" s="7">
        <f>IF(Y10=1,IF(ISNUMBER(AN10),AN10,0),0)</f>
        <v/>
      </c>
      <c r="BA10" s="7">
        <f>IF(Y10=1,IF(ISNUMBER(AN10),1,0),0)</f>
        <v/>
      </c>
      <c r="BB10" s="7">
        <f>IF(Y10=1,IF(ISNUMBER(T10),T10,0),0)</f>
        <v/>
      </c>
      <c r="BC10" s="7">
        <f>IF(Y10=1,IF(ISNUMBER(T10),1,0),0)</f>
        <v/>
      </c>
      <c r="BD10" s="7">
        <f>IF(Y10=1,AQ10+ROW()/1E9,-1E9)</f>
        <v/>
      </c>
      <c r="BE10" s="7">
        <f>IF(Y10=1,AQ10+ROW()/1E9,1E9)</f>
        <v/>
      </c>
    </row>
    <row r="11">
      <c r="A11" s="16" t="n"/>
      <c r="B11" s="8">
        <f>IF($A11="","",BDP($A11,B$3))</f>
        <v/>
      </c>
      <c r="C11" s="8">
        <f>IF($A11="","",BDP($A11,C$3))</f>
        <v/>
      </c>
      <c r="D11" s="28">
        <f>IF($A11="","",BDP($A11,D$3))</f>
        <v/>
      </c>
      <c r="E11" s="29">
        <f>IF($A11="","",BDP($A11,E$3))</f>
        <v/>
      </c>
      <c r="F11" s="17">
        <f>IF($A11="","",BDP($A11,F$3))</f>
        <v/>
      </c>
      <c r="G11" s="8">
        <f>IF($A11="","",BDP($A11,G$3))</f>
        <v/>
      </c>
      <c r="H11" s="8">
        <f>IF($A11="","",BDP($A11,H$3))</f>
        <v/>
      </c>
      <c r="I11" s="8">
        <f>IF($A11="","",BDP($A11,I$3))</f>
        <v/>
      </c>
      <c r="J11" s="8">
        <f>IF($A11="","",BDP($A11,J$3))</f>
        <v/>
      </c>
      <c r="K11" s="8">
        <f>IF($A11="","",BDP($A11,K$3))</f>
        <v/>
      </c>
      <c r="L11" s="28">
        <f>IF($A11="","",BDP($A11,L$3))</f>
        <v/>
      </c>
      <c r="M11" s="28">
        <f>IF($A11="","",BDP($A11,M$3))</f>
        <v/>
      </c>
      <c r="N11" s="30">
        <f>IF($A11="","",BDP($A11,N$3))</f>
        <v/>
      </c>
      <c r="O11" s="31">
        <f>IF($A11="","",BDP($A11,O$3))</f>
        <v/>
      </c>
      <c r="P11" s="30">
        <f>IF($A11="","",BDH($A11,$N$3,'參數'!$B$5,'參數'!$B$5,"Days=A","Fill=P","Dates=H"))</f>
        <v/>
      </c>
      <c r="Q11" s="30">
        <f>IF($A11="","",BDH($A11,$N$3,'參數'!$B$6,'參數'!$B$6,"Days=A","Fill=P","Dates=H"))</f>
        <v/>
      </c>
      <c r="R11" s="30">
        <f>IF($A11="","",BDH($A11,$N$3,'參數'!$B$7,'參數'!$B$7,"Days=A","Fill=P","Dates=H"))</f>
        <v/>
      </c>
      <c r="S11" s="32">
        <f>IF($A11="","",IFERROR(INDEX('發行人'!$A$5:$A$44,MATCH(B11,'發行人'!$D$5:$D$44,0)),"未對應"))</f>
        <v/>
      </c>
      <c r="T11" s="24">
        <f>IF($A11="","",IFERROR(INDEX('發行人'!$G$5:$G$44,MATCH(B11,'發行人'!$D$5:$D$44,0))+0,""))</f>
        <v/>
      </c>
      <c r="U11" s="18">
        <f>IF(ISNUMBER(E11),YEARFRAC('參數'!$B$4,E11),"")</f>
        <v/>
      </c>
      <c r="V11" s="8">
        <f>IF(U11="","",IF(U11&lt;3,"1-3y",IF(U11&lt;5,"3-5y",IF(U11&lt;7,"5-7y",IF(U11&lt;10,"7-10y","10y+")))))</f>
        <v/>
      </c>
      <c r="W11" s="30">
        <f>IF($A11="","",IFERROR(INDEX('參數'!$B$24:$B$45,MATCH(G11,'參數'!$A$24:$A$45,0)),""))</f>
        <v/>
      </c>
      <c r="X11" s="8">
        <f>IF($A11="","",IFERROR(INDEX('參數'!$C$24:$C$45,MATCH(G11,'參數'!$A$24:$A$45,0)),""))</f>
        <v/>
      </c>
      <c r="Y11" s="30">
        <f>IF(AND(ISNUMBER(N11),ISNUMBER(O11),ISNUMBER(U11)),IF(AND(O11&gt;0,X11&lt;&gt;""),1,0),0)</f>
        <v/>
      </c>
      <c r="Z11" s="17">
        <f>IF(Y11=1,O11*N11,"")</f>
        <v/>
      </c>
      <c r="AA11" s="33">
        <f>IF(Y11=1,IF(ISNUMBER(Q11),N11-Q11,""),"")</f>
        <v/>
      </c>
      <c r="AB11" s="33">
        <f>IF(Y11=1,IF(AND(ISNUMBER(P11),ISNUMBER(R11)),R11*5/12-O11*(P11-R11),""),"")</f>
        <v/>
      </c>
      <c r="AC11" s="30">
        <f>IF(Y11=1,COUNTIFS($X$5:$X$404,X11,$V$5:$V$404,V11,$Y$5:$Y$404,1),"")</f>
        <v/>
      </c>
      <c r="AD11" s="30">
        <f>IF(Y11=1,IFERROR(IF(AC11&gt;='參數'!$B$9,INDEX('分群統計'!$G$13:$K$16,MATCH(X11,'分群統計'!$A$13:$A$16,0),MATCH(V11,'分群統計'!$G$12:$K$12,0)),INDEX('分群統計'!$I$5:$I$8,MATCH(X11,'分群統計'!$A$5:$A$8,0))),""),"")</f>
        <v/>
      </c>
      <c r="AE11" s="18">
        <f>IF(Y11=1,IFERROR(IF(AC11&gt;='參數'!$B$9,INDEX('分群統計'!$L$13:$P$16,MATCH(X11,'分群統計'!$A$13:$A$16,0),MATCH(V11,'分群統計'!$L$12:$P$12,0)),INDEX('分群統計'!$J$5:$J$8,MATCH(X11,'分群統計'!$A$5:$A$8,0))),""),"")</f>
        <v/>
      </c>
      <c r="AF11" s="31">
        <f>IF(ISNUMBER(AE11),IF(AE11&gt;0,MAX(-3,MIN(3,(N11-AD11)/AE11)),0),"")</f>
        <v/>
      </c>
      <c r="AG11" s="30">
        <f>IF(Y11=1,COUNTIFS($B$5:$B$404,B11,$Y$5:$Y$404,1),"")</f>
        <v/>
      </c>
      <c r="AH11" s="30">
        <f>IF(Y11=1,IFERROR(IF(ISNUMBER(INDEX('分群統計'!$G$20:$G$59,MATCH(B11,'分群統計'!$A$20:$A$59,0))),INDEX('分群統計'!$H$20:$H$59,MATCH(B11,'分群統計'!$A$20:$A$59,0))+INDEX('分群統計'!$G$20:$G$59,MATCH(B11,'分群統計'!$A$20:$A$59,0))*AU11,""),""),"")</f>
        <v/>
      </c>
      <c r="AI11" s="34">
        <f>IF(ISNUMBER(AH11),N11-AH11,"")</f>
        <v/>
      </c>
      <c r="AJ11" s="30">
        <f>IF(Y11=1,IFERROR(IF(ISNUMBER(INDEX('分群統計'!$G$5:$G$8,MATCH(X11,'分群統計'!$A$5:$A$8,0))),INDEX('分群統計'!$H$5:$H$8,MATCH(X11,'分群統計'!$A$5:$A$8,0))+INDEX('分群統計'!$G$5:$G$8,MATCH(X11,'分群統計'!$A$5:$A$8,0))*AU11,""),""),"")</f>
        <v/>
      </c>
      <c r="AK11" s="34">
        <f>IF(ISNUMBER(AJ11),N11-AJ11,"")</f>
        <v/>
      </c>
      <c r="AL11" s="21">
        <f>IF(ISNUMBER(AJ11),IF(AJ11&gt;0,AK11/AJ11,""),"")</f>
        <v/>
      </c>
      <c r="AM11" s="31">
        <f>IF(AY11&lt;&gt;1,"",IFERROR(IF(INDEX('分群統計'!$K$5:$K$8,MATCH(X11,'分群統計'!$A$5:$A$8,0))&lt;3,"",IF(INDEX('分群統計'!$M$5:$M$8,MATCH(X11,'分群統計'!$A$5:$A$8,0))&gt;0,MAX(-3,MIN(3,(AX11-INDEX('分群統計'!$L$5:$L$8,MATCH(X11,'分群統計'!$A$5:$A$8,0)))/INDEX('分群統計'!$M$5:$M$8,MATCH(X11,'分群統計'!$A$5:$A$8,0)))),0)),""))</f>
        <v/>
      </c>
      <c r="AN11" s="31">
        <f>IF(ISNUMBER(AB11),IF(Z11&gt;0,AB11/Z11*100,""),"")</f>
        <v/>
      </c>
      <c r="AO11" s="31">
        <f>IF(BA11&lt;&gt;1,"",IFERROR(IF(INDEX('分群統計'!$N$5:$N$8,MATCH(X11,'分群統計'!$A$5:$A$8,0))&lt;3,"",IF(INDEX('分群統計'!$P$5:$P$8,MATCH(X11,'分群統計'!$A$5:$A$8,0))&gt;0,MAX(-3,MIN(3,(AZ11-INDEX('分群統計'!$O$5:$O$8,MATCH(X11,'分群統計'!$A$5:$A$8,0)))/INDEX('分群統計'!$P$5:$P$8,MATCH(X11,'分群統計'!$A$5:$A$8,0)))),0)),""))</f>
        <v/>
      </c>
      <c r="AP11" s="31">
        <f>IF(BC11&lt;&gt;1,"",IFERROR(IF(INDEX('分群統計'!$Q$5:$Q$8,MATCH(X11,'分群統計'!$A$5:$A$8,0))&lt;3,"",IF(INDEX('分群統計'!$S$5:$S$8,MATCH(X11,'分群統計'!$A$5:$A$8,0))&gt;0,MAX(-3,MIN(3,(BB11-INDEX('分群統計'!$R$5:$R$8,MATCH(X11,'分群統計'!$A$5:$A$8,0)))/INDEX('分群統計'!$S$5:$S$8,MATCH(X11,'分群統計'!$A$5:$A$8,0)))),0)),""))</f>
        <v/>
      </c>
      <c r="AQ11" s="31">
        <f>IF(Y11=1,(IF(ISNUMBER(AF11),AF11,0)*'參數'!$B$13+IF(ISNUMBER(AM11),AM11,0)*'參數'!$B$14+IF(ISNUMBER(AO11),AO11,0)*'參數'!$B$15+IF(ISNUMBER(AP11),AP11,0)*'參數'!$B$16)/('參數'!$B$13+'參數'!$B$14+'參數'!$B$15+'參數'!$B$16),"")</f>
        <v/>
      </c>
      <c r="AR11" s="35">
        <f>IF(Y11=1,(SUMPRODUCT(($X$5:$X$404=X11)*($Y$5:$Y$404=1)*($BD$5:$BD$404&gt;BD11))+1)/COUNTIFS($X$5:$X$404,X11,$Y$5:$Y$404,1),"")</f>
        <v/>
      </c>
      <c r="AS11" s="8">
        <f>IF(ISNUMBER(AR11),IF(AR11&lt;='參數'!$B$18,"加碼候選",IF(AR11&gt;'參數'!$B$19,"減碼候選","")),"")</f>
        <v/>
      </c>
      <c r="AT11" s="7">
        <f>IF(Y11=1,N11,0)</f>
        <v/>
      </c>
      <c r="AU11" s="7">
        <f>IF(Y11=1,LN(O11),0)</f>
        <v/>
      </c>
      <c r="AV11" s="36">
        <f>IF(Y11=1,IF(ISNUMBER(F11),F11,0),0)</f>
        <v/>
      </c>
      <c r="AW11" s="7">
        <f>IF(Y11=1,Z11,0)</f>
        <v/>
      </c>
      <c r="AX11" s="7">
        <f>IF(Y11=1,IF(ISNUMBER(AL11),AL11,0),0)</f>
        <v/>
      </c>
      <c r="AY11" s="7">
        <f>IF(Y11=1,IF(ISNUMBER(AL11),1,0),0)</f>
        <v/>
      </c>
      <c r="AZ11" s="7">
        <f>IF(Y11=1,IF(ISNUMBER(AN11),AN11,0),0)</f>
        <v/>
      </c>
      <c r="BA11" s="7">
        <f>IF(Y11=1,IF(ISNUMBER(AN11),1,0),0)</f>
        <v/>
      </c>
      <c r="BB11" s="7">
        <f>IF(Y11=1,IF(ISNUMBER(T11),T11,0),0)</f>
        <v/>
      </c>
      <c r="BC11" s="7">
        <f>IF(Y11=1,IF(ISNUMBER(T11),1,0),0)</f>
        <v/>
      </c>
      <c r="BD11" s="7">
        <f>IF(Y11=1,AQ11+ROW()/1E9,-1E9)</f>
        <v/>
      </c>
      <c r="BE11" s="7">
        <f>IF(Y11=1,AQ11+ROW()/1E9,1E9)</f>
        <v/>
      </c>
    </row>
    <row r="12">
      <c r="A12" s="16" t="n"/>
      <c r="B12" s="8">
        <f>IF($A12="","",BDP($A12,B$3))</f>
        <v/>
      </c>
      <c r="C12" s="8">
        <f>IF($A12="","",BDP($A12,C$3))</f>
        <v/>
      </c>
      <c r="D12" s="28">
        <f>IF($A12="","",BDP($A12,D$3))</f>
        <v/>
      </c>
      <c r="E12" s="29">
        <f>IF($A12="","",BDP($A12,E$3))</f>
        <v/>
      </c>
      <c r="F12" s="17">
        <f>IF($A12="","",BDP($A12,F$3))</f>
        <v/>
      </c>
      <c r="G12" s="8">
        <f>IF($A12="","",BDP($A12,G$3))</f>
        <v/>
      </c>
      <c r="H12" s="8">
        <f>IF($A12="","",BDP($A12,H$3))</f>
        <v/>
      </c>
      <c r="I12" s="8">
        <f>IF($A12="","",BDP($A12,I$3))</f>
        <v/>
      </c>
      <c r="J12" s="8">
        <f>IF($A12="","",BDP($A12,J$3))</f>
        <v/>
      </c>
      <c r="K12" s="8">
        <f>IF($A12="","",BDP($A12,K$3))</f>
        <v/>
      </c>
      <c r="L12" s="28">
        <f>IF($A12="","",BDP($A12,L$3))</f>
        <v/>
      </c>
      <c r="M12" s="28">
        <f>IF($A12="","",BDP($A12,M$3))</f>
        <v/>
      </c>
      <c r="N12" s="30">
        <f>IF($A12="","",BDP($A12,N$3))</f>
        <v/>
      </c>
      <c r="O12" s="31">
        <f>IF($A12="","",BDP($A12,O$3))</f>
        <v/>
      </c>
      <c r="P12" s="30">
        <f>IF($A12="","",BDH($A12,$N$3,'參數'!$B$5,'參數'!$B$5,"Days=A","Fill=P","Dates=H"))</f>
        <v/>
      </c>
      <c r="Q12" s="30">
        <f>IF($A12="","",BDH($A12,$N$3,'參數'!$B$6,'參數'!$B$6,"Days=A","Fill=P","Dates=H"))</f>
        <v/>
      </c>
      <c r="R12" s="30">
        <f>IF($A12="","",BDH($A12,$N$3,'參數'!$B$7,'參數'!$B$7,"Days=A","Fill=P","Dates=H"))</f>
        <v/>
      </c>
      <c r="S12" s="32">
        <f>IF($A12="","",IFERROR(INDEX('發行人'!$A$5:$A$44,MATCH(B12,'發行人'!$D$5:$D$44,0)),"未對應"))</f>
        <v/>
      </c>
      <c r="T12" s="24">
        <f>IF($A12="","",IFERROR(INDEX('發行人'!$G$5:$G$44,MATCH(B12,'發行人'!$D$5:$D$44,0))+0,""))</f>
        <v/>
      </c>
      <c r="U12" s="18">
        <f>IF(ISNUMBER(E12),YEARFRAC('參數'!$B$4,E12),"")</f>
        <v/>
      </c>
      <c r="V12" s="8">
        <f>IF(U12="","",IF(U12&lt;3,"1-3y",IF(U12&lt;5,"3-5y",IF(U12&lt;7,"5-7y",IF(U12&lt;10,"7-10y","10y+")))))</f>
        <v/>
      </c>
      <c r="W12" s="30">
        <f>IF($A12="","",IFERROR(INDEX('參數'!$B$24:$B$45,MATCH(G12,'參數'!$A$24:$A$45,0)),""))</f>
        <v/>
      </c>
      <c r="X12" s="8">
        <f>IF($A12="","",IFERROR(INDEX('參數'!$C$24:$C$45,MATCH(G12,'參數'!$A$24:$A$45,0)),""))</f>
        <v/>
      </c>
      <c r="Y12" s="30">
        <f>IF(AND(ISNUMBER(N12),ISNUMBER(O12),ISNUMBER(U12)),IF(AND(O12&gt;0,X12&lt;&gt;""),1,0),0)</f>
        <v/>
      </c>
      <c r="Z12" s="17">
        <f>IF(Y12=1,O12*N12,"")</f>
        <v/>
      </c>
      <c r="AA12" s="33">
        <f>IF(Y12=1,IF(ISNUMBER(Q12),N12-Q12,""),"")</f>
        <v/>
      </c>
      <c r="AB12" s="33">
        <f>IF(Y12=1,IF(AND(ISNUMBER(P12),ISNUMBER(R12)),R12*5/12-O12*(P12-R12),""),"")</f>
        <v/>
      </c>
      <c r="AC12" s="30">
        <f>IF(Y12=1,COUNTIFS($X$5:$X$404,X12,$V$5:$V$404,V12,$Y$5:$Y$404,1),"")</f>
        <v/>
      </c>
      <c r="AD12" s="30">
        <f>IF(Y12=1,IFERROR(IF(AC12&gt;='參數'!$B$9,INDEX('分群統計'!$G$13:$K$16,MATCH(X12,'分群統計'!$A$13:$A$16,0),MATCH(V12,'分群統計'!$G$12:$K$12,0)),INDEX('分群統計'!$I$5:$I$8,MATCH(X12,'分群統計'!$A$5:$A$8,0))),""),"")</f>
        <v/>
      </c>
      <c r="AE12" s="18">
        <f>IF(Y12=1,IFERROR(IF(AC12&gt;='參數'!$B$9,INDEX('分群統計'!$L$13:$P$16,MATCH(X12,'分群統計'!$A$13:$A$16,0),MATCH(V12,'分群統計'!$L$12:$P$12,0)),INDEX('分群統計'!$J$5:$J$8,MATCH(X12,'分群統計'!$A$5:$A$8,0))),""),"")</f>
        <v/>
      </c>
      <c r="AF12" s="31">
        <f>IF(ISNUMBER(AE12),IF(AE12&gt;0,MAX(-3,MIN(3,(N12-AD12)/AE12)),0),"")</f>
        <v/>
      </c>
      <c r="AG12" s="30">
        <f>IF(Y12=1,COUNTIFS($B$5:$B$404,B12,$Y$5:$Y$404,1),"")</f>
        <v/>
      </c>
      <c r="AH12" s="30">
        <f>IF(Y12=1,IFERROR(IF(ISNUMBER(INDEX('分群統計'!$G$20:$G$59,MATCH(B12,'分群統計'!$A$20:$A$59,0))),INDEX('分群統計'!$H$20:$H$59,MATCH(B12,'分群統計'!$A$20:$A$59,0))+INDEX('分群統計'!$G$20:$G$59,MATCH(B12,'分群統計'!$A$20:$A$59,0))*AU12,""),""),"")</f>
        <v/>
      </c>
      <c r="AI12" s="34">
        <f>IF(ISNUMBER(AH12),N12-AH12,"")</f>
        <v/>
      </c>
      <c r="AJ12" s="30">
        <f>IF(Y12=1,IFERROR(IF(ISNUMBER(INDEX('分群統計'!$G$5:$G$8,MATCH(X12,'分群統計'!$A$5:$A$8,0))),INDEX('分群統計'!$H$5:$H$8,MATCH(X12,'分群統計'!$A$5:$A$8,0))+INDEX('分群統計'!$G$5:$G$8,MATCH(X12,'分群統計'!$A$5:$A$8,0))*AU12,""),""),"")</f>
        <v/>
      </c>
      <c r="AK12" s="34">
        <f>IF(ISNUMBER(AJ12),N12-AJ12,"")</f>
        <v/>
      </c>
      <c r="AL12" s="21">
        <f>IF(ISNUMBER(AJ12),IF(AJ12&gt;0,AK12/AJ12,""),"")</f>
        <v/>
      </c>
      <c r="AM12" s="31">
        <f>IF(AY12&lt;&gt;1,"",IFERROR(IF(INDEX('分群統計'!$K$5:$K$8,MATCH(X12,'分群統計'!$A$5:$A$8,0))&lt;3,"",IF(INDEX('分群統計'!$M$5:$M$8,MATCH(X12,'分群統計'!$A$5:$A$8,0))&gt;0,MAX(-3,MIN(3,(AX12-INDEX('分群統計'!$L$5:$L$8,MATCH(X12,'分群統計'!$A$5:$A$8,0)))/INDEX('分群統計'!$M$5:$M$8,MATCH(X12,'分群統計'!$A$5:$A$8,0)))),0)),""))</f>
        <v/>
      </c>
      <c r="AN12" s="31">
        <f>IF(ISNUMBER(AB12),IF(Z12&gt;0,AB12/Z12*100,""),"")</f>
        <v/>
      </c>
      <c r="AO12" s="31">
        <f>IF(BA12&lt;&gt;1,"",IFERROR(IF(INDEX('分群統計'!$N$5:$N$8,MATCH(X12,'分群統計'!$A$5:$A$8,0))&lt;3,"",IF(INDEX('分群統計'!$P$5:$P$8,MATCH(X12,'分群統計'!$A$5:$A$8,0))&gt;0,MAX(-3,MIN(3,(AZ12-INDEX('分群統計'!$O$5:$O$8,MATCH(X12,'分群統計'!$A$5:$A$8,0)))/INDEX('分群統計'!$P$5:$P$8,MATCH(X12,'分群統計'!$A$5:$A$8,0)))),0)),""))</f>
        <v/>
      </c>
      <c r="AP12" s="31">
        <f>IF(BC12&lt;&gt;1,"",IFERROR(IF(INDEX('分群統計'!$Q$5:$Q$8,MATCH(X12,'分群統計'!$A$5:$A$8,0))&lt;3,"",IF(INDEX('分群統計'!$S$5:$S$8,MATCH(X12,'分群統計'!$A$5:$A$8,0))&gt;0,MAX(-3,MIN(3,(BB12-INDEX('分群統計'!$R$5:$R$8,MATCH(X12,'分群統計'!$A$5:$A$8,0)))/INDEX('分群統計'!$S$5:$S$8,MATCH(X12,'分群統計'!$A$5:$A$8,0)))),0)),""))</f>
        <v/>
      </c>
      <c r="AQ12" s="31">
        <f>IF(Y12=1,(IF(ISNUMBER(AF12),AF12,0)*'參數'!$B$13+IF(ISNUMBER(AM12),AM12,0)*'參數'!$B$14+IF(ISNUMBER(AO12),AO12,0)*'參數'!$B$15+IF(ISNUMBER(AP12),AP12,0)*'參數'!$B$16)/('參數'!$B$13+'參數'!$B$14+'參數'!$B$15+'參數'!$B$16),"")</f>
        <v/>
      </c>
      <c r="AR12" s="35">
        <f>IF(Y12=1,(SUMPRODUCT(($X$5:$X$404=X12)*($Y$5:$Y$404=1)*($BD$5:$BD$404&gt;BD12))+1)/COUNTIFS($X$5:$X$404,X12,$Y$5:$Y$404,1),"")</f>
        <v/>
      </c>
      <c r="AS12" s="8">
        <f>IF(ISNUMBER(AR12),IF(AR12&lt;='參數'!$B$18,"加碼候選",IF(AR12&gt;'參數'!$B$19,"減碼候選","")),"")</f>
        <v/>
      </c>
      <c r="AT12" s="7">
        <f>IF(Y12=1,N12,0)</f>
        <v/>
      </c>
      <c r="AU12" s="7">
        <f>IF(Y12=1,LN(O12),0)</f>
        <v/>
      </c>
      <c r="AV12" s="36">
        <f>IF(Y12=1,IF(ISNUMBER(F12),F12,0),0)</f>
        <v/>
      </c>
      <c r="AW12" s="7">
        <f>IF(Y12=1,Z12,0)</f>
        <v/>
      </c>
      <c r="AX12" s="7">
        <f>IF(Y12=1,IF(ISNUMBER(AL12),AL12,0),0)</f>
        <v/>
      </c>
      <c r="AY12" s="7">
        <f>IF(Y12=1,IF(ISNUMBER(AL12),1,0),0)</f>
        <v/>
      </c>
      <c r="AZ12" s="7">
        <f>IF(Y12=1,IF(ISNUMBER(AN12),AN12,0),0)</f>
        <v/>
      </c>
      <c r="BA12" s="7">
        <f>IF(Y12=1,IF(ISNUMBER(AN12),1,0),0)</f>
        <v/>
      </c>
      <c r="BB12" s="7">
        <f>IF(Y12=1,IF(ISNUMBER(T12),T12,0),0)</f>
        <v/>
      </c>
      <c r="BC12" s="7">
        <f>IF(Y12=1,IF(ISNUMBER(T12),1,0),0)</f>
        <v/>
      </c>
      <c r="BD12" s="7">
        <f>IF(Y12=1,AQ12+ROW()/1E9,-1E9)</f>
        <v/>
      </c>
      <c r="BE12" s="7">
        <f>IF(Y12=1,AQ12+ROW()/1E9,1E9)</f>
        <v/>
      </c>
    </row>
    <row r="13">
      <c r="A13" s="16" t="n"/>
      <c r="B13" s="8">
        <f>IF($A13="","",BDP($A13,B$3))</f>
        <v/>
      </c>
      <c r="C13" s="8">
        <f>IF($A13="","",BDP($A13,C$3))</f>
        <v/>
      </c>
      <c r="D13" s="28">
        <f>IF($A13="","",BDP($A13,D$3))</f>
        <v/>
      </c>
      <c r="E13" s="29">
        <f>IF($A13="","",BDP($A13,E$3))</f>
        <v/>
      </c>
      <c r="F13" s="17">
        <f>IF($A13="","",BDP($A13,F$3))</f>
        <v/>
      </c>
      <c r="G13" s="8">
        <f>IF($A13="","",BDP($A13,G$3))</f>
        <v/>
      </c>
      <c r="H13" s="8">
        <f>IF($A13="","",BDP($A13,H$3))</f>
        <v/>
      </c>
      <c r="I13" s="8">
        <f>IF($A13="","",BDP($A13,I$3))</f>
        <v/>
      </c>
      <c r="J13" s="8">
        <f>IF($A13="","",BDP($A13,J$3))</f>
        <v/>
      </c>
      <c r="K13" s="8">
        <f>IF($A13="","",BDP($A13,K$3))</f>
        <v/>
      </c>
      <c r="L13" s="28">
        <f>IF($A13="","",BDP($A13,L$3))</f>
        <v/>
      </c>
      <c r="M13" s="28">
        <f>IF($A13="","",BDP($A13,M$3))</f>
        <v/>
      </c>
      <c r="N13" s="30">
        <f>IF($A13="","",BDP($A13,N$3))</f>
        <v/>
      </c>
      <c r="O13" s="31">
        <f>IF($A13="","",BDP($A13,O$3))</f>
        <v/>
      </c>
      <c r="P13" s="30">
        <f>IF($A13="","",BDH($A13,$N$3,'參數'!$B$5,'參數'!$B$5,"Days=A","Fill=P","Dates=H"))</f>
        <v/>
      </c>
      <c r="Q13" s="30">
        <f>IF($A13="","",BDH($A13,$N$3,'參數'!$B$6,'參數'!$B$6,"Days=A","Fill=P","Dates=H"))</f>
        <v/>
      </c>
      <c r="R13" s="30">
        <f>IF($A13="","",BDH($A13,$N$3,'參數'!$B$7,'參數'!$B$7,"Days=A","Fill=P","Dates=H"))</f>
        <v/>
      </c>
      <c r="S13" s="32">
        <f>IF($A13="","",IFERROR(INDEX('發行人'!$A$5:$A$44,MATCH(B13,'發行人'!$D$5:$D$44,0)),"未對應"))</f>
        <v/>
      </c>
      <c r="T13" s="24">
        <f>IF($A13="","",IFERROR(INDEX('發行人'!$G$5:$G$44,MATCH(B13,'發行人'!$D$5:$D$44,0))+0,""))</f>
        <v/>
      </c>
      <c r="U13" s="18">
        <f>IF(ISNUMBER(E13),YEARFRAC('參數'!$B$4,E13),"")</f>
        <v/>
      </c>
      <c r="V13" s="8">
        <f>IF(U13="","",IF(U13&lt;3,"1-3y",IF(U13&lt;5,"3-5y",IF(U13&lt;7,"5-7y",IF(U13&lt;10,"7-10y","10y+")))))</f>
        <v/>
      </c>
      <c r="W13" s="30">
        <f>IF($A13="","",IFERROR(INDEX('參數'!$B$24:$B$45,MATCH(G13,'參數'!$A$24:$A$45,0)),""))</f>
        <v/>
      </c>
      <c r="X13" s="8">
        <f>IF($A13="","",IFERROR(INDEX('參數'!$C$24:$C$45,MATCH(G13,'參數'!$A$24:$A$45,0)),""))</f>
        <v/>
      </c>
      <c r="Y13" s="30">
        <f>IF(AND(ISNUMBER(N13),ISNUMBER(O13),ISNUMBER(U13)),IF(AND(O13&gt;0,X13&lt;&gt;""),1,0),0)</f>
        <v/>
      </c>
      <c r="Z13" s="17">
        <f>IF(Y13=1,O13*N13,"")</f>
        <v/>
      </c>
      <c r="AA13" s="33">
        <f>IF(Y13=1,IF(ISNUMBER(Q13),N13-Q13,""),"")</f>
        <v/>
      </c>
      <c r="AB13" s="33">
        <f>IF(Y13=1,IF(AND(ISNUMBER(P13),ISNUMBER(R13)),R13*5/12-O13*(P13-R13),""),"")</f>
        <v/>
      </c>
      <c r="AC13" s="30">
        <f>IF(Y13=1,COUNTIFS($X$5:$X$404,X13,$V$5:$V$404,V13,$Y$5:$Y$404,1),"")</f>
        <v/>
      </c>
      <c r="AD13" s="30">
        <f>IF(Y13=1,IFERROR(IF(AC13&gt;='參數'!$B$9,INDEX('分群統計'!$G$13:$K$16,MATCH(X13,'分群統計'!$A$13:$A$16,0),MATCH(V13,'分群統計'!$G$12:$K$12,0)),INDEX('分群統計'!$I$5:$I$8,MATCH(X13,'分群統計'!$A$5:$A$8,0))),""),"")</f>
        <v/>
      </c>
      <c r="AE13" s="18">
        <f>IF(Y13=1,IFERROR(IF(AC13&gt;='參數'!$B$9,INDEX('分群統計'!$L$13:$P$16,MATCH(X13,'分群統計'!$A$13:$A$16,0),MATCH(V13,'分群統計'!$L$12:$P$12,0)),INDEX('分群統計'!$J$5:$J$8,MATCH(X13,'分群統計'!$A$5:$A$8,0))),""),"")</f>
        <v/>
      </c>
      <c r="AF13" s="31">
        <f>IF(ISNUMBER(AE13),IF(AE13&gt;0,MAX(-3,MIN(3,(N13-AD13)/AE13)),0),"")</f>
        <v/>
      </c>
      <c r="AG13" s="30">
        <f>IF(Y13=1,COUNTIFS($B$5:$B$404,B13,$Y$5:$Y$404,1),"")</f>
        <v/>
      </c>
      <c r="AH13" s="30">
        <f>IF(Y13=1,IFERROR(IF(ISNUMBER(INDEX('分群統計'!$G$20:$G$59,MATCH(B13,'分群統計'!$A$20:$A$59,0))),INDEX('分群統計'!$H$20:$H$59,MATCH(B13,'分群統計'!$A$20:$A$59,0))+INDEX('分群統計'!$G$20:$G$59,MATCH(B13,'分群統計'!$A$20:$A$59,0))*AU13,""),""),"")</f>
        <v/>
      </c>
      <c r="AI13" s="34">
        <f>IF(ISNUMBER(AH13),N13-AH13,"")</f>
        <v/>
      </c>
      <c r="AJ13" s="30">
        <f>IF(Y13=1,IFERROR(IF(ISNUMBER(INDEX('分群統計'!$G$5:$G$8,MATCH(X13,'分群統計'!$A$5:$A$8,0))),INDEX('分群統計'!$H$5:$H$8,MATCH(X13,'分群統計'!$A$5:$A$8,0))+INDEX('分群統計'!$G$5:$G$8,MATCH(X13,'分群統計'!$A$5:$A$8,0))*AU13,""),""),"")</f>
        <v/>
      </c>
      <c r="AK13" s="34">
        <f>IF(ISNUMBER(AJ13),N13-AJ13,"")</f>
        <v/>
      </c>
      <c r="AL13" s="21">
        <f>IF(ISNUMBER(AJ13),IF(AJ13&gt;0,AK13/AJ13,""),"")</f>
        <v/>
      </c>
      <c r="AM13" s="31">
        <f>IF(AY13&lt;&gt;1,"",IFERROR(IF(INDEX('分群統計'!$K$5:$K$8,MATCH(X13,'分群統計'!$A$5:$A$8,0))&lt;3,"",IF(INDEX('分群統計'!$M$5:$M$8,MATCH(X13,'分群統計'!$A$5:$A$8,0))&gt;0,MAX(-3,MIN(3,(AX13-INDEX('分群統計'!$L$5:$L$8,MATCH(X13,'分群統計'!$A$5:$A$8,0)))/INDEX('分群統計'!$M$5:$M$8,MATCH(X13,'分群統計'!$A$5:$A$8,0)))),0)),""))</f>
        <v/>
      </c>
      <c r="AN13" s="31">
        <f>IF(ISNUMBER(AB13),IF(Z13&gt;0,AB13/Z13*100,""),"")</f>
        <v/>
      </c>
      <c r="AO13" s="31">
        <f>IF(BA13&lt;&gt;1,"",IFERROR(IF(INDEX('分群統計'!$N$5:$N$8,MATCH(X13,'分群統計'!$A$5:$A$8,0))&lt;3,"",IF(INDEX('分群統計'!$P$5:$P$8,MATCH(X13,'分群統計'!$A$5:$A$8,0))&gt;0,MAX(-3,MIN(3,(AZ13-INDEX('分群統計'!$O$5:$O$8,MATCH(X13,'分群統計'!$A$5:$A$8,0)))/INDEX('分群統計'!$P$5:$P$8,MATCH(X13,'分群統計'!$A$5:$A$8,0)))),0)),""))</f>
        <v/>
      </c>
      <c r="AP13" s="31">
        <f>IF(BC13&lt;&gt;1,"",IFERROR(IF(INDEX('分群統計'!$Q$5:$Q$8,MATCH(X13,'分群統計'!$A$5:$A$8,0))&lt;3,"",IF(INDEX('分群統計'!$S$5:$S$8,MATCH(X13,'分群統計'!$A$5:$A$8,0))&gt;0,MAX(-3,MIN(3,(BB13-INDEX('分群統計'!$R$5:$R$8,MATCH(X13,'分群統計'!$A$5:$A$8,0)))/INDEX('分群統計'!$S$5:$S$8,MATCH(X13,'分群統計'!$A$5:$A$8,0)))),0)),""))</f>
        <v/>
      </c>
      <c r="AQ13" s="31">
        <f>IF(Y13=1,(IF(ISNUMBER(AF13),AF13,0)*'參數'!$B$13+IF(ISNUMBER(AM13),AM13,0)*'參數'!$B$14+IF(ISNUMBER(AO13),AO13,0)*'參數'!$B$15+IF(ISNUMBER(AP13),AP13,0)*'參數'!$B$16)/('參數'!$B$13+'參數'!$B$14+'參數'!$B$15+'參數'!$B$16),"")</f>
        <v/>
      </c>
      <c r="AR13" s="35">
        <f>IF(Y13=1,(SUMPRODUCT(($X$5:$X$404=X13)*($Y$5:$Y$404=1)*($BD$5:$BD$404&gt;BD13))+1)/COUNTIFS($X$5:$X$404,X13,$Y$5:$Y$404,1),"")</f>
        <v/>
      </c>
      <c r="AS13" s="8">
        <f>IF(ISNUMBER(AR13),IF(AR13&lt;='參數'!$B$18,"加碼候選",IF(AR13&gt;'參數'!$B$19,"減碼候選","")),"")</f>
        <v/>
      </c>
      <c r="AT13" s="7">
        <f>IF(Y13=1,N13,0)</f>
        <v/>
      </c>
      <c r="AU13" s="7">
        <f>IF(Y13=1,LN(O13),0)</f>
        <v/>
      </c>
      <c r="AV13" s="36">
        <f>IF(Y13=1,IF(ISNUMBER(F13),F13,0),0)</f>
        <v/>
      </c>
      <c r="AW13" s="7">
        <f>IF(Y13=1,Z13,0)</f>
        <v/>
      </c>
      <c r="AX13" s="7">
        <f>IF(Y13=1,IF(ISNUMBER(AL13),AL13,0),0)</f>
        <v/>
      </c>
      <c r="AY13" s="7">
        <f>IF(Y13=1,IF(ISNUMBER(AL13),1,0),0)</f>
        <v/>
      </c>
      <c r="AZ13" s="7">
        <f>IF(Y13=1,IF(ISNUMBER(AN13),AN13,0),0)</f>
        <v/>
      </c>
      <c r="BA13" s="7">
        <f>IF(Y13=1,IF(ISNUMBER(AN13),1,0),0)</f>
        <v/>
      </c>
      <c r="BB13" s="7">
        <f>IF(Y13=1,IF(ISNUMBER(T13),T13,0),0)</f>
        <v/>
      </c>
      <c r="BC13" s="7">
        <f>IF(Y13=1,IF(ISNUMBER(T13),1,0),0)</f>
        <v/>
      </c>
      <c r="BD13" s="7">
        <f>IF(Y13=1,AQ13+ROW()/1E9,-1E9)</f>
        <v/>
      </c>
      <c r="BE13" s="7">
        <f>IF(Y13=1,AQ13+ROW()/1E9,1E9)</f>
        <v/>
      </c>
    </row>
    <row r="14">
      <c r="A14" s="16" t="n"/>
      <c r="B14" s="8">
        <f>IF($A14="","",BDP($A14,B$3))</f>
        <v/>
      </c>
      <c r="C14" s="8">
        <f>IF($A14="","",BDP($A14,C$3))</f>
        <v/>
      </c>
      <c r="D14" s="28">
        <f>IF($A14="","",BDP($A14,D$3))</f>
        <v/>
      </c>
      <c r="E14" s="29">
        <f>IF($A14="","",BDP($A14,E$3))</f>
        <v/>
      </c>
      <c r="F14" s="17">
        <f>IF($A14="","",BDP($A14,F$3))</f>
        <v/>
      </c>
      <c r="G14" s="8">
        <f>IF($A14="","",BDP($A14,G$3))</f>
        <v/>
      </c>
      <c r="H14" s="8">
        <f>IF($A14="","",BDP($A14,H$3))</f>
        <v/>
      </c>
      <c r="I14" s="8">
        <f>IF($A14="","",BDP($A14,I$3))</f>
        <v/>
      </c>
      <c r="J14" s="8">
        <f>IF($A14="","",BDP($A14,J$3))</f>
        <v/>
      </c>
      <c r="K14" s="8">
        <f>IF($A14="","",BDP($A14,K$3))</f>
        <v/>
      </c>
      <c r="L14" s="28">
        <f>IF($A14="","",BDP($A14,L$3))</f>
        <v/>
      </c>
      <c r="M14" s="28">
        <f>IF($A14="","",BDP($A14,M$3))</f>
        <v/>
      </c>
      <c r="N14" s="30">
        <f>IF($A14="","",BDP($A14,N$3))</f>
        <v/>
      </c>
      <c r="O14" s="31">
        <f>IF($A14="","",BDP($A14,O$3))</f>
        <v/>
      </c>
      <c r="P14" s="30">
        <f>IF($A14="","",BDH($A14,$N$3,'參數'!$B$5,'參數'!$B$5,"Days=A","Fill=P","Dates=H"))</f>
        <v/>
      </c>
      <c r="Q14" s="30">
        <f>IF($A14="","",BDH($A14,$N$3,'參數'!$B$6,'參數'!$B$6,"Days=A","Fill=P","Dates=H"))</f>
        <v/>
      </c>
      <c r="R14" s="30">
        <f>IF($A14="","",BDH($A14,$N$3,'參數'!$B$7,'參數'!$B$7,"Days=A","Fill=P","Dates=H"))</f>
        <v/>
      </c>
      <c r="S14" s="32">
        <f>IF($A14="","",IFERROR(INDEX('發行人'!$A$5:$A$44,MATCH(B14,'發行人'!$D$5:$D$44,0)),"未對應"))</f>
        <v/>
      </c>
      <c r="T14" s="24">
        <f>IF($A14="","",IFERROR(INDEX('發行人'!$G$5:$G$44,MATCH(B14,'發行人'!$D$5:$D$44,0))+0,""))</f>
        <v/>
      </c>
      <c r="U14" s="18">
        <f>IF(ISNUMBER(E14),YEARFRAC('參數'!$B$4,E14),"")</f>
        <v/>
      </c>
      <c r="V14" s="8">
        <f>IF(U14="","",IF(U14&lt;3,"1-3y",IF(U14&lt;5,"3-5y",IF(U14&lt;7,"5-7y",IF(U14&lt;10,"7-10y","10y+")))))</f>
        <v/>
      </c>
      <c r="W14" s="30">
        <f>IF($A14="","",IFERROR(INDEX('參數'!$B$24:$B$45,MATCH(G14,'參數'!$A$24:$A$45,0)),""))</f>
        <v/>
      </c>
      <c r="X14" s="8">
        <f>IF($A14="","",IFERROR(INDEX('參數'!$C$24:$C$45,MATCH(G14,'參數'!$A$24:$A$45,0)),""))</f>
        <v/>
      </c>
      <c r="Y14" s="30">
        <f>IF(AND(ISNUMBER(N14),ISNUMBER(O14),ISNUMBER(U14)),IF(AND(O14&gt;0,X14&lt;&gt;""),1,0),0)</f>
        <v/>
      </c>
      <c r="Z14" s="17">
        <f>IF(Y14=1,O14*N14,"")</f>
        <v/>
      </c>
      <c r="AA14" s="33">
        <f>IF(Y14=1,IF(ISNUMBER(Q14),N14-Q14,""),"")</f>
        <v/>
      </c>
      <c r="AB14" s="33">
        <f>IF(Y14=1,IF(AND(ISNUMBER(P14),ISNUMBER(R14)),R14*5/12-O14*(P14-R14),""),"")</f>
        <v/>
      </c>
      <c r="AC14" s="30">
        <f>IF(Y14=1,COUNTIFS($X$5:$X$404,X14,$V$5:$V$404,V14,$Y$5:$Y$404,1),"")</f>
        <v/>
      </c>
      <c r="AD14" s="30">
        <f>IF(Y14=1,IFERROR(IF(AC14&gt;='參數'!$B$9,INDEX('分群統計'!$G$13:$K$16,MATCH(X14,'分群統計'!$A$13:$A$16,0),MATCH(V14,'分群統計'!$G$12:$K$12,0)),INDEX('分群統計'!$I$5:$I$8,MATCH(X14,'分群統計'!$A$5:$A$8,0))),""),"")</f>
        <v/>
      </c>
      <c r="AE14" s="18">
        <f>IF(Y14=1,IFERROR(IF(AC14&gt;='參數'!$B$9,INDEX('分群統計'!$L$13:$P$16,MATCH(X14,'分群統計'!$A$13:$A$16,0),MATCH(V14,'分群統計'!$L$12:$P$12,0)),INDEX('分群統計'!$J$5:$J$8,MATCH(X14,'分群統計'!$A$5:$A$8,0))),""),"")</f>
        <v/>
      </c>
      <c r="AF14" s="31">
        <f>IF(ISNUMBER(AE14),IF(AE14&gt;0,MAX(-3,MIN(3,(N14-AD14)/AE14)),0),"")</f>
        <v/>
      </c>
      <c r="AG14" s="30">
        <f>IF(Y14=1,COUNTIFS($B$5:$B$404,B14,$Y$5:$Y$404,1),"")</f>
        <v/>
      </c>
      <c r="AH14" s="30">
        <f>IF(Y14=1,IFERROR(IF(ISNUMBER(INDEX('分群統計'!$G$20:$G$59,MATCH(B14,'分群統計'!$A$20:$A$59,0))),INDEX('分群統計'!$H$20:$H$59,MATCH(B14,'分群統計'!$A$20:$A$59,0))+INDEX('分群統計'!$G$20:$G$59,MATCH(B14,'分群統計'!$A$20:$A$59,0))*AU14,""),""),"")</f>
        <v/>
      </c>
      <c r="AI14" s="34">
        <f>IF(ISNUMBER(AH14),N14-AH14,"")</f>
        <v/>
      </c>
      <c r="AJ14" s="30">
        <f>IF(Y14=1,IFERROR(IF(ISNUMBER(INDEX('分群統計'!$G$5:$G$8,MATCH(X14,'分群統計'!$A$5:$A$8,0))),INDEX('分群統計'!$H$5:$H$8,MATCH(X14,'分群統計'!$A$5:$A$8,0))+INDEX('分群統計'!$G$5:$G$8,MATCH(X14,'分群統計'!$A$5:$A$8,0))*AU14,""),""),"")</f>
        <v/>
      </c>
      <c r="AK14" s="34">
        <f>IF(ISNUMBER(AJ14),N14-AJ14,"")</f>
        <v/>
      </c>
      <c r="AL14" s="21">
        <f>IF(ISNUMBER(AJ14),IF(AJ14&gt;0,AK14/AJ14,""),"")</f>
        <v/>
      </c>
      <c r="AM14" s="31">
        <f>IF(AY14&lt;&gt;1,"",IFERROR(IF(INDEX('分群統計'!$K$5:$K$8,MATCH(X14,'分群統計'!$A$5:$A$8,0))&lt;3,"",IF(INDEX('分群統計'!$M$5:$M$8,MATCH(X14,'分群統計'!$A$5:$A$8,0))&gt;0,MAX(-3,MIN(3,(AX14-INDEX('分群統計'!$L$5:$L$8,MATCH(X14,'分群統計'!$A$5:$A$8,0)))/INDEX('分群統計'!$M$5:$M$8,MATCH(X14,'分群統計'!$A$5:$A$8,0)))),0)),""))</f>
        <v/>
      </c>
      <c r="AN14" s="31">
        <f>IF(ISNUMBER(AB14),IF(Z14&gt;0,AB14/Z14*100,""),"")</f>
        <v/>
      </c>
      <c r="AO14" s="31">
        <f>IF(BA14&lt;&gt;1,"",IFERROR(IF(INDEX('分群統計'!$N$5:$N$8,MATCH(X14,'分群統計'!$A$5:$A$8,0))&lt;3,"",IF(INDEX('分群統計'!$P$5:$P$8,MATCH(X14,'分群統計'!$A$5:$A$8,0))&gt;0,MAX(-3,MIN(3,(AZ14-INDEX('分群統計'!$O$5:$O$8,MATCH(X14,'分群統計'!$A$5:$A$8,0)))/INDEX('分群統計'!$P$5:$P$8,MATCH(X14,'分群統計'!$A$5:$A$8,0)))),0)),""))</f>
        <v/>
      </c>
      <c r="AP14" s="31">
        <f>IF(BC14&lt;&gt;1,"",IFERROR(IF(INDEX('分群統計'!$Q$5:$Q$8,MATCH(X14,'分群統計'!$A$5:$A$8,0))&lt;3,"",IF(INDEX('分群統計'!$S$5:$S$8,MATCH(X14,'分群統計'!$A$5:$A$8,0))&gt;0,MAX(-3,MIN(3,(BB14-INDEX('分群統計'!$R$5:$R$8,MATCH(X14,'分群統計'!$A$5:$A$8,0)))/INDEX('分群統計'!$S$5:$S$8,MATCH(X14,'分群統計'!$A$5:$A$8,0)))),0)),""))</f>
        <v/>
      </c>
      <c r="AQ14" s="31">
        <f>IF(Y14=1,(IF(ISNUMBER(AF14),AF14,0)*'參數'!$B$13+IF(ISNUMBER(AM14),AM14,0)*'參數'!$B$14+IF(ISNUMBER(AO14),AO14,0)*'參數'!$B$15+IF(ISNUMBER(AP14),AP14,0)*'參數'!$B$16)/('參數'!$B$13+'參數'!$B$14+'參數'!$B$15+'參數'!$B$16),"")</f>
        <v/>
      </c>
      <c r="AR14" s="35">
        <f>IF(Y14=1,(SUMPRODUCT(($X$5:$X$404=X14)*($Y$5:$Y$404=1)*($BD$5:$BD$404&gt;BD14))+1)/COUNTIFS($X$5:$X$404,X14,$Y$5:$Y$404,1),"")</f>
        <v/>
      </c>
      <c r="AS14" s="8">
        <f>IF(ISNUMBER(AR14),IF(AR14&lt;='參數'!$B$18,"加碼候選",IF(AR14&gt;'參數'!$B$19,"減碼候選","")),"")</f>
        <v/>
      </c>
      <c r="AT14" s="7">
        <f>IF(Y14=1,N14,0)</f>
        <v/>
      </c>
      <c r="AU14" s="7">
        <f>IF(Y14=1,LN(O14),0)</f>
        <v/>
      </c>
      <c r="AV14" s="36">
        <f>IF(Y14=1,IF(ISNUMBER(F14),F14,0),0)</f>
        <v/>
      </c>
      <c r="AW14" s="7">
        <f>IF(Y14=1,Z14,0)</f>
        <v/>
      </c>
      <c r="AX14" s="7">
        <f>IF(Y14=1,IF(ISNUMBER(AL14),AL14,0),0)</f>
        <v/>
      </c>
      <c r="AY14" s="7">
        <f>IF(Y14=1,IF(ISNUMBER(AL14),1,0),0)</f>
        <v/>
      </c>
      <c r="AZ14" s="7">
        <f>IF(Y14=1,IF(ISNUMBER(AN14),AN14,0),0)</f>
        <v/>
      </c>
      <c r="BA14" s="7">
        <f>IF(Y14=1,IF(ISNUMBER(AN14),1,0),0)</f>
        <v/>
      </c>
      <c r="BB14" s="7">
        <f>IF(Y14=1,IF(ISNUMBER(T14),T14,0),0)</f>
        <v/>
      </c>
      <c r="BC14" s="7">
        <f>IF(Y14=1,IF(ISNUMBER(T14),1,0),0)</f>
        <v/>
      </c>
      <c r="BD14" s="7">
        <f>IF(Y14=1,AQ14+ROW()/1E9,-1E9)</f>
        <v/>
      </c>
      <c r="BE14" s="7">
        <f>IF(Y14=1,AQ14+ROW()/1E9,1E9)</f>
        <v/>
      </c>
    </row>
    <row r="15">
      <c r="A15" s="16" t="n"/>
      <c r="B15" s="8">
        <f>IF($A15="","",BDP($A15,B$3))</f>
        <v/>
      </c>
      <c r="C15" s="8">
        <f>IF($A15="","",BDP($A15,C$3))</f>
        <v/>
      </c>
      <c r="D15" s="28">
        <f>IF($A15="","",BDP($A15,D$3))</f>
        <v/>
      </c>
      <c r="E15" s="29">
        <f>IF($A15="","",BDP($A15,E$3))</f>
        <v/>
      </c>
      <c r="F15" s="17">
        <f>IF($A15="","",BDP($A15,F$3))</f>
        <v/>
      </c>
      <c r="G15" s="8">
        <f>IF($A15="","",BDP($A15,G$3))</f>
        <v/>
      </c>
      <c r="H15" s="8">
        <f>IF($A15="","",BDP($A15,H$3))</f>
        <v/>
      </c>
      <c r="I15" s="8">
        <f>IF($A15="","",BDP($A15,I$3))</f>
        <v/>
      </c>
      <c r="J15" s="8">
        <f>IF($A15="","",BDP($A15,J$3))</f>
        <v/>
      </c>
      <c r="K15" s="8">
        <f>IF($A15="","",BDP($A15,K$3))</f>
        <v/>
      </c>
      <c r="L15" s="28">
        <f>IF($A15="","",BDP($A15,L$3))</f>
        <v/>
      </c>
      <c r="M15" s="28">
        <f>IF($A15="","",BDP($A15,M$3))</f>
        <v/>
      </c>
      <c r="N15" s="30">
        <f>IF($A15="","",BDP($A15,N$3))</f>
        <v/>
      </c>
      <c r="O15" s="31">
        <f>IF($A15="","",BDP($A15,O$3))</f>
        <v/>
      </c>
      <c r="P15" s="30">
        <f>IF($A15="","",BDH($A15,$N$3,'參數'!$B$5,'參數'!$B$5,"Days=A","Fill=P","Dates=H"))</f>
        <v/>
      </c>
      <c r="Q15" s="30">
        <f>IF($A15="","",BDH($A15,$N$3,'參數'!$B$6,'參數'!$B$6,"Days=A","Fill=P","Dates=H"))</f>
        <v/>
      </c>
      <c r="R15" s="30">
        <f>IF($A15="","",BDH($A15,$N$3,'參數'!$B$7,'參數'!$B$7,"Days=A","Fill=P","Dates=H"))</f>
        <v/>
      </c>
      <c r="S15" s="32">
        <f>IF($A15="","",IFERROR(INDEX('發行人'!$A$5:$A$44,MATCH(B15,'發行人'!$D$5:$D$44,0)),"未對應"))</f>
        <v/>
      </c>
      <c r="T15" s="24">
        <f>IF($A15="","",IFERROR(INDEX('發行人'!$G$5:$G$44,MATCH(B15,'發行人'!$D$5:$D$44,0))+0,""))</f>
        <v/>
      </c>
      <c r="U15" s="18">
        <f>IF(ISNUMBER(E15),YEARFRAC('參數'!$B$4,E15),"")</f>
        <v/>
      </c>
      <c r="V15" s="8">
        <f>IF(U15="","",IF(U15&lt;3,"1-3y",IF(U15&lt;5,"3-5y",IF(U15&lt;7,"5-7y",IF(U15&lt;10,"7-10y","10y+")))))</f>
        <v/>
      </c>
      <c r="W15" s="30">
        <f>IF($A15="","",IFERROR(INDEX('參數'!$B$24:$B$45,MATCH(G15,'參數'!$A$24:$A$45,0)),""))</f>
        <v/>
      </c>
      <c r="X15" s="8">
        <f>IF($A15="","",IFERROR(INDEX('參數'!$C$24:$C$45,MATCH(G15,'參數'!$A$24:$A$45,0)),""))</f>
        <v/>
      </c>
      <c r="Y15" s="30">
        <f>IF(AND(ISNUMBER(N15),ISNUMBER(O15),ISNUMBER(U15)),IF(AND(O15&gt;0,X15&lt;&gt;""),1,0),0)</f>
        <v/>
      </c>
      <c r="Z15" s="17">
        <f>IF(Y15=1,O15*N15,"")</f>
        <v/>
      </c>
      <c r="AA15" s="33">
        <f>IF(Y15=1,IF(ISNUMBER(Q15),N15-Q15,""),"")</f>
        <v/>
      </c>
      <c r="AB15" s="33">
        <f>IF(Y15=1,IF(AND(ISNUMBER(P15),ISNUMBER(R15)),R15*5/12-O15*(P15-R15),""),"")</f>
        <v/>
      </c>
      <c r="AC15" s="30">
        <f>IF(Y15=1,COUNTIFS($X$5:$X$404,X15,$V$5:$V$404,V15,$Y$5:$Y$404,1),"")</f>
        <v/>
      </c>
      <c r="AD15" s="30">
        <f>IF(Y15=1,IFERROR(IF(AC15&gt;='參數'!$B$9,INDEX('分群統計'!$G$13:$K$16,MATCH(X15,'分群統計'!$A$13:$A$16,0),MATCH(V15,'分群統計'!$G$12:$K$12,0)),INDEX('分群統計'!$I$5:$I$8,MATCH(X15,'分群統計'!$A$5:$A$8,0))),""),"")</f>
        <v/>
      </c>
      <c r="AE15" s="18">
        <f>IF(Y15=1,IFERROR(IF(AC15&gt;='參數'!$B$9,INDEX('分群統計'!$L$13:$P$16,MATCH(X15,'分群統計'!$A$13:$A$16,0),MATCH(V15,'分群統計'!$L$12:$P$12,0)),INDEX('分群統計'!$J$5:$J$8,MATCH(X15,'分群統計'!$A$5:$A$8,0))),""),"")</f>
        <v/>
      </c>
      <c r="AF15" s="31">
        <f>IF(ISNUMBER(AE15),IF(AE15&gt;0,MAX(-3,MIN(3,(N15-AD15)/AE15)),0),"")</f>
        <v/>
      </c>
      <c r="AG15" s="30">
        <f>IF(Y15=1,COUNTIFS($B$5:$B$404,B15,$Y$5:$Y$404,1),"")</f>
        <v/>
      </c>
      <c r="AH15" s="30">
        <f>IF(Y15=1,IFERROR(IF(ISNUMBER(INDEX('分群統計'!$G$20:$G$59,MATCH(B15,'分群統計'!$A$20:$A$59,0))),INDEX('分群統計'!$H$20:$H$59,MATCH(B15,'分群統計'!$A$20:$A$59,0))+INDEX('分群統計'!$G$20:$G$59,MATCH(B15,'分群統計'!$A$20:$A$59,0))*AU15,""),""),"")</f>
        <v/>
      </c>
      <c r="AI15" s="34">
        <f>IF(ISNUMBER(AH15),N15-AH15,"")</f>
        <v/>
      </c>
      <c r="AJ15" s="30">
        <f>IF(Y15=1,IFERROR(IF(ISNUMBER(INDEX('分群統計'!$G$5:$G$8,MATCH(X15,'分群統計'!$A$5:$A$8,0))),INDEX('分群統計'!$H$5:$H$8,MATCH(X15,'分群統計'!$A$5:$A$8,0))+INDEX('分群統計'!$G$5:$G$8,MATCH(X15,'分群統計'!$A$5:$A$8,0))*AU15,""),""),"")</f>
        <v/>
      </c>
      <c r="AK15" s="34">
        <f>IF(ISNUMBER(AJ15),N15-AJ15,"")</f>
        <v/>
      </c>
      <c r="AL15" s="21">
        <f>IF(ISNUMBER(AJ15),IF(AJ15&gt;0,AK15/AJ15,""),"")</f>
        <v/>
      </c>
      <c r="AM15" s="31">
        <f>IF(AY15&lt;&gt;1,"",IFERROR(IF(INDEX('分群統計'!$K$5:$K$8,MATCH(X15,'分群統計'!$A$5:$A$8,0))&lt;3,"",IF(INDEX('分群統計'!$M$5:$M$8,MATCH(X15,'分群統計'!$A$5:$A$8,0))&gt;0,MAX(-3,MIN(3,(AX15-INDEX('分群統計'!$L$5:$L$8,MATCH(X15,'分群統計'!$A$5:$A$8,0)))/INDEX('分群統計'!$M$5:$M$8,MATCH(X15,'分群統計'!$A$5:$A$8,0)))),0)),""))</f>
        <v/>
      </c>
      <c r="AN15" s="31">
        <f>IF(ISNUMBER(AB15),IF(Z15&gt;0,AB15/Z15*100,""),"")</f>
        <v/>
      </c>
      <c r="AO15" s="31">
        <f>IF(BA15&lt;&gt;1,"",IFERROR(IF(INDEX('分群統計'!$N$5:$N$8,MATCH(X15,'分群統計'!$A$5:$A$8,0))&lt;3,"",IF(INDEX('分群統計'!$P$5:$P$8,MATCH(X15,'分群統計'!$A$5:$A$8,0))&gt;0,MAX(-3,MIN(3,(AZ15-INDEX('分群統計'!$O$5:$O$8,MATCH(X15,'分群統計'!$A$5:$A$8,0)))/INDEX('分群統計'!$P$5:$P$8,MATCH(X15,'分群統計'!$A$5:$A$8,0)))),0)),""))</f>
        <v/>
      </c>
      <c r="AP15" s="31">
        <f>IF(BC15&lt;&gt;1,"",IFERROR(IF(INDEX('分群統計'!$Q$5:$Q$8,MATCH(X15,'分群統計'!$A$5:$A$8,0))&lt;3,"",IF(INDEX('分群統計'!$S$5:$S$8,MATCH(X15,'分群統計'!$A$5:$A$8,0))&gt;0,MAX(-3,MIN(3,(BB15-INDEX('分群統計'!$R$5:$R$8,MATCH(X15,'分群統計'!$A$5:$A$8,0)))/INDEX('分群統計'!$S$5:$S$8,MATCH(X15,'分群統計'!$A$5:$A$8,0)))),0)),""))</f>
        <v/>
      </c>
      <c r="AQ15" s="31">
        <f>IF(Y15=1,(IF(ISNUMBER(AF15),AF15,0)*'參數'!$B$13+IF(ISNUMBER(AM15),AM15,0)*'參數'!$B$14+IF(ISNUMBER(AO15),AO15,0)*'參數'!$B$15+IF(ISNUMBER(AP15),AP15,0)*'參數'!$B$16)/('參數'!$B$13+'參數'!$B$14+'參數'!$B$15+'參數'!$B$16),"")</f>
        <v/>
      </c>
      <c r="AR15" s="35">
        <f>IF(Y15=1,(SUMPRODUCT(($X$5:$X$404=X15)*($Y$5:$Y$404=1)*($BD$5:$BD$404&gt;BD15))+1)/COUNTIFS($X$5:$X$404,X15,$Y$5:$Y$404,1),"")</f>
        <v/>
      </c>
      <c r="AS15" s="8">
        <f>IF(ISNUMBER(AR15),IF(AR15&lt;='參數'!$B$18,"加碼候選",IF(AR15&gt;'參數'!$B$19,"減碼候選","")),"")</f>
        <v/>
      </c>
      <c r="AT15" s="7">
        <f>IF(Y15=1,N15,0)</f>
        <v/>
      </c>
      <c r="AU15" s="7">
        <f>IF(Y15=1,LN(O15),0)</f>
        <v/>
      </c>
      <c r="AV15" s="36">
        <f>IF(Y15=1,IF(ISNUMBER(F15),F15,0),0)</f>
        <v/>
      </c>
      <c r="AW15" s="7">
        <f>IF(Y15=1,Z15,0)</f>
        <v/>
      </c>
      <c r="AX15" s="7">
        <f>IF(Y15=1,IF(ISNUMBER(AL15),AL15,0),0)</f>
        <v/>
      </c>
      <c r="AY15" s="7">
        <f>IF(Y15=1,IF(ISNUMBER(AL15),1,0),0)</f>
        <v/>
      </c>
      <c r="AZ15" s="7">
        <f>IF(Y15=1,IF(ISNUMBER(AN15),AN15,0),0)</f>
        <v/>
      </c>
      <c r="BA15" s="7">
        <f>IF(Y15=1,IF(ISNUMBER(AN15),1,0),0)</f>
        <v/>
      </c>
      <c r="BB15" s="7">
        <f>IF(Y15=1,IF(ISNUMBER(T15),T15,0),0)</f>
        <v/>
      </c>
      <c r="BC15" s="7">
        <f>IF(Y15=1,IF(ISNUMBER(T15),1,0),0)</f>
        <v/>
      </c>
      <c r="BD15" s="7">
        <f>IF(Y15=1,AQ15+ROW()/1E9,-1E9)</f>
        <v/>
      </c>
      <c r="BE15" s="7">
        <f>IF(Y15=1,AQ15+ROW()/1E9,1E9)</f>
        <v/>
      </c>
    </row>
    <row r="16">
      <c r="A16" s="16" t="n"/>
      <c r="B16" s="8">
        <f>IF($A16="","",BDP($A16,B$3))</f>
        <v/>
      </c>
      <c r="C16" s="8">
        <f>IF($A16="","",BDP($A16,C$3))</f>
        <v/>
      </c>
      <c r="D16" s="28">
        <f>IF($A16="","",BDP($A16,D$3))</f>
        <v/>
      </c>
      <c r="E16" s="29">
        <f>IF($A16="","",BDP($A16,E$3))</f>
        <v/>
      </c>
      <c r="F16" s="17">
        <f>IF($A16="","",BDP($A16,F$3))</f>
        <v/>
      </c>
      <c r="G16" s="8">
        <f>IF($A16="","",BDP($A16,G$3))</f>
        <v/>
      </c>
      <c r="H16" s="8">
        <f>IF($A16="","",BDP($A16,H$3))</f>
        <v/>
      </c>
      <c r="I16" s="8">
        <f>IF($A16="","",BDP($A16,I$3))</f>
        <v/>
      </c>
      <c r="J16" s="8">
        <f>IF($A16="","",BDP($A16,J$3))</f>
        <v/>
      </c>
      <c r="K16" s="8">
        <f>IF($A16="","",BDP($A16,K$3))</f>
        <v/>
      </c>
      <c r="L16" s="28">
        <f>IF($A16="","",BDP($A16,L$3))</f>
        <v/>
      </c>
      <c r="M16" s="28">
        <f>IF($A16="","",BDP($A16,M$3))</f>
        <v/>
      </c>
      <c r="N16" s="30">
        <f>IF($A16="","",BDP($A16,N$3))</f>
        <v/>
      </c>
      <c r="O16" s="31">
        <f>IF($A16="","",BDP($A16,O$3))</f>
        <v/>
      </c>
      <c r="P16" s="30">
        <f>IF($A16="","",BDH($A16,$N$3,'參數'!$B$5,'參數'!$B$5,"Days=A","Fill=P","Dates=H"))</f>
        <v/>
      </c>
      <c r="Q16" s="30">
        <f>IF($A16="","",BDH($A16,$N$3,'參數'!$B$6,'參數'!$B$6,"Days=A","Fill=P","Dates=H"))</f>
        <v/>
      </c>
      <c r="R16" s="30">
        <f>IF($A16="","",BDH($A16,$N$3,'參數'!$B$7,'參數'!$B$7,"Days=A","Fill=P","Dates=H"))</f>
        <v/>
      </c>
      <c r="S16" s="32">
        <f>IF($A16="","",IFERROR(INDEX('發行人'!$A$5:$A$44,MATCH(B16,'發行人'!$D$5:$D$44,0)),"未對應"))</f>
        <v/>
      </c>
      <c r="T16" s="24">
        <f>IF($A16="","",IFERROR(INDEX('發行人'!$G$5:$G$44,MATCH(B16,'發行人'!$D$5:$D$44,0))+0,""))</f>
        <v/>
      </c>
      <c r="U16" s="18">
        <f>IF(ISNUMBER(E16),YEARFRAC('參數'!$B$4,E16),"")</f>
        <v/>
      </c>
      <c r="V16" s="8">
        <f>IF(U16="","",IF(U16&lt;3,"1-3y",IF(U16&lt;5,"3-5y",IF(U16&lt;7,"5-7y",IF(U16&lt;10,"7-10y","10y+")))))</f>
        <v/>
      </c>
      <c r="W16" s="30">
        <f>IF($A16="","",IFERROR(INDEX('參數'!$B$24:$B$45,MATCH(G16,'參數'!$A$24:$A$45,0)),""))</f>
        <v/>
      </c>
      <c r="X16" s="8">
        <f>IF($A16="","",IFERROR(INDEX('參數'!$C$24:$C$45,MATCH(G16,'參數'!$A$24:$A$45,0)),""))</f>
        <v/>
      </c>
      <c r="Y16" s="30">
        <f>IF(AND(ISNUMBER(N16),ISNUMBER(O16),ISNUMBER(U16)),IF(AND(O16&gt;0,X16&lt;&gt;""),1,0),0)</f>
        <v/>
      </c>
      <c r="Z16" s="17">
        <f>IF(Y16=1,O16*N16,"")</f>
        <v/>
      </c>
      <c r="AA16" s="33">
        <f>IF(Y16=1,IF(ISNUMBER(Q16),N16-Q16,""),"")</f>
        <v/>
      </c>
      <c r="AB16" s="33">
        <f>IF(Y16=1,IF(AND(ISNUMBER(P16),ISNUMBER(R16)),R16*5/12-O16*(P16-R16),""),"")</f>
        <v/>
      </c>
      <c r="AC16" s="30">
        <f>IF(Y16=1,COUNTIFS($X$5:$X$404,X16,$V$5:$V$404,V16,$Y$5:$Y$404,1),"")</f>
        <v/>
      </c>
      <c r="AD16" s="30">
        <f>IF(Y16=1,IFERROR(IF(AC16&gt;='參數'!$B$9,INDEX('分群統計'!$G$13:$K$16,MATCH(X16,'分群統計'!$A$13:$A$16,0),MATCH(V16,'分群統計'!$G$12:$K$12,0)),INDEX('分群統計'!$I$5:$I$8,MATCH(X16,'分群統計'!$A$5:$A$8,0))),""),"")</f>
        <v/>
      </c>
      <c r="AE16" s="18">
        <f>IF(Y16=1,IFERROR(IF(AC16&gt;='參數'!$B$9,INDEX('分群統計'!$L$13:$P$16,MATCH(X16,'分群統計'!$A$13:$A$16,0),MATCH(V16,'分群統計'!$L$12:$P$12,0)),INDEX('分群統計'!$J$5:$J$8,MATCH(X16,'分群統計'!$A$5:$A$8,0))),""),"")</f>
        <v/>
      </c>
      <c r="AF16" s="31">
        <f>IF(ISNUMBER(AE16),IF(AE16&gt;0,MAX(-3,MIN(3,(N16-AD16)/AE16)),0),"")</f>
        <v/>
      </c>
      <c r="AG16" s="30">
        <f>IF(Y16=1,COUNTIFS($B$5:$B$404,B16,$Y$5:$Y$404,1),"")</f>
        <v/>
      </c>
      <c r="AH16" s="30">
        <f>IF(Y16=1,IFERROR(IF(ISNUMBER(INDEX('分群統計'!$G$20:$G$59,MATCH(B16,'分群統計'!$A$20:$A$59,0))),INDEX('分群統計'!$H$20:$H$59,MATCH(B16,'分群統計'!$A$20:$A$59,0))+INDEX('分群統計'!$G$20:$G$59,MATCH(B16,'分群統計'!$A$20:$A$59,0))*AU16,""),""),"")</f>
        <v/>
      </c>
      <c r="AI16" s="34">
        <f>IF(ISNUMBER(AH16),N16-AH16,"")</f>
        <v/>
      </c>
      <c r="AJ16" s="30">
        <f>IF(Y16=1,IFERROR(IF(ISNUMBER(INDEX('分群統計'!$G$5:$G$8,MATCH(X16,'分群統計'!$A$5:$A$8,0))),INDEX('分群統計'!$H$5:$H$8,MATCH(X16,'分群統計'!$A$5:$A$8,0))+INDEX('分群統計'!$G$5:$G$8,MATCH(X16,'分群統計'!$A$5:$A$8,0))*AU16,""),""),"")</f>
        <v/>
      </c>
      <c r="AK16" s="34">
        <f>IF(ISNUMBER(AJ16),N16-AJ16,"")</f>
        <v/>
      </c>
      <c r="AL16" s="21">
        <f>IF(ISNUMBER(AJ16),IF(AJ16&gt;0,AK16/AJ16,""),"")</f>
        <v/>
      </c>
      <c r="AM16" s="31">
        <f>IF(AY16&lt;&gt;1,"",IFERROR(IF(INDEX('分群統計'!$K$5:$K$8,MATCH(X16,'分群統計'!$A$5:$A$8,0))&lt;3,"",IF(INDEX('分群統計'!$M$5:$M$8,MATCH(X16,'分群統計'!$A$5:$A$8,0))&gt;0,MAX(-3,MIN(3,(AX16-INDEX('分群統計'!$L$5:$L$8,MATCH(X16,'分群統計'!$A$5:$A$8,0)))/INDEX('分群統計'!$M$5:$M$8,MATCH(X16,'分群統計'!$A$5:$A$8,0)))),0)),""))</f>
        <v/>
      </c>
      <c r="AN16" s="31">
        <f>IF(ISNUMBER(AB16),IF(Z16&gt;0,AB16/Z16*100,""),"")</f>
        <v/>
      </c>
      <c r="AO16" s="31">
        <f>IF(BA16&lt;&gt;1,"",IFERROR(IF(INDEX('分群統計'!$N$5:$N$8,MATCH(X16,'分群統計'!$A$5:$A$8,0))&lt;3,"",IF(INDEX('分群統計'!$P$5:$P$8,MATCH(X16,'分群統計'!$A$5:$A$8,0))&gt;0,MAX(-3,MIN(3,(AZ16-INDEX('分群統計'!$O$5:$O$8,MATCH(X16,'分群統計'!$A$5:$A$8,0)))/INDEX('分群統計'!$P$5:$P$8,MATCH(X16,'分群統計'!$A$5:$A$8,0)))),0)),""))</f>
        <v/>
      </c>
      <c r="AP16" s="31">
        <f>IF(BC16&lt;&gt;1,"",IFERROR(IF(INDEX('分群統計'!$Q$5:$Q$8,MATCH(X16,'分群統計'!$A$5:$A$8,0))&lt;3,"",IF(INDEX('分群統計'!$S$5:$S$8,MATCH(X16,'分群統計'!$A$5:$A$8,0))&gt;0,MAX(-3,MIN(3,(BB16-INDEX('分群統計'!$R$5:$R$8,MATCH(X16,'分群統計'!$A$5:$A$8,0)))/INDEX('分群統計'!$S$5:$S$8,MATCH(X16,'分群統計'!$A$5:$A$8,0)))),0)),""))</f>
        <v/>
      </c>
      <c r="AQ16" s="31">
        <f>IF(Y16=1,(IF(ISNUMBER(AF16),AF16,0)*'參數'!$B$13+IF(ISNUMBER(AM16),AM16,0)*'參數'!$B$14+IF(ISNUMBER(AO16),AO16,0)*'參數'!$B$15+IF(ISNUMBER(AP16),AP16,0)*'參數'!$B$16)/('參數'!$B$13+'參數'!$B$14+'參數'!$B$15+'參數'!$B$16),"")</f>
        <v/>
      </c>
      <c r="AR16" s="35">
        <f>IF(Y16=1,(SUMPRODUCT(($X$5:$X$404=X16)*($Y$5:$Y$404=1)*($BD$5:$BD$404&gt;BD16))+1)/COUNTIFS($X$5:$X$404,X16,$Y$5:$Y$404,1),"")</f>
        <v/>
      </c>
      <c r="AS16" s="8">
        <f>IF(ISNUMBER(AR16),IF(AR16&lt;='參數'!$B$18,"加碼候選",IF(AR16&gt;'參數'!$B$19,"減碼候選","")),"")</f>
        <v/>
      </c>
      <c r="AT16" s="7">
        <f>IF(Y16=1,N16,0)</f>
        <v/>
      </c>
      <c r="AU16" s="7">
        <f>IF(Y16=1,LN(O16),0)</f>
        <v/>
      </c>
      <c r="AV16" s="36">
        <f>IF(Y16=1,IF(ISNUMBER(F16),F16,0),0)</f>
        <v/>
      </c>
      <c r="AW16" s="7">
        <f>IF(Y16=1,Z16,0)</f>
        <v/>
      </c>
      <c r="AX16" s="7">
        <f>IF(Y16=1,IF(ISNUMBER(AL16),AL16,0),0)</f>
        <v/>
      </c>
      <c r="AY16" s="7">
        <f>IF(Y16=1,IF(ISNUMBER(AL16),1,0),0)</f>
        <v/>
      </c>
      <c r="AZ16" s="7">
        <f>IF(Y16=1,IF(ISNUMBER(AN16),AN16,0),0)</f>
        <v/>
      </c>
      <c r="BA16" s="7">
        <f>IF(Y16=1,IF(ISNUMBER(AN16),1,0),0)</f>
        <v/>
      </c>
      <c r="BB16" s="7">
        <f>IF(Y16=1,IF(ISNUMBER(T16),T16,0),0)</f>
        <v/>
      </c>
      <c r="BC16" s="7">
        <f>IF(Y16=1,IF(ISNUMBER(T16),1,0),0)</f>
        <v/>
      </c>
      <c r="BD16" s="7">
        <f>IF(Y16=1,AQ16+ROW()/1E9,-1E9)</f>
        <v/>
      </c>
      <c r="BE16" s="7">
        <f>IF(Y16=1,AQ16+ROW()/1E9,1E9)</f>
        <v/>
      </c>
    </row>
    <row r="17">
      <c r="A17" s="16" t="n"/>
      <c r="B17" s="8">
        <f>IF($A17="","",BDP($A17,B$3))</f>
        <v/>
      </c>
      <c r="C17" s="8">
        <f>IF($A17="","",BDP($A17,C$3))</f>
        <v/>
      </c>
      <c r="D17" s="28">
        <f>IF($A17="","",BDP($A17,D$3))</f>
        <v/>
      </c>
      <c r="E17" s="29">
        <f>IF($A17="","",BDP($A17,E$3))</f>
        <v/>
      </c>
      <c r="F17" s="17">
        <f>IF($A17="","",BDP($A17,F$3))</f>
        <v/>
      </c>
      <c r="G17" s="8">
        <f>IF($A17="","",BDP($A17,G$3))</f>
        <v/>
      </c>
      <c r="H17" s="8">
        <f>IF($A17="","",BDP($A17,H$3))</f>
        <v/>
      </c>
      <c r="I17" s="8">
        <f>IF($A17="","",BDP($A17,I$3))</f>
        <v/>
      </c>
      <c r="J17" s="8">
        <f>IF($A17="","",BDP($A17,J$3))</f>
        <v/>
      </c>
      <c r="K17" s="8">
        <f>IF($A17="","",BDP($A17,K$3))</f>
        <v/>
      </c>
      <c r="L17" s="28">
        <f>IF($A17="","",BDP($A17,L$3))</f>
        <v/>
      </c>
      <c r="M17" s="28">
        <f>IF($A17="","",BDP($A17,M$3))</f>
        <v/>
      </c>
      <c r="N17" s="30">
        <f>IF($A17="","",BDP($A17,N$3))</f>
        <v/>
      </c>
      <c r="O17" s="31">
        <f>IF($A17="","",BDP($A17,O$3))</f>
        <v/>
      </c>
      <c r="P17" s="30">
        <f>IF($A17="","",BDH($A17,$N$3,'參數'!$B$5,'參數'!$B$5,"Days=A","Fill=P","Dates=H"))</f>
        <v/>
      </c>
      <c r="Q17" s="30">
        <f>IF($A17="","",BDH($A17,$N$3,'參數'!$B$6,'參數'!$B$6,"Days=A","Fill=P","Dates=H"))</f>
        <v/>
      </c>
      <c r="R17" s="30">
        <f>IF($A17="","",BDH($A17,$N$3,'參數'!$B$7,'參數'!$B$7,"Days=A","Fill=P","Dates=H"))</f>
        <v/>
      </c>
      <c r="S17" s="32">
        <f>IF($A17="","",IFERROR(INDEX('發行人'!$A$5:$A$44,MATCH(B17,'發行人'!$D$5:$D$44,0)),"未對應"))</f>
        <v/>
      </c>
      <c r="T17" s="24">
        <f>IF($A17="","",IFERROR(INDEX('發行人'!$G$5:$G$44,MATCH(B17,'發行人'!$D$5:$D$44,0))+0,""))</f>
        <v/>
      </c>
      <c r="U17" s="18">
        <f>IF(ISNUMBER(E17),YEARFRAC('參數'!$B$4,E17),"")</f>
        <v/>
      </c>
      <c r="V17" s="8">
        <f>IF(U17="","",IF(U17&lt;3,"1-3y",IF(U17&lt;5,"3-5y",IF(U17&lt;7,"5-7y",IF(U17&lt;10,"7-10y","10y+")))))</f>
        <v/>
      </c>
      <c r="W17" s="30">
        <f>IF($A17="","",IFERROR(INDEX('參數'!$B$24:$B$45,MATCH(G17,'參數'!$A$24:$A$45,0)),""))</f>
        <v/>
      </c>
      <c r="X17" s="8">
        <f>IF($A17="","",IFERROR(INDEX('參數'!$C$24:$C$45,MATCH(G17,'參數'!$A$24:$A$45,0)),""))</f>
        <v/>
      </c>
      <c r="Y17" s="30">
        <f>IF(AND(ISNUMBER(N17),ISNUMBER(O17),ISNUMBER(U17)),IF(AND(O17&gt;0,X17&lt;&gt;""),1,0),0)</f>
        <v/>
      </c>
      <c r="Z17" s="17">
        <f>IF(Y17=1,O17*N17,"")</f>
        <v/>
      </c>
      <c r="AA17" s="33">
        <f>IF(Y17=1,IF(ISNUMBER(Q17),N17-Q17,""),"")</f>
        <v/>
      </c>
      <c r="AB17" s="33">
        <f>IF(Y17=1,IF(AND(ISNUMBER(P17),ISNUMBER(R17)),R17*5/12-O17*(P17-R17),""),"")</f>
        <v/>
      </c>
      <c r="AC17" s="30">
        <f>IF(Y17=1,COUNTIFS($X$5:$X$404,X17,$V$5:$V$404,V17,$Y$5:$Y$404,1),"")</f>
        <v/>
      </c>
      <c r="AD17" s="30">
        <f>IF(Y17=1,IFERROR(IF(AC17&gt;='參數'!$B$9,INDEX('分群統計'!$G$13:$K$16,MATCH(X17,'分群統計'!$A$13:$A$16,0),MATCH(V17,'分群統計'!$G$12:$K$12,0)),INDEX('分群統計'!$I$5:$I$8,MATCH(X17,'分群統計'!$A$5:$A$8,0))),""),"")</f>
        <v/>
      </c>
      <c r="AE17" s="18">
        <f>IF(Y17=1,IFERROR(IF(AC17&gt;='參數'!$B$9,INDEX('分群統計'!$L$13:$P$16,MATCH(X17,'分群統計'!$A$13:$A$16,0),MATCH(V17,'分群統計'!$L$12:$P$12,0)),INDEX('分群統計'!$J$5:$J$8,MATCH(X17,'分群統計'!$A$5:$A$8,0))),""),"")</f>
        <v/>
      </c>
      <c r="AF17" s="31">
        <f>IF(ISNUMBER(AE17),IF(AE17&gt;0,MAX(-3,MIN(3,(N17-AD17)/AE17)),0),"")</f>
        <v/>
      </c>
      <c r="AG17" s="30">
        <f>IF(Y17=1,COUNTIFS($B$5:$B$404,B17,$Y$5:$Y$404,1),"")</f>
        <v/>
      </c>
      <c r="AH17" s="30">
        <f>IF(Y17=1,IFERROR(IF(ISNUMBER(INDEX('分群統計'!$G$20:$G$59,MATCH(B17,'分群統計'!$A$20:$A$59,0))),INDEX('分群統計'!$H$20:$H$59,MATCH(B17,'分群統計'!$A$20:$A$59,0))+INDEX('分群統計'!$G$20:$G$59,MATCH(B17,'分群統計'!$A$20:$A$59,0))*AU17,""),""),"")</f>
        <v/>
      </c>
      <c r="AI17" s="34">
        <f>IF(ISNUMBER(AH17),N17-AH17,"")</f>
        <v/>
      </c>
      <c r="AJ17" s="30">
        <f>IF(Y17=1,IFERROR(IF(ISNUMBER(INDEX('分群統計'!$G$5:$G$8,MATCH(X17,'分群統計'!$A$5:$A$8,0))),INDEX('分群統計'!$H$5:$H$8,MATCH(X17,'分群統計'!$A$5:$A$8,0))+INDEX('分群統計'!$G$5:$G$8,MATCH(X17,'分群統計'!$A$5:$A$8,0))*AU17,""),""),"")</f>
        <v/>
      </c>
      <c r="AK17" s="34">
        <f>IF(ISNUMBER(AJ17),N17-AJ17,"")</f>
        <v/>
      </c>
      <c r="AL17" s="21">
        <f>IF(ISNUMBER(AJ17),IF(AJ17&gt;0,AK17/AJ17,""),"")</f>
        <v/>
      </c>
      <c r="AM17" s="31">
        <f>IF(AY17&lt;&gt;1,"",IFERROR(IF(INDEX('分群統計'!$K$5:$K$8,MATCH(X17,'分群統計'!$A$5:$A$8,0))&lt;3,"",IF(INDEX('分群統計'!$M$5:$M$8,MATCH(X17,'分群統計'!$A$5:$A$8,0))&gt;0,MAX(-3,MIN(3,(AX17-INDEX('分群統計'!$L$5:$L$8,MATCH(X17,'分群統計'!$A$5:$A$8,0)))/INDEX('分群統計'!$M$5:$M$8,MATCH(X17,'分群統計'!$A$5:$A$8,0)))),0)),""))</f>
        <v/>
      </c>
      <c r="AN17" s="31">
        <f>IF(ISNUMBER(AB17),IF(Z17&gt;0,AB17/Z17*100,""),"")</f>
        <v/>
      </c>
      <c r="AO17" s="31">
        <f>IF(BA17&lt;&gt;1,"",IFERROR(IF(INDEX('分群統計'!$N$5:$N$8,MATCH(X17,'分群統計'!$A$5:$A$8,0))&lt;3,"",IF(INDEX('分群統計'!$P$5:$P$8,MATCH(X17,'分群統計'!$A$5:$A$8,0))&gt;0,MAX(-3,MIN(3,(AZ17-INDEX('分群統計'!$O$5:$O$8,MATCH(X17,'分群統計'!$A$5:$A$8,0)))/INDEX('分群統計'!$P$5:$P$8,MATCH(X17,'分群統計'!$A$5:$A$8,0)))),0)),""))</f>
        <v/>
      </c>
      <c r="AP17" s="31">
        <f>IF(BC17&lt;&gt;1,"",IFERROR(IF(INDEX('分群統計'!$Q$5:$Q$8,MATCH(X17,'分群統計'!$A$5:$A$8,0))&lt;3,"",IF(INDEX('分群統計'!$S$5:$S$8,MATCH(X17,'分群統計'!$A$5:$A$8,0))&gt;0,MAX(-3,MIN(3,(BB17-INDEX('分群統計'!$R$5:$R$8,MATCH(X17,'分群統計'!$A$5:$A$8,0)))/INDEX('分群統計'!$S$5:$S$8,MATCH(X17,'分群統計'!$A$5:$A$8,0)))),0)),""))</f>
        <v/>
      </c>
      <c r="AQ17" s="31">
        <f>IF(Y17=1,(IF(ISNUMBER(AF17),AF17,0)*'參數'!$B$13+IF(ISNUMBER(AM17),AM17,0)*'參數'!$B$14+IF(ISNUMBER(AO17),AO17,0)*'參數'!$B$15+IF(ISNUMBER(AP17),AP17,0)*'參數'!$B$16)/('參數'!$B$13+'參數'!$B$14+'參數'!$B$15+'參數'!$B$16),"")</f>
        <v/>
      </c>
      <c r="AR17" s="35">
        <f>IF(Y17=1,(SUMPRODUCT(($X$5:$X$404=X17)*($Y$5:$Y$404=1)*($BD$5:$BD$404&gt;BD17))+1)/COUNTIFS($X$5:$X$404,X17,$Y$5:$Y$404,1),"")</f>
        <v/>
      </c>
      <c r="AS17" s="8">
        <f>IF(ISNUMBER(AR17),IF(AR17&lt;='參數'!$B$18,"加碼候選",IF(AR17&gt;'參數'!$B$19,"減碼候選","")),"")</f>
        <v/>
      </c>
      <c r="AT17" s="7">
        <f>IF(Y17=1,N17,0)</f>
        <v/>
      </c>
      <c r="AU17" s="7">
        <f>IF(Y17=1,LN(O17),0)</f>
        <v/>
      </c>
      <c r="AV17" s="36">
        <f>IF(Y17=1,IF(ISNUMBER(F17),F17,0),0)</f>
        <v/>
      </c>
      <c r="AW17" s="7">
        <f>IF(Y17=1,Z17,0)</f>
        <v/>
      </c>
      <c r="AX17" s="7">
        <f>IF(Y17=1,IF(ISNUMBER(AL17),AL17,0),0)</f>
        <v/>
      </c>
      <c r="AY17" s="7">
        <f>IF(Y17=1,IF(ISNUMBER(AL17),1,0),0)</f>
        <v/>
      </c>
      <c r="AZ17" s="7">
        <f>IF(Y17=1,IF(ISNUMBER(AN17),AN17,0),0)</f>
        <v/>
      </c>
      <c r="BA17" s="7">
        <f>IF(Y17=1,IF(ISNUMBER(AN17),1,0),0)</f>
        <v/>
      </c>
      <c r="BB17" s="7">
        <f>IF(Y17=1,IF(ISNUMBER(T17),T17,0),0)</f>
        <v/>
      </c>
      <c r="BC17" s="7">
        <f>IF(Y17=1,IF(ISNUMBER(T17),1,0),0)</f>
        <v/>
      </c>
      <c r="BD17" s="7">
        <f>IF(Y17=1,AQ17+ROW()/1E9,-1E9)</f>
        <v/>
      </c>
      <c r="BE17" s="7">
        <f>IF(Y17=1,AQ17+ROW()/1E9,1E9)</f>
        <v/>
      </c>
    </row>
    <row r="18">
      <c r="A18" s="16" t="n"/>
      <c r="B18" s="8">
        <f>IF($A18="","",BDP($A18,B$3))</f>
        <v/>
      </c>
      <c r="C18" s="8">
        <f>IF($A18="","",BDP($A18,C$3))</f>
        <v/>
      </c>
      <c r="D18" s="28">
        <f>IF($A18="","",BDP($A18,D$3))</f>
        <v/>
      </c>
      <c r="E18" s="29">
        <f>IF($A18="","",BDP($A18,E$3))</f>
        <v/>
      </c>
      <c r="F18" s="17">
        <f>IF($A18="","",BDP($A18,F$3))</f>
        <v/>
      </c>
      <c r="G18" s="8">
        <f>IF($A18="","",BDP($A18,G$3))</f>
        <v/>
      </c>
      <c r="H18" s="8">
        <f>IF($A18="","",BDP($A18,H$3))</f>
        <v/>
      </c>
      <c r="I18" s="8">
        <f>IF($A18="","",BDP($A18,I$3))</f>
        <v/>
      </c>
      <c r="J18" s="8">
        <f>IF($A18="","",BDP($A18,J$3))</f>
        <v/>
      </c>
      <c r="K18" s="8">
        <f>IF($A18="","",BDP($A18,K$3))</f>
        <v/>
      </c>
      <c r="L18" s="28">
        <f>IF($A18="","",BDP($A18,L$3))</f>
        <v/>
      </c>
      <c r="M18" s="28">
        <f>IF($A18="","",BDP($A18,M$3))</f>
        <v/>
      </c>
      <c r="N18" s="30">
        <f>IF($A18="","",BDP($A18,N$3))</f>
        <v/>
      </c>
      <c r="O18" s="31">
        <f>IF($A18="","",BDP($A18,O$3))</f>
        <v/>
      </c>
      <c r="P18" s="30">
        <f>IF($A18="","",BDH($A18,$N$3,'參數'!$B$5,'參數'!$B$5,"Days=A","Fill=P","Dates=H"))</f>
        <v/>
      </c>
      <c r="Q18" s="30">
        <f>IF($A18="","",BDH($A18,$N$3,'參數'!$B$6,'參數'!$B$6,"Days=A","Fill=P","Dates=H"))</f>
        <v/>
      </c>
      <c r="R18" s="30">
        <f>IF($A18="","",BDH($A18,$N$3,'參數'!$B$7,'參數'!$B$7,"Days=A","Fill=P","Dates=H"))</f>
        <v/>
      </c>
      <c r="S18" s="32">
        <f>IF($A18="","",IFERROR(INDEX('發行人'!$A$5:$A$44,MATCH(B18,'發行人'!$D$5:$D$44,0)),"未對應"))</f>
        <v/>
      </c>
      <c r="T18" s="24">
        <f>IF($A18="","",IFERROR(INDEX('發行人'!$G$5:$G$44,MATCH(B18,'發行人'!$D$5:$D$44,0))+0,""))</f>
        <v/>
      </c>
      <c r="U18" s="18">
        <f>IF(ISNUMBER(E18),YEARFRAC('參數'!$B$4,E18),"")</f>
        <v/>
      </c>
      <c r="V18" s="8">
        <f>IF(U18="","",IF(U18&lt;3,"1-3y",IF(U18&lt;5,"3-5y",IF(U18&lt;7,"5-7y",IF(U18&lt;10,"7-10y","10y+")))))</f>
        <v/>
      </c>
      <c r="W18" s="30">
        <f>IF($A18="","",IFERROR(INDEX('參數'!$B$24:$B$45,MATCH(G18,'參數'!$A$24:$A$45,0)),""))</f>
        <v/>
      </c>
      <c r="X18" s="8">
        <f>IF($A18="","",IFERROR(INDEX('參數'!$C$24:$C$45,MATCH(G18,'參數'!$A$24:$A$45,0)),""))</f>
        <v/>
      </c>
      <c r="Y18" s="30">
        <f>IF(AND(ISNUMBER(N18),ISNUMBER(O18),ISNUMBER(U18)),IF(AND(O18&gt;0,X18&lt;&gt;""),1,0),0)</f>
        <v/>
      </c>
      <c r="Z18" s="17">
        <f>IF(Y18=1,O18*N18,"")</f>
        <v/>
      </c>
      <c r="AA18" s="33">
        <f>IF(Y18=1,IF(ISNUMBER(Q18),N18-Q18,""),"")</f>
        <v/>
      </c>
      <c r="AB18" s="33">
        <f>IF(Y18=1,IF(AND(ISNUMBER(P18),ISNUMBER(R18)),R18*5/12-O18*(P18-R18),""),"")</f>
        <v/>
      </c>
      <c r="AC18" s="30">
        <f>IF(Y18=1,COUNTIFS($X$5:$X$404,X18,$V$5:$V$404,V18,$Y$5:$Y$404,1),"")</f>
        <v/>
      </c>
      <c r="AD18" s="30">
        <f>IF(Y18=1,IFERROR(IF(AC18&gt;='參數'!$B$9,INDEX('分群統計'!$G$13:$K$16,MATCH(X18,'分群統計'!$A$13:$A$16,0),MATCH(V18,'分群統計'!$G$12:$K$12,0)),INDEX('分群統計'!$I$5:$I$8,MATCH(X18,'分群統計'!$A$5:$A$8,0))),""),"")</f>
        <v/>
      </c>
      <c r="AE18" s="18">
        <f>IF(Y18=1,IFERROR(IF(AC18&gt;='參數'!$B$9,INDEX('分群統計'!$L$13:$P$16,MATCH(X18,'分群統計'!$A$13:$A$16,0),MATCH(V18,'分群統計'!$L$12:$P$12,0)),INDEX('分群統計'!$J$5:$J$8,MATCH(X18,'分群統計'!$A$5:$A$8,0))),""),"")</f>
        <v/>
      </c>
      <c r="AF18" s="31">
        <f>IF(ISNUMBER(AE18),IF(AE18&gt;0,MAX(-3,MIN(3,(N18-AD18)/AE18)),0),"")</f>
        <v/>
      </c>
      <c r="AG18" s="30">
        <f>IF(Y18=1,COUNTIFS($B$5:$B$404,B18,$Y$5:$Y$404,1),"")</f>
        <v/>
      </c>
      <c r="AH18" s="30">
        <f>IF(Y18=1,IFERROR(IF(ISNUMBER(INDEX('分群統計'!$G$20:$G$59,MATCH(B18,'分群統計'!$A$20:$A$59,0))),INDEX('分群統計'!$H$20:$H$59,MATCH(B18,'分群統計'!$A$20:$A$59,0))+INDEX('分群統計'!$G$20:$G$59,MATCH(B18,'分群統計'!$A$20:$A$59,0))*AU18,""),""),"")</f>
        <v/>
      </c>
      <c r="AI18" s="34">
        <f>IF(ISNUMBER(AH18),N18-AH18,"")</f>
        <v/>
      </c>
      <c r="AJ18" s="30">
        <f>IF(Y18=1,IFERROR(IF(ISNUMBER(INDEX('分群統計'!$G$5:$G$8,MATCH(X18,'分群統計'!$A$5:$A$8,0))),INDEX('分群統計'!$H$5:$H$8,MATCH(X18,'分群統計'!$A$5:$A$8,0))+INDEX('分群統計'!$G$5:$G$8,MATCH(X18,'分群統計'!$A$5:$A$8,0))*AU18,""),""),"")</f>
        <v/>
      </c>
      <c r="AK18" s="34">
        <f>IF(ISNUMBER(AJ18),N18-AJ18,"")</f>
        <v/>
      </c>
      <c r="AL18" s="21">
        <f>IF(ISNUMBER(AJ18),IF(AJ18&gt;0,AK18/AJ18,""),"")</f>
        <v/>
      </c>
      <c r="AM18" s="31">
        <f>IF(AY18&lt;&gt;1,"",IFERROR(IF(INDEX('分群統計'!$K$5:$K$8,MATCH(X18,'分群統計'!$A$5:$A$8,0))&lt;3,"",IF(INDEX('分群統計'!$M$5:$M$8,MATCH(X18,'分群統計'!$A$5:$A$8,0))&gt;0,MAX(-3,MIN(3,(AX18-INDEX('分群統計'!$L$5:$L$8,MATCH(X18,'分群統計'!$A$5:$A$8,0)))/INDEX('分群統計'!$M$5:$M$8,MATCH(X18,'分群統計'!$A$5:$A$8,0)))),0)),""))</f>
        <v/>
      </c>
      <c r="AN18" s="31">
        <f>IF(ISNUMBER(AB18),IF(Z18&gt;0,AB18/Z18*100,""),"")</f>
        <v/>
      </c>
      <c r="AO18" s="31">
        <f>IF(BA18&lt;&gt;1,"",IFERROR(IF(INDEX('分群統計'!$N$5:$N$8,MATCH(X18,'分群統計'!$A$5:$A$8,0))&lt;3,"",IF(INDEX('分群統計'!$P$5:$P$8,MATCH(X18,'分群統計'!$A$5:$A$8,0))&gt;0,MAX(-3,MIN(3,(AZ18-INDEX('分群統計'!$O$5:$O$8,MATCH(X18,'分群統計'!$A$5:$A$8,0)))/INDEX('分群統計'!$P$5:$P$8,MATCH(X18,'分群統計'!$A$5:$A$8,0)))),0)),""))</f>
        <v/>
      </c>
      <c r="AP18" s="31">
        <f>IF(BC18&lt;&gt;1,"",IFERROR(IF(INDEX('分群統計'!$Q$5:$Q$8,MATCH(X18,'分群統計'!$A$5:$A$8,0))&lt;3,"",IF(INDEX('分群統計'!$S$5:$S$8,MATCH(X18,'分群統計'!$A$5:$A$8,0))&gt;0,MAX(-3,MIN(3,(BB18-INDEX('分群統計'!$R$5:$R$8,MATCH(X18,'分群統計'!$A$5:$A$8,0)))/INDEX('分群統計'!$S$5:$S$8,MATCH(X18,'分群統計'!$A$5:$A$8,0)))),0)),""))</f>
        <v/>
      </c>
      <c r="AQ18" s="31">
        <f>IF(Y18=1,(IF(ISNUMBER(AF18),AF18,0)*'參數'!$B$13+IF(ISNUMBER(AM18),AM18,0)*'參數'!$B$14+IF(ISNUMBER(AO18),AO18,0)*'參數'!$B$15+IF(ISNUMBER(AP18),AP18,0)*'參數'!$B$16)/('參數'!$B$13+'參數'!$B$14+'參數'!$B$15+'參數'!$B$16),"")</f>
        <v/>
      </c>
      <c r="AR18" s="35">
        <f>IF(Y18=1,(SUMPRODUCT(($X$5:$X$404=X18)*($Y$5:$Y$404=1)*($BD$5:$BD$404&gt;BD18))+1)/COUNTIFS($X$5:$X$404,X18,$Y$5:$Y$404,1),"")</f>
        <v/>
      </c>
      <c r="AS18" s="8">
        <f>IF(ISNUMBER(AR18),IF(AR18&lt;='參數'!$B$18,"加碼候選",IF(AR18&gt;'參數'!$B$19,"減碼候選","")),"")</f>
        <v/>
      </c>
      <c r="AT18" s="7">
        <f>IF(Y18=1,N18,0)</f>
        <v/>
      </c>
      <c r="AU18" s="7">
        <f>IF(Y18=1,LN(O18),0)</f>
        <v/>
      </c>
      <c r="AV18" s="36">
        <f>IF(Y18=1,IF(ISNUMBER(F18),F18,0),0)</f>
        <v/>
      </c>
      <c r="AW18" s="7">
        <f>IF(Y18=1,Z18,0)</f>
        <v/>
      </c>
      <c r="AX18" s="7">
        <f>IF(Y18=1,IF(ISNUMBER(AL18),AL18,0),0)</f>
        <v/>
      </c>
      <c r="AY18" s="7">
        <f>IF(Y18=1,IF(ISNUMBER(AL18),1,0),0)</f>
        <v/>
      </c>
      <c r="AZ18" s="7">
        <f>IF(Y18=1,IF(ISNUMBER(AN18),AN18,0),0)</f>
        <v/>
      </c>
      <c r="BA18" s="7">
        <f>IF(Y18=1,IF(ISNUMBER(AN18),1,0),0)</f>
        <v/>
      </c>
      <c r="BB18" s="7">
        <f>IF(Y18=1,IF(ISNUMBER(T18),T18,0),0)</f>
        <v/>
      </c>
      <c r="BC18" s="7">
        <f>IF(Y18=1,IF(ISNUMBER(T18),1,0),0)</f>
        <v/>
      </c>
      <c r="BD18" s="7">
        <f>IF(Y18=1,AQ18+ROW()/1E9,-1E9)</f>
        <v/>
      </c>
      <c r="BE18" s="7">
        <f>IF(Y18=1,AQ18+ROW()/1E9,1E9)</f>
        <v/>
      </c>
    </row>
    <row r="19">
      <c r="A19" s="16" t="n"/>
      <c r="B19" s="8">
        <f>IF($A19="","",BDP($A19,B$3))</f>
        <v/>
      </c>
      <c r="C19" s="8">
        <f>IF($A19="","",BDP($A19,C$3))</f>
        <v/>
      </c>
      <c r="D19" s="28">
        <f>IF($A19="","",BDP($A19,D$3))</f>
        <v/>
      </c>
      <c r="E19" s="29">
        <f>IF($A19="","",BDP($A19,E$3))</f>
        <v/>
      </c>
      <c r="F19" s="17">
        <f>IF($A19="","",BDP($A19,F$3))</f>
        <v/>
      </c>
      <c r="G19" s="8">
        <f>IF($A19="","",BDP($A19,G$3))</f>
        <v/>
      </c>
      <c r="H19" s="8">
        <f>IF($A19="","",BDP($A19,H$3))</f>
        <v/>
      </c>
      <c r="I19" s="8">
        <f>IF($A19="","",BDP($A19,I$3))</f>
        <v/>
      </c>
      <c r="J19" s="8">
        <f>IF($A19="","",BDP($A19,J$3))</f>
        <v/>
      </c>
      <c r="K19" s="8">
        <f>IF($A19="","",BDP($A19,K$3))</f>
        <v/>
      </c>
      <c r="L19" s="28">
        <f>IF($A19="","",BDP($A19,L$3))</f>
        <v/>
      </c>
      <c r="M19" s="28">
        <f>IF($A19="","",BDP($A19,M$3))</f>
        <v/>
      </c>
      <c r="N19" s="30">
        <f>IF($A19="","",BDP($A19,N$3))</f>
        <v/>
      </c>
      <c r="O19" s="31">
        <f>IF($A19="","",BDP($A19,O$3))</f>
        <v/>
      </c>
      <c r="P19" s="30">
        <f>IF($A19="","",BDH($A19,$N$3,'參數'!$B$5,'參數'!$B$5,"Days=A","Fill=P","Dates=H"))</f>
        <v/>
      </c>
      <c r="Q19" s="30">
        <f>IF($A19="","",BDH($A19,$N$3,'參數'!$B$6,'參數'!$B$6,"Days=A","Fill=P","Dates=H"))</f>
        <v/>
      </c>
      <c r="R19" s="30">
        <f>IF($A19="","",BDH($A19,$N$3,'參數'!$B$7,'參數'!$B$7,"Days=A","Fill=P","Dates=H"))</f>
        <v/>
      </c>
      <c r="S19" s="32">
        <f>IF($A19="","",IFERROR(INDEX('發行人'!$A$5:$A$44,MATCH(B19,'發行人'!$D$5:$D$44,0)),"未對應"))</f>
        <v/>
      </c>
      <c r="T19" s="24">
        <f>IF($A19="","",IFERROR(INDEX('發行人'!$G$5:$G$44,MATCH(B19,'發行人'!$D$5:$D$44,0))+0,""))</f>
        <v/>
      </c>
      <c r="U19" s="18">
        <f>IF(ISNUMBER(E19),YEARFRAC('參數'!$B$4,E19),"")</f>
        <v/>
      </c>
      <c r="V19" s="8">
        <f>IF(U19="","",IF(U19&lt;3,"1-3y",IF(U19&lt;5,"3-5y",IF(U19&lt;7,"5-7y",IF(U19&lt;10,"7-10y","10y+")))))</f>
        <v/>
      </c>
      <c r="W19" s="30">
        <f>IF($A19="","",IFERROR(INDEX('參數'!$B$24:$B$45,MATCH(G19,'參數'!$A$24:$A$45,0)),""))</f>
        <v/>
      </c>
      <c r="X19" s="8">
        <f>IF($A19="","",IFERROR(INDEX('參數'!$C$24:$C$45,MATCH(G19,'參數'!$A$24:$A$45,0)),""))</f>
        <v/>
      </c>
      <c r="Y19" s="30">
        <f>IF(AND(ISNUMBER(N19),ISNUMBER(O19),ISNUMBER(U19)),IF(AND(O19&gt;0,X19&lt;&gt;""),1,0),0)</f>
        <v/>
      </c>
      <c r="Z19" s="17">
        <f>IF(Y19=1,O19*N19,"")</f>
        <v/>
      </c>
      <c r="AA19" s="33">
        <f>IF(Y19=1,IF(ISNUMBER(Q19),N19-Q19,""),"")</f>
        <v/>
      </c>
      <c r="AB19" s="33">
        <f>IF(Y19=1,IF(AND(ISNUMBER(P19),ISNUMBER(R19)),R19*5/12-O19*(P19-R19),""),"")</f>
        <v/>
      </c>
      <c r="AC19" s="30">
        <f>IF(Y19=1,COUNTIFS($X$5:$X$404,X19,$V$5:$V$404,V19,$Y$5:$Y$404,1),"")</f>
        <v/>
      </c>
      <c r="AD19" s="30">
        <f>IF(Y19=1,IFERROR(IF(AC19&gt;='參數'!$B$9,INDEX('分群統計'!$G$13:$K$16,MATCH(X19,'分群統計'!$A$13:$A$16,0),MATCH(V19,'分群統計'!$G$12:$K$12,0)),INDEX('分群統計'!$I$5:$I$8,MATCH(X19,'分群統計'!$A$5:$A$8,0))),""),"")</f>
        <v/>
      </c>
      <c r="AE19" s="18">
        <f>IF(Y19=1,IFERROR(IF(AC19&gt;='參數'!$B$9,INDEX('分群統計'!$L$13:$P$16,MATCH(X19,'分群統計'!$A$13:$A$16,0),MATCH(V19,'分群統計'!$L$12:$P$12,0)),INDEX('分群統計'!$J$5:$J$8,MATCH(X19,'分群統計'!$A$5:$A$8,0))),""),"")</f>
        <v/>
      </c>
      <c r="AF19" s="31">
        <f>IF(ISNUMBER(AE19),IF(AE19&gt;0,MAX(-3,MIN(3,(N19-AD19)/AE19)),0),"")</f>
        <v/>
      </c>
      <c r="AG19" s="30">
        <f>IF(Y19=1,COUNTIFS($B$5:$B$404,B19,$Y$5:$Y$404,1),"")</f>
        <v/>
      </c>
      <c r="AH19" s="30">
        <f>IF(Y19=1,IFERROR(IF(ISNUMBER(INDEX('分群統計'!$G$20:$G$59,MATCH(B19,'分群統計'!$A$20:$A$59,0))),INDEX('分群統計'!$H$20:$H$59,MATCH(B19,'分群統計'!$A$20:$A$59,0))+INDEX('分群統計'!$G$20:$G$59,MATCH(B19,'分群統計'!$A$20:$A$59,0))*AU19,""),""),"")</f>
        <v/>
      </c>
      <c r="AI19" s="34">
        <f>IF(ISNUMBER(AH19),N19-AH19,"")</f>
        <v/>
      </c>
      <c r="AJ19" s="30">
        <f>IF(Y19=1,IFERROR(IF(ISNUMBER(INDEX('分群統計'!$G$5:$G$8,MATCH(X19,'分群統計'!$A$5:$A$8,0))),INDEX('分群統計'!$H$5:$H$8,MATCH(X19,'分群統計'!$A$5:$A$8,0))+INDEX('分群統計'!$G$5:$G$8,MATCH(X19,'分群統計'!$A$5:$A$8,0))*AU19,""),""),"")</f>
        <v/>
      </c>
      <c r="AK19" s="34">
        <f>IF(ISNUMBER(AJ19),N19-AJ19,"")</f>
        <v/>
      </c>
      <c r="AL19" s="21">
        <f>IF(ISNUMBER(AJ19),IF(AJ19&gt;0,AK19/AJ19,""),"")</f>
        <v/>
      </c>
      <c r="AM19" s="31">
        <f>IF(AY19&lt;&gt;1,"",IFERROR(IF(INDEX('分群統計'!$K$5:$K$8,MATCH(X19,'分群統計'!$A$5:$A$8,0))&lt;3,"",IF(INDEX('分群統計'!$M$5:$M$8,MATCH(X19,'分群統計'!$A$5:$A$8,0))&gt;0,MAX(-3,MIN(3,(AX19-INDEX('分群統計'!$L$5:$L$8,MATCH(X19,'分群統計'!$A$5:$A$8,0)))/INDEX('分群統計'!$M$5:$M$8,MATCH(X19,'分群統計'!$A$5:$A$8,0)))),0)),""))</f>
        <v/>
      </c>
      <c r="AN19" s="31">
        <f>IF(ISNUMBER(AB19),IF(Z19&gt;0,AB19/Z19*100,""),"")</f>
        <v/>
      </c>
      <c r="AO19" s="31">
        <f>IF(BA19&lt;&gt;1,"",IFERROR(IF(INDEX('分群統計'!$N$5:$N$8,MATCH(X19,'分群統計'!$A$5:$A$8,0))&lt;3,"",IF(INDEX('分群統計'!$P$5:$P$8,MATCH(X19,'分群統計'!$A$5:$A$8,0))&gt;0,MAX(-3,MIN(3,(AZ19-INDEX('分群統計'!$O$5:$O$8,MATCH(X19,'分群統計'!$A$5:$A$8,0)))/INDEX('分群統計'!$P$5:$P$8,MATCH(X19,'分群統計'!$A$5:$A$8,0)))),0)),""))</f>
        <v/>
      </c>
      <c r="AP19" s="31">
        <f>IF(BC19&lt;&gt;1,"",IFERROR(IF(INDEX('分群統計'!$Q$5:$Q$8,MATCH(X19,'分群統計'!$A$5:$A$8,0))&lt;3,"",IF(INDEX('分群統計'!$S$5:$S$8,MATCH(X19,'分群統計'!$A$5:$A$8,0))&gt;0,MAX(-3,MIN(3,(BB19-INDEX('分群統計'!$R$5:$R$8,MATCH(X19,'分群統計'!$A$5:$A$8,0)))/INDEX('分群統計'!$S$5:$S$8,MATCH(X19,'分群統計'!$A$5:$A$8,0)))),0)),""))</f>
        <v/>
      </c>
      <c r="AQ19" s="31">
        <f>IF(Y19=1,(IF(ISNUMBER(AF19),AF19,0)*'參數'!$B$13+IF(ISNUMBER(AM19),AM19,0)*'參數'!$B$14+IF(ISNUMBER(AO19),AO19,0)*'參數'!$B$15+IF(ISNUMBER(AP19),AP19,0)*'參數'!$B$16)/('參數'!$B$13+'參數'!$B$14+'參數'!$B$15+'參數'!$B$16),"")</f>
        <v/>
      </c>
      <c r="AR19" s="35">
        <f>IF(Y19=1,(SUMPRODUCT(($X$5:$X$404=X19)*($Y$5:$Y$404=1)*($BD$5:$BD$404&gt;BD19))+1)/COUNTIFS($X$5:$X$404,X19,$Y$5:$Y$404,1),"")</f>
        <v/>
      </c>
      <c r="AS19" s="8">
        <f>IF(ISNUMBER(AR19),IF(AR19&lt;='參數'!$B$18,"加碼候選",IF(AR19&gt;'參數'!$B$19,"減碼候選","")),"")</f>
        <v/>
      </c>
      <c r="AT19" s="7">
        <f>IF(Y19=1,N19,0)</f>
        <v/>
      </c>
      <c r="AU19" s="7">
        <f>IF(Y19=1,LN(O19),0)</f>
        <v/>
      </c>
      <c r="AV19" s="36">
        <f>IF(Y19=1,IF(ISNUMBER(F19),F19,0),0)</f>
        <v/>
      </c>
      <c r="AW19" s="7">
        <f>IF(Y19=1,Z19,0)</f>
        <v/>
      </c>
      <c r="AX19" s="7">
        <f>IF(Y19=1,IF(ISNUMBER(AL19),AL19,0),0)</f>
        <v/>
      </c>
      <c r="AY19" s="7">
        <f>IF(Y19=1,IF(ISNUMBER(AL19),1,0),0)</f>
        <v/>
      </c>
      <c r="AZ19" s="7">
        <f>IF(Y19=1,IF(ISNUMBER(AN19),AN19,0),0)</f>
        <v/>
      </c>
      <c r="BA19" s="7">
        <f>IF(Y19=1,IF(ISNUMBER(AN19),1,0),0)</f>
        <v/>
      </c>
      <c r="BB19" s="7">
        <f>IF(Y19=1,IF(ISNUMBER(T19),T19,0),0)</f>
        <v/>
      </c>
      <c r="BC19" s="7">
        <f>IF(Y19=1,IF(ISNUMBER(T19),1,0),0)</f>
        <v/>
      </c>
      <c r="BD19" s="7">
        <f>IF(Y19=1,AQ19+ROW()/1E9,-1E9)</f>
        <v/>
      </c>
      <c r="BE19" s="7">
        <f>IF(Y19=1,AQ19+ROW()/1E9,1E9)</f>
        <v/>
      </c>
    </row>
    <row r="20">
      <c r="A20" s="16" t="n"/>
      <c r="B20" s="8">
        <f>IF($A20="","",BDP($A20,B$3))</f>
        <v/>
      </c>
      <c r="C20" s="8">
        <f>IF($A20="","",BDP($A20,C$3))</f>
        <v/>
      </c>
      <c r="D20" s="28">
        <f>IF($A20="","",BDP($A20,D$3))</f>
        <v/>
      </c>
      <c r="E20" s="29">
        <f>IF($A20="","",BDP($A20,E$3))</f>
        <v/>
      </c>
      <c r="F20" s="17">
        <f>IF($A20="","",BDP($A20,F$3))</f>
        <v/>
      </c>
      <c r="G20" s="8">
        <f>IF($A20="","",BDP($A20,G$3))</f>
        <v/>
      </c>
      <c r="H20" s="8">
        <f>IF($A20="","",BDP($A20,H$3))</f>
        <v/>
      </c>
      <c r="I20" s="8">
        <f>IF($A20="","",BDP($A20,I$3))</f>
        <v/>
      </c>
      <c r="J20" s="8">
        <f>IF($A20="","",BDP($A20,J$3))</f>
        <v/>
      </c>
      <c r="K20" s="8">
        <f>IF($A20="","",BDP($A20,K$3))</f>
        <v/>
      </c>
      <c r="L20" s="28">
        <f>IF($A20="","",BDP($A20,L$3))</f>
        <v/>
      </c>
      <c r="M20" s="28">
        <f>IF($A20="","",BDP($A20,M$3))</f>
        <v/>
      </c>
      <c r="N20" s="30">
        <f>IF($A20="","",BDP($A20,N$3))</f>
        <v/>
      </c>
      <c r="O20" s="31">
        <f>IF($A20="","",BDP($A20,O$3))</f>
        <v/>
      </c>
      <c r="P20" s="30">
        <f>IF($A20="","",BDH($A20,$N$3,'參數'!$B$5,'參數'!$B$5,"Days=A","Fill=P","Dates=H"))</f>
        <v/>
      </c>
      <c r="Q20" s="30">
        <f>IF($A20="","",BDH($A20,$N$3,'參數'!$B$6,'參數'!$B$6,"Days=A","Fill=P","Dates=H"))</f>
        <v/>
      </c>
      <c r="R20" s="30">
        <f>IF($A20="","",BDH($A20,$N$3,'參數'!$B$7,'參數'!$B$7,"Days=A","Fill=P","Dates=H"))</f>
        <v/>
      </c>
      <c r="S20" s="32">
        <f>IF($A20="","",IFERROR(INDEX('發行人'!$A$5:$A$44,MATCH(B20,'發行人'!$D$5:$D$44,0)),"未對應"))</f>
        <v/>
      </c>
      <c r="T20" s="24">
        <f>IF($A20="","",IFERROR(INDEX('發行人'!$G$5:$G$44,MATCH(B20,'發行人'!$D$5:$D$44,0))+0,""))</f>
        <v/>
      </c>
      <c r="U20" s="18">
        <f>IF(ISNUMBER(E20),YEARFRAC('參數'!$B$4,E20),"")</f>
        <v/>
      </c>
      <c r="V20" s="8">
        <f>IF(U20="","",IF(U20&lt;3,"1-3y",IF(U20&lt;5,"3-5y",IF(U20&lt;7,"5-7y",IF(U20&lt;10,"7-10y","10y+")))))</f>
        <v/>
      </c>
      <c r="W20" s="30">
        <f>IF($A20="","",IFERROR(INDEX('參數'!$B$24:$B$45,MATCH(G20,'參數'!$A$24:$A$45,0)),""))</f>
        <v/>
      </c>
      <c r="X20" s="8">
        <f>IF($A20="","",IFERROR(INDEX('參數'!$C$24:$C$45,MATCH(G20,'參數'!$A$24:$A$45,0)),""))</f>
        <v/>
      </c>
      <c r="Y20" s="30">
        <f>IF(AND(ISNUMBER(N20),ISNUMBER(O20),ISNUMBER(U20)),IF(AND(O20&gt;0,X20&lt;&gt;""),1,0),0)</f>
        <v/>
      </c>
      <c r="Z20" s="17">
        <f>IF(Y20=1,O20*N20,"")</f>
        <v/>
      </c>
      <c r="AA20" s="33">
        <f>IF(Y20=1,IF(ISNUMBER(Q20),N20-Q20,""),"")</f>
        <v/>
      </c>
      <c r="AB20" s="33">
        <f>IF(Y20=1,IF(AND(ISNUMBER(P20),ISNUMBER(R20)),R20*5/12-O20*(P20-R20),""),"")</f>
        <v/>
      </c>
      <c r="AC20" s="30">
        <f>IF(Y20=1,COUNTIFS($X$5:$X$404,X20,$V$5:$V$404,V20,$Y$5:$Y$404,1),"")</f>
        <v/>
      </c>
      <c r="AD20" s="30">
        <f>IF(Y20=1,IFERROR(IF(AC20&gt;='參數'!$B$9,INDEX('分群統計'!$G$13:$K$16,MATCH(X20,'分群統計'!$A$13:$A$16,0),MATCH(V20,'分群統計'!$G$12:$K$12,0)),INDEX('分群統計'!$I$5:$I$8,MATCH(X20,'分群統計'!$A$5:$A$8,0))),""),"")</f>
        <v/>
      </c>
      <c r="AE20" s="18">
        <f>IF(Y20=1,IFERROR(IF(AC20&gt;='參數'!$B$9,INDEX('分群統計'!$L$13:$P$16,MATCH(X20,'分群統計'!$A$13:$A$16,0),MATCH(V20,'分群統計'!$L$12:$P$12,0)),INDEX('分群統計'!$J$5:$J$8,MATCH(X20,'分群統計'!$A$5:$A$8,0))),""),"")</f>
        <v/>
      </c>
      <c r="AF20" s="31">
        <f>IF(ISNUMBER(AE20),IF(AE20&gt;0,MAX(-3,MIN(3,(N20-AD20)/AE20)),0),"")</f>
        <v/>
      </c>
      <c r="AG20" s="30">
        <f>IF(Y20=1,COUNTIFS($B$5:$B$404,B20,$Y$5:$Y$404,1),"")</f>
        <v/>
      </c>
      <c r="AH20" s="30">
        <f>IF(Y20=1,IFERROR(IF(ISNUMBER(INDEX('分群統計'!$G$20:$G$59,MATCH(B20,'分群統計'!$A$20:$A$59,0))),INDEX('分群統計'!$H$20:$H$59,MATCH(B20,'分群統計'!$A$20:$A$59,0))+INDEX('分群統計'!$G$20:$G$59,MATCH(B20,'分群統計'!$A$20:$A$59,0))*AU20,""),""),"")</f>
        <v/>
      </c>
      <c r="AI20" s="34">
        <f>IF(ISNUMBER(AH20),N20-AH20,"")</f>
        <v/>
      </c>
      <c r="AJ20" s="30">
        <f>IF(Y20=1,IFERROR(IF(ISNUMBER(INDEX('分群統計'!$G$5:$G$8,MATCH(X20,'分群統計'!$A$5:$A$8,0))),INDEX('分群統計'!$H$5:$H$8,MATCH(X20,'分群統計'!$A$5:$A$8,0))+INDEX('分群統計'!$G$5:$G$8,MATCH(X20,'分群統計'!$A$5:$A$8,0))*AU20,""),""),"")</f>
        <v/>
      </c>
      <c r="AK20" s="34">
        <f>IF(ISNUMBER(AJ20),N20-AJ20,"")</f>
        <v/>
      </c>
      <c r="AL20" s="21">
        <f>IF(ISNUMBER(AJ20),IF(AJ20&gt;0,AK20/AJ20,""),"")</f>
        <v/>
      </c>
      <c r="AM20" s="31">
        <f>IF(AY20&lt;&gt;1,"",IFERROR(IF(INDEX('分群統計'!$K$5:$K$8,MATCH(X20,'分群統計'!$A$5:$A$8,0))&lt;3,"",IF(INDEX('分群統計'!$M$5:$M$8,MATCH(X20,'分群統計'!$A$5:$A$8,0))&gt;0,MAX(-3,MIN(3,(AX20-INDEX('分群統計'!$L$5:$L$8,MATCH(X20,'分群統計'!$A$5:$A$8,0)))/INDEX('分群統計'!$M$5:$M$8,MATCH(X20,'分群統計'!$A$5:$A$8,0)))),0)),""))</f>
        <v/>
      </c>
      <c r="AN20" s="31">
        <f>IF(ISNUMBER(AB20),IF(Z20&gt;0,AB20/Z20*100,""),"")</f>
        <v/>
      </c>
      <c r="AO20" s="31">
        <f>IF(BA20&lt;&gt;1,"",IFERROR(IF(INDEX('分群統計'!$N$5:$N$8,MATCH(X20,'分群統計'!$A$5:$A$8,0))&lt;3,"",IF(INDEX('分群統計'!$P$5:$P$8,MATCH(X20,'分群統計'!$A$5:$A$8,0))&gt;0,MAX(-3,MIN(3,(AZ20-INDEX('分群統計'!$O$5:$O$8,MATCH(X20,'分群統計'!$A$5:$A$8,0)))/INDEX('分群統計'!$P$5:$P$8,MATCH(X20,'分群統計'!$A$5:$A$8,0)))),0)),""))</f>
        <v/>
      </c>
      <c r="AP20" s="31">
        <f>IF(BC20&lt;&gt;1,"",IFERROR(IF(INDEX('分群統計'!$Q$5:$Q$8,MATCH(X20,'分群統計'!$A$5:$A$8,0))&lt;3,"",IF(INDEX('分群統計'!$S$5:$S$8,MATCH(X20,'分群統計'!$A$5:$A$8,0))&gt;0,MAX(-3,MIN(3,(BB20-INDEX('分群統計'!$R$5:$R$8,MATCH(X20,'分群統計'!$A$5:$A$8,0)))/INDEX('分群統計'!$S$5:$S$8,MATCH(X20,'分群統計'!$A$5:$A$8,0)))),0)),""))</f>
        <v/>
      </c>
      <c r="AQ20" s="31">
        <f>IF(Y20=1,(IF(ISNUMBER(AF20),AF20,0)*'參數'!$B$13+IF(ISNUMBER(AM20),AM20,0)*'參數'!$B$14+IF(ISNUMBER(AO20),AO20,0)*'參數'!$B$15+IF(ISNUMBER(AP20),AP20,0)*'參數'!$B$16)/('參數'!$B$13+'參數'!$B$14+'參數'!$B$15+'參數'!$B$16),"")</f>
        <v/>
      </c>
      <c r="AR20" s="35">
        <f>IF(Y20=1,(SUMPRODUCT(($X$5:$X$404=X20)*($Y$5:$Y$404=1)*($BD$5:$BD$404&gt;BD20))+1)/COUNTIFS($X$5:$X$404,X20,$Y$5:$Y$404,1),"")</f>
        <v/>
      </c>
      <c r="AS20" s="8">
        <f>IF(ISNUMBER(AR20),IF(AR20&lt;='參數'!$B$18,"加碼候選",IF(AR20&gt;'參數'!$B$19,"減碼候選","")),"")</f>
        <v/>
      </c>
      <c r="AT20" s="7">
        <f>IF(Y20=1,N20,0)</f>
        <v/>
      </c>
      <c r="AU20" s="7">
        <f>IF(Y20=1,LN(O20),0)</f>
        <v/>
      </c>
      <c r="AV20" s="36">
        <f>IF(Y20=1,IF(ISNUMBER(F20),F20,0),0)</f>
        <v/>
      </c>
      <c r="AW20" s="7">
        <f>IF(Y20=1,Z20,0)</f>
        <v/>
      </c>
      <c r="AX20" s="7">
        <f>IF(Y20=1,IF(ISNUMBER(AL20),AL20,0),0)</f>
        <v/>
      </c>
      <c r="AY20" s="7">
        <f>IF(Y20=1,IF(ISNUMBER(AL20),1,0),0)</f>
        <v/>
      </c>
      <c r="AZ20" s="7">
        <f>IF(Y20=1,IF(ISNUMBER(AN20),AN20,0),0)</f>
        <v/>
      </c>
      <c r="BA20" s="7">
        <f>IF(Y20=1,IF(ISNUMBER(AN20),1,0),0)</f>
        <v/>
      </c>
      <c r="BB20" s="7">
        <f>IF(Y20=1,IF(ISNUMBER(T20),T20,0),0)</f>
        <v/>
      </c>
      <c r="BC20" s="7">
        <f>IF(Y20=1,IF(ISNUMBER(T20),1,0),0)</f>
        <v/>
      </c>
      <c r="BD20" s="7">
        <f>IF(Y20=1,AQ20+ROW()/1E9,-1E9)</f>
        <v/>
      </c>
      <c r="BE20" s="7">
        <f>IF(Y20=1,AQ20+ROW()/1E9,1E9)</f>
        <v/>
      </c>
    </row>
    <row r="21">
      <c r="A21" s="16" t="n"/>
      <c r="B21" s="8">
        <f>IF($A21="","",BDP($A21,B$3))</f>
        <v/>
      </c>
      <c r="C21" s="8">
        <f>IF($A21="","",BDP($A21,C$3))</f>
        <v/>
      </c>
      <c r="D21" s="28">
        <f>IF($A21="","",BDP($A21,D$3))</f>
        <v/>
      </c>
      <c r="E21" s="29">
        <f>IF($A21="","",BDP($A21,E$3))</f>
        <v/>
      </c>
      <c r="F21" s="17">
        <f>IF($A21="","",BDP($A21,F$3))</f>
        <v/>
      </c>
      <c r="G21" s="8">
        <f>IF($A21="","",BDP($A21,G$3))</f>
        <v/>
      </c>
      <c r="H21" s="8">
        <f>IF($A21="","",BDP($A21,H$3))</f>
        <v/>
      </c>
      <c r="I21" s="8">
        <f>IF($A21="","",BDP($A21,I$3))</f>
        <v/>
      </c>
      <c r="J21" s="8">
        <f>IF($A21="","",BDP($A21,J$3))</f>
        <v/>
      </c>
      <c r="K21" s="8">
        <f>IF($A21="","",BDP($A21,K$3))</f>
        <v/>
      </c>
      <c r="L21" s="28">
        <f>IF($A21="","",BDP($A21,L$3))</f>
        <v/>
      </c>
      <c r="M21" s="28">
        <f>IF($A21="","",BDP($A21,M$3))</f>
        <v/>
      </c>
      <c r="N21" s="30">
        <f>IF($A21="","",BDP($A21,N$3))</f>
        <v/>
      </c>
      <c r="O21" s="31">
        <f>IF($A21="","",BDP($A21,O$3))</f>
        <v/>
      </c>
      <c r="P21" s="30">
        <f>IF($A21="","",BDH($A21,$N$3,'參數'!$B$5,'參數'!$B$5,"Days=A","Fill=P","Dates=H"))</f>
        <v/>
      </c>
      <c r="Q21" s="30">
        <f>IF($A21="","",BDH($A21,$N$3,'參數'!$B$6,'參數'!$B$6,"Days=A","Fill=P","Dates=H"))</f>
        <v/>
      </c>
      <c r="R21" s="30">
        <f>IF($A21="","",BDH($A21,$N$3,'參數'!$B$7,'參數'!$B$7,"Days=A","Fill=P","Dates=H"))</f>
        <v/>
      </c>
      <c r="S21" s="32">
        <f>IF($A21="","",IFERROR(INDEX('發行人'!$A$5:$A$44,MATCH(B21,'發行人'!$D$5:$D$44,0)),"未對應"))</f>
        <v/>
      </c>
      <c r="T21" s="24">
        <f>IF($A21="","",IFERROR(INDEX('發行人'!$G$5:$G$44,MATCH(B21,'發行人'!$D$5:$D$44,0))+0,""))</f>
        <v/>
      </c>
      <c r="U21" s="18">
        <f>IF(ISNUMBER(E21),YEARFRAC('參數'!$B$4,E21),"")</f>
        <v/>
      </c>
      <c r="V21" s="8">
        <f>IF(U21="","",IF(U21&lt;3,"1-3y",IF(U21&lt;5,"3-5y",IF(U21&lt;7,"5-7y",IF(U21&lt;10,"7-10y","10y+")))))</f>
        <v/>
      </c>
      <c r="W21" s="30">
        <f>IF($A21="","",IFERROR(INDEX('參數'!$B$24:$B$45,MATCH(G21,'參數'!$A$24:$A$45,0)),""))</f>
        <v/>
      </c>
      <c r="X21" s="8">
        <f>IF($A21="","",IFERROR(INDEX('參數'!$C$24:$C$45,MATCH(G21,'參數'!$A$24:$A$45,0)),""))</f>
        <v/>
      </c>
      <c r="Y21" s="30">
        <f>IF(AND(ISNUMBER(N21),ISNUMBER(O21),ISNUMBER(U21)),IF(AND(O21&gt;0,X21&lt;&gt;""),1,0),0)</f>
        <v/>
      </c>
      <c r="Z21" s="17">
        <f>IF(Y21=1,O21*N21,"")</f>
        <v/>
      </c>
      <c r="AA21" s="33">
        <f>IF(Y21=1,IF(ISNUMBER(Q21),N21-Q21,""),"")</f>
        <v/>
      </c>
      <c r="AB21" s="33">
        <f>IF(Y21=1,IF(AND(ISNUMBER(P21),ISNUMBER(R21)),R21*5/12-O21*(P21-R21),""),"")</f>
        <v/>
      </c>
      <c r="AC21" s="30">
        <f>IF(Y21=1,COUNTIFS($X$5:$X$404,X21,$V$5:$V$404,V21,$Y$5:$Y$404,1),"")</f>
        <v/>
      </c>
      <c r="AD21" s="30">
        <f>IF(Y21=1,IFERROR(IF(AC21&gt;='參數'!$B$9,INDEX('分群統計'!$G$13:$K$16,MATCH(X21,'分群統計'!$A$13:$A$16,0),MATCH(V21,'分群統計'!$G$12:$K$12,0)),INDEX('分群統計'!$I$5:$I$8,MATCH(X21,'分群統計'!$A$5:$A$8,0))),""),"")</f>
        <v/>
      </c>
      <c r="AE21" s="18">
        <f>IF(Y21=1,IFERROR(IF(AC21&gt;='參數'!$B$9,INDEX('分群統計'!$L$13:$P$16,MATCH(X21,'分群統計'!$A$13:$A$16,0),MATCH(V21,'分群統計'!$L$12:$P$12,0)),INDEX('分群統計'!$J$5:$J$8,MATCH(X21,'分群統計'!$A$5:$A$8,0))),""),"")</f>
        <v/>
      </c>
      <c r="AF21" s="31">
        <f>IF(ISNUMBER(AE21),IF(AE21&gt;0,MAX(-3,MIN(3,(N21-AD21)/AE21)),0),"")</f>
        <v/>
      </c>
      <c r="AG21" s="30">
        <f>IF(Y21=1,COUNTIFS($B$5:$B$404,B21,$Y$5:$Y$404,1),"")</f>
        <v/>
      </c>
      <c r="AH21" s="30">
        <f>IF(Y21=1,IFERROR(IF(ISNUMBER(INDEX('分群統計'!$G$20:$G$59,MATCH(B21,'分群統計'!$A$20:$A$59,0))),INDEX('分群統計'!$H$20:$H$59,MATCH(B21,'分群統計'!$A$20:$A$59,0))+INDEX('分群統計'!$G$20:$G$59,MATCH(B21,'分群統計'!$A$20:$A$59,0))*AU21,""),""),"")</f>
        <v/>
      </c>
      <c r="AI21" s="34">
        <f>IF(ISNUMBER(AH21),N21-AH21,"")</f>
        <v/>
      </c>
      <c r="AJ21" s="30">
        <f>IF(Y21=1,IFERROR(IF(ISNUMBER(INDEX('分群統計'!$G$5:$G$8,MATCH(X21,'分群統計'!$A$5:$A$8,0))),INDEX('分群統計'!$H$5:$H$8,MATCH(X21,'分群統計'!$A$5:$A$8,0))+INDEX('分群統計'!$G$5:$G$8,MATCH(X21,'分群統計'!$A$5:$A$8,0))*AU21,""),""),"")</f>
        <v/>
      </c>
      <c r="AK21" s="34">
        <f>IF(ISNUMBER(AJ21),N21-AJ21,"")</f>
        <v/>
      </c>
      <c r="AL21" s="21">
        <f>IF(ISNUMBER(AJ21),IF(AJ21&gt;0,AK21/AJ21,""),"")</f>
        <v/>
      </c>
      <c r="AM21" s="31">
        <f>IF(AY21&lt;&gt;1,"",IFERROR(IF(INDEX('分群統計'!$K$5:$K$8,MATCH(X21,'分群統計'!$A$5:$A$8,0))&lt;3,"",IF(INDEX('分群統計'!$M$5:$M$8,MATCH(X21,'分群統計'!$A$5:$A$8,0))&gt;0,MAX(-3,MIN(3,(AX21-INDEX('分群統計'!$L$5:$L$8,MATCH(X21,'分群統計'!$A$5:$A$8,0)))/INDEX('分群統計'!$M$5:$M$8,MATCH(X21,'分群統計'!$A$5:$A$8,0)))),0)),""))</f>
        <v/>
      </c>
      <c r="AN21" s="31">
        <f>IF(ISNUMBER(AB21),IF(Z21&gt;0,AB21/Z21*100,""),"")</f>
        <v/>
      </c>
      <c r="AO21" s="31">
        <f>IF(BA21&lt;&gt;1,"",IFERROR(IF(INDEX('分群統計'!$N$5:$N$8,MATCH(X21,'分群統計'!$A$5:$A$8,0))&lt;3,"",IF(INDEX('分群統計'!$P$5:$P$8,MATCH(X21,'分群統計'!$A$5:$A$8,0))&gt;0,MAX(-3,MIN(3,(AZ21-INDEX('分群統計'!$O$5:$O$8,MATCH(X21,'分群統計'!$A$5:$A$8,0)))/INDEX('分群統計'!$P$5:$P$8,MATCH(X21,'分群統計'!$A$5:$A$8,0)))),0)),""))</f>
        <v/>
      </c>
      <c r="AP21" s="31">
        <f>IF(BC21&lt;&gt;1,"",IFERROR(IF(INDEX('分群統計'!$Q$5:$Q$8,MATCH(X21,'分群統計'!$A$5:$A$8,0))&lt;3,"",IF(INDEX('分群統計'!$S$5:$S$8,MATCH(X21,'分群統計'!$A$5:$A$8,0))&gt;0,MAX(-3,MIN(3,(BB21-INDEX('分群統計'!$R$5:$R$8,MATCH(X21,'分群統計'!$A$5:$A$8,0)))/INDEX('分群統計'!$S$5:$S$8,MATCH(X21,'分群統計'!$A$5:$A$8,0)))),0)),""))</f>
        <v/>
      </c>
      <c r="AQ21" s="31">
        <f>IF(Y21=1,(IF(ISNUMBER(AF21),AF21,0)*'參數'!$B$13+IF(ISNUMBER(AM21),AM21,0)*'參數'!$B$14+IF(ISNUMBER(AO21),AO21,0)*'參數'!$B$15+IF(ISNUMBER(AP21),AP21,0)*'參數'!$B$16)/('參數'!$B$13+'參數'!$B$14+'參數'!$B$15+'參數'!$B$16),"")</f>
        <v/>
      </c>
      <c r="AR21" s="35">
        <f>IF(Y21=1,(SUMPRODUCT(($X$5:$X$404=X21)*($Y$5:$Y$404=1)*($BD$5:$BD$404&gt;BD21))+1)/COUNTIFS($X$5:$X$404,X21,$Y$5:$Y$404,1),"")</f>
        <v/>
      </c>
      <c r="AS21" s="8">
        <f>IF(ISNUMBER(AR21),IF(AR21&lt;='參數'!$B$18,"加碼候選",IF(AR21&gt;'參數'!$B$19,"減碼候選","")),"")</f>
        <v/>
      </c>
      <c r="AT21" s="7">
        <f>IF(Y21=1,N21,0)</f>
        <v/>
      </c>
      <c r="AU21" s="7">
        <f>IF(Y21=1,LN(O21),0)</f>
        <v/>
      </c>
      <c r="AV21" s="36">
        <f>IF(Y21=1,IF(ISNUMBER(F21),F21,0),0)</f>
        <v/>
      </c>
      <c r="AW21" s="7">
        <f>IF(Y21=1,Z21,0)</f>
        <v/>
      </c>
      <c r="AX21" s="7">
        <f>IF(Y21=1,IF(ISNUMBER(AL21),AL21,0),0)</f>
        <v/>
      </c>
      <c r="AY21" s="7">
        <f>IF(Y21=1,IF(ISNUMBER(AL21),1,0),0)</f>
        <v/>
      </c>
      <c r="AZ21" s="7">
        <f>IF(Y21=1,IF(ISNUMBER(AN21),AN21,0),0)</f>
        <v/>
      </c>
      <c r="BA21" s="7">
        <f>IF(Y21=1,IF(ISNUMBER(AN21),1,0),0)</f>
        <v/>
      </c>
      <c r="BB21" s="7">
        <f>IF(Y21=1,IF(ISNUMBER(T21),T21,0),0)</f>
        <v/>
      </c>
      <c r="BC21" s="7">
        <f>IF(Y21=1,IF(ISNUMBER(T21),1,0),0)</f>
        <v/>
      </c>
      <c r="BD21" s="7">
        <f>IF(Y21=1,AQ21+ROW()/1E9,-1E9)</f>
        <v/>
      </c>
      <c r="BE21" s="7">
        <f>IF(Y21=1,AQ21+ROW()/1E9,1E9)</f>
        <v/>
      </c>
    </row>
    <row r="22">
      <c r="A22" s="16" t="n"/>
      <c r="B22" s="8">
        <f>IF($A22="","",BDP($A22,B$3))</f>
        <v/>
      </c>
      <c r="C22" s="8">
        <f>IF($A22="","",BDP($A22,C$3))</f>
        <v/>
      </c>
      <c r="D22" s="28">
        <f>IF($A22="","",BDP($A22,D$3))</f>
        <v/>
      </c>
      <c r="E22" s="29">
        <f>IF($A22="","",BDP($A22,E$3))</f>
        <v/>
      </c>
      <c r="F22" s="17">
        <f>IF($A22="","",BDP($A22,F$3))</f>
        <v/>
      </c>
      <c r="G22" s="8">
        <f>IF($A22="","",BDP($A22,G$3))</f>
        <v/>
      </c>
      <c r="H22" s="8">
        <f>IF($A22="","",BDP($A22,H$3))</f>
        <v/>
      </c>
      <c r="I22" s="8">
        <f>IF($A22="","",BDP($A22,I$3))</f>
        <v/>
      </c>
      <c r="J22" s="8">
        <f>IF($A22="","",BDP($A22,J$3))</f>
        <v/>
      </c>
      <c r="K22" s="8">
        <f>IF($A22="","",BDP($A22,K$3))</f>
        <v/>
      </c>
      <c r="L22" s="28">
        <f>IF($A22="","",BDP($A22,L$3))</f>
        <v/>
      </c>
      <c r="M22" s="28">
        <f>IF($A22="","",BDP($A22,M$3))</f>
        <v/>
      </c>
      <c r="N22" s="30">
        <f>IF($A22="","",BDP($A22,N$3))</f>
        <v/>
      </c>
      <c r="O22" s="31">
        <f>IF($A22="","",BDP($A22,O$3))</f>
        <v/>
      </c>
      <c r="P22" s="30">
        <f>IF($A22="","",BDH($A22,$N$3,'參數'!$B$5,'參數'!$B$5,"Days=A","Fill=P","Dates=H"))</f>
        <v/>
      </c>
      <c r="Q22" s="30">
        <f>IF($A22="","",BDH($A22,$N$3,'參數'!$B$6,'參數'!$B$6,"Days=A","Fill=P","Dates=H"))</f>
        <v/>
      </c>
      <c r="R22" s="30">
        <f>IF($A22="","",BDH($A22,$N$3,'參數'!$B$7,'參數'!$B$7,"Days=A","Fill=P","Dates=H"))</f>
        <v/>
      </c>
      <c r="S22" s="32">
        <f>IF($A22="","",IFERROR(INDEX('發行人'!$A$5:$A$44,MATCH(B22,'發行人'!$D$5:$D$44,0)),"未對應"))</f>
        <v/>
      </c>
      <c r="T22" s="24">
        <f>IF($A22="","",IFERROR(INDEX('發行人'!$G$5:$G$44,MATCH(B22,'發行人'!$D$5:$D$44,0))+0,""))</f>
        <v/>
      </c>
      <c r="U22" s="18">
        <f>IF(ISNUMBER(E22),YEARFRAC('參數'!$B$4,E22),"")</f>
        <v/>
      </c>
      <c r="V22" s="8">
        <f>IF(U22="","",IF(U22&lt;3,"1-3y",IF(U22&lt;5,"3-5y",IF(U22&lt;7,"5-7y",IF(U22&lt;10,"7-10y","10y+")))))</f>
        <v/>
      </c>
      <c r="W22" s="30">
        <f>IF($A22="","",IFERROR(INDEX('參數'!$B$24:$B$45,MATCH(G22,'參數'!$A$24:$A$45,0)),""))</f>
        <v/>
      </c>
      <c r="X22" s="8">
        <f>IF($A22="","",IFERROR(INDEX('參數'!$C$24:$C$45,MATCH(G22,'參數'!$A$24:$A$45,0)),""))</f>
        <v/>
      </c>
      <c r="Y22" s="30">
        <f>IF(AND(ISNUMBER(N22),ISNUMBER(O22),ISNUMBER(U22)),IF(AND(O22&gt;0,X22&lt;&gt;""),1,0),0)</f>
        <v/>
      </c>
      <c r="Z22" s="17">
        <f>IF(Y22=1,O22*N22,"")</f>
        <v/>
      </c>
      <c r="AA22" s="33">
        <f>IF(Y22=1,IF(ISNUMBER(Q22),N22-Q22,""),"")</f>
        <v/>
      </c>
      <c r="AB22" s="33">
        <f>IF(Y22=1,IF(AND(ISNUMBER(P22),ISNUMBER(R22)),R22*5/12-O22*(P22-R22),""),"")</f>
        <v/>
      </c>
      <c r="AC22" s="30">
        <f>IF(Y22=1,COUNTIFS($X$5:$X$404,X22,$V$5:$V$404,V22,$Y$5:$Y$404,1),"")</f>
        <v/>
      </c>
      <c r="AD22" s="30">
        <f>IF(Y22=1,IFERROR(IF(AC22&gt;='參數'!$B$9,INDEX('分群統計'!$G$13:$K$16,MATCH(X22,'分群統計'!$A$13:$A$16,0),MATCH(V22,'分群統計'!$G$12:$K$12,0)),INDEX('分群統計'!$I$5:$I$8,MATCH(X22,'分群統計'!$A$5:$A$8,0))),""),"")</f>
        <v/>
      </c>
      <c r="AE22" s="18">
        <f>IF(Y22=1,IFERROR(IF(AC22&gt;='參數'!$B$9,INDEX('分群統計'!$L$13:$P$16,MATCH(X22,'分群統計'!$A$13:$A$16,0),MATCH(V22,'分群統計'!$L$12:$P$12,0)),INDEX('分群統計'!$J$5:$J$8,MATCH(X22,'分群統計'!$A$5:$A$8,0))),""),"")</f>
        <v/>
      </c>
      <c r="AF22" s="31">
        <f>IF(ISNUMBER(AE22),IF(AE22&gt;0,MAX(-3,MIN(3,(N22-AD22)/AE22)),0),"")</f>
        <v/>
      </c>
      <c r="AG22" s="30">
        <f>IF(Y22=1,COUNTIFS($B$5:$B$404,B22,$Y$5:$Y$404,1),"")</f>
        <v/>
      </c>
      <c r="AH22" s="30">
        <f>IF(Y22=1,IFERROR(IF(ISNUMBER(INDEX('分群統計'!$G$20:$G$59,MATCH(B22,'分群統計'!$A$20:$A$59,0))),INDEX('分群統計'!$H$20:$H$59,MATCH(B22,'分群統計'!$A$20:$A$59,0))+INDEX('分群統計'!$G$20:$G$59,MATCH(B22,'分群統計'!$A$20:$A$59,0))*AU22,""),""),"")</f>
        <v/>
      </c>
      <c r="AI22" s="34">
        <f>IF(ISNUMBER(AH22),N22-AH22,"")</f>
        <v/>
      </c>
      <c r="AJ22" s="30">
        <f>IF(Y22=1,IFERROR(IF(ISNUMBER(INDEX('分群統計'!$G$5:$G$8,MATCH(X22,'分群統計'!$A$5:$A$8,0))),INDEX('分群統計'!$H$5:$H$8,MATCH(X22,'分群統計'!$A$5:$A$8,0))+INDEX('分群統計'!$G$5:$G$8,MATCH(X22,'分群統計'!$A$5:$A$8,0))*AU22,""),""),"")</f>
        <v/>
      </c>
      <c r="AK22" s="34">
        <f>IF(ISNUMBER(AJ22),N22-AJ22,"")</f>
        <v/>
      </c>
      <c r="AL22" s="21">
        <f>IF(ISNUMBER(AJ22),IF(AJ22&gt;0,AK22/AJ22,""),"")</f>
        <v/>
      </c>
      <c r="AM22" s="31">
        <f>IF(AY22&lt;&gt;1,"",IFERROR(IF(INDEX('分群統計'!$K$5:$K$8,MATCH(X22,'分群統計'!$A$5:$A$8,0))&lt;3,"",IF(INDEX('分群統計'!$M$5:$M$8,MATCH(X22,'分群統計'!$A$5:$A$8,0))&gt;0,MAX(-3,MIN(3,(AX22-INDEX('分群統計'!$L$5:$L$8,MATCH(X22,'分群統計'!$A$5:$A$8,0)))/INDEX('分群統計'!$M$5:$M$8,MATCH(X22,'分群統計'!$A$5:$A$8,0)))),0)),""))</f>
        <v/>
      </c>
      <c r="AN22" s="31">
        <f>IF(ISNUMBER(AB22),IF(Z22&gt;0,AB22/Z22*100,""),"")</f>
        <v/>
      </c>
      <c r="AO22" s="31">
        <f>IF(BA22&lt;&gt;1,"",IFERROR(IF(INDEX('分群統計'!$N$5:$N$8,MATCH(X22,'分群統計'!$A$5:$A$8,0))&lt;3,"",IF(INDEX('分群統計'!$P$5:$P$8,MATCH(X22,'分群統計'!$A$5:$A$8,0))&gt;0,MAX(-3,MIN(3,(AZ22-INDEX('分群統計'!$O$5:$O$8,MATCH(X22,'分群統計'!$A$5:$A$8,0)))/INDEX('分群統計'!$P$5:$P$8,MATCH(X22,'分群統計'!$A$5:$A$8,0)))),0)),""))</f>
        <v/>
      </c>
      <c r="AP22" s="31">
        <f>IF(BC22&lt;&gt;1,"",IFERROR(IF(INDEX('分群統計'!$Q$5:$Q$8,MATCH(X22,'分群統計'!$A$5:$A$8,0))&lt;3,"",IF(INDEX('分群統計'!$S$5:$S$8,MATCH(X22,'分群統計'!$A$5:$A$8,0))&gt;0,MAX(-3,MIN(3,(BB22-INDEX('分群統計'!$R$5:$R$8,MATCH(X22,'分群統計'!$A$5:$A$8,0)))/INDEX('分群統計'!$S$5:$S$8,MATCH(X22,'分群統計'!$A$5:$A$8,0)))),0)),""))</f>
        <v/>
      </c>
      <c r="AQ22" s="31">
        <f>IF(Y22=1,(IF(ISNUMBER(AF22),AF22,0)*'參數'!$B$13+IF(ISNUMBER(AM22),AM22,0)*'參數'!$B$14+IF(ISNUMBER(AO22),AO22,0)*'參數'!$B$15+IF(ISNUMBER(AP22),AP22,0)*'參數'!$B$16)/('參數'!$B$13+'參數'!$B$14+'參數'!$B$15+'參數'!$B$16),"")</f>
        <v/>
      </c>
      <c r="AR22" s="35">
        <f>IF(Y22=1,(SUMPRODUCT(($X$5:$X$404=X22)*($Y$5:$Y$404=1)*($BD$5:$BD$404&gt;BD22))+1)/COUNTIFS($X$5:$X$404,X22,$Y$5:$Y$404,1),"")</f>
        <v/>
      </c>
      <c r="AS22" s="8">
        <f>IF(ISNUMBER(AR22),IF(AR22&lt;='參數'!$B$18,"加碼候選",IF(AR22&gt;'參數'!$B$19,"減碼候選","")),"")</f>
        <v/>
      </c>
      <c r="AT22" s="7">
        <f>IF(Y22=1,N22,0)</f>
        <v/>
      </c>
      <c r="AU22" s="7">
        <f>IF(Y22=1,LN(O22),0)</f>
        <v/>
      </c>
      <c r="AV22" s="36">
        <f>IF(Y22=1,IF(ISNUMBER(F22),F22,0),0)</f>
        <v/>
      </c>
      <c r="AW22" s="7">
        <f>IF(Y22=1,Z22,0)</f>
        <v/>
      </c>
      <c r="AX22" s="7">
        <f>IF(Y22=1,IF(ISNUMBER(AL22),AL22,0),0)</f>
        <v/>
      </c>
      <c r="AY22" s="7">
        <f>IF(Y22=1,IF(ISNUMBER(AL22),1,0),0)</f>
        <v/>
      </c>
      <c r="AZ22" s="7">
        <f>IF(Y22=1,IF(ISNUMBER(AN22),AN22,0),0)</f>
        <v/>
      </c>
      <c r="BA22" s="7">
        <f>IF(Y22=1,IF(ISNUMBER(AN22),1,0),0)</f>
        <v/>
      </c>
      <c r="BB22" s="7">
        <f>IF(Y22=1,IF(ISNUMBER(T22),T22,0),0)</f>
        <v/>
      </c>
      <c r="BC22" s="7">
        <f>IF(Y22=1,IF(ISNUMBER(T22),1,0),0)</f>
        <v/>
      </c>
      <c r="BD22" s="7">
        <f>IF(Y22=1,AQ22+ROW()/1E9,-1E9)</f>
        <v/>
      </c>
      <c r="BE22" s="7">
        <f>IF(Y22=1,AQ22+ROW()/1E9,1E9)</f>
        <v/>
      </c>
    </row>
    <row r="23">
      <c r="A23" s="16" t="n"/>
      <c r="B23" s="8">
        <f>IF($A23="","",BDP($A23,B$3))</f>
        <v/>
      </c>
      <c r="C23" s="8">
        <f>IF($A23="","",BDP($A23,C$3))</f>
        <v/>
      </c>
      <c r="D23" s="28">
        <f>IF($A23="","",BDP($A23,D$3))</f>
        <v/>
      </c>
      <c r="E23" s="29">
        <f>IF($A23="","",BDP($A23,E$3))</f>
        <v/>
      </c>
      <c r="F23" s="17">
        <f>IF($A23="","",BDP($A23,F$3))</f>
        <v/>
      </c>
      <c r="G23" s="8">
        <f>IF($A23="","",BDP($A23,G$3))</f>
        <v/>
      </c>
      <c r="H23" s="8">
        <f>IF($A23="","",BDP($A23,H$3))</f>
        <v/>
      </c>
      <c r="I23" s="8">
        <f>IF($A23="","",BDP($A23,I$3))</f>
        <v/>
      </c>
      <c r="J23" s="8">
        <f>IF($A23="","",BDP($A23,J$3))</f>
        <v/>
      </c>
      <c r="K23" s="8">
        <f>IF($A23="","",BDP($A23,K$3))</f>
        <v/>
      </c>
      <c r="L23" s="28">
        <f>IF($A23="","",BDP($A23,L$3))</f>
        <v/>
      </c>
      <c r="M23" s="28">
        <f>IF($A23="","",BDP($A23,M$3))</f>
        <v/>
      </c>
      <c r="N23" s="30">
        <f>IF($A23="","",BDP($A23,N$3))</f>
        <v/>
      </c>
      <c r="O23" s="31">
        <f>IF($A23="","",BDP($A23,O$3))</f>
        <v/>
      </c>
      <c r="P23" s="30">
        <f>IF($A23="","",BDH($A23,$N$3,'參數'!$B$5,'參數'!$B$5,"Days=A","Fill=P","Dates=H"))</f>
        <v/>
      </c>
      <c r="Q23" s="30">
        <f>IF($A23="","",BDH($A23,$N$3,'參數'!$B$6,'參數'!$B$6,"Days=A","Fill=P","Dates=H"))</f>
        <v/>
      </c>
      <c r="R23" s="30">
        <f>IF($A23="","",BDH($A23,$N$3,'參數'!$B$7,'參數'!$B$7,"Days=A","Fill=P","Dates=H"))</f>
        <v/>
      </c>
      <c r="S23" s="32">
        <f>IF($A23="","",IFERROR(INDEX('發行人'!$A$5:$A$44,MATCH(B23,'發行人'!$D$5:$D$44,0)),"未對應"))</f>
        <v/>
      </c>
      <c r="T23" s="24">
        <f>IF($A23="","",IFERROR(INDEX('發行人'!$G$5:$G$44,MATCH(B23,'發行人'!$D$5:$D$44,0))+0,""))</f>
        <v/>
      </c>
      <c r="U23" s="18">
        <f>IF(ISNUMBER(E23),YEARFRAC('參數'!$B$4,E23),"")</f>
        <v/>
      </c>
      <c r="V23" s="8">
        <f>IF(U23="","",IF(U23&lt;3,"1-3y",IF(U23&lt;5,"3-5y",IF(U23&lt;7,"5-7y",IF(U23&lt;10,"7-10y","10y+")))))</f>
        <v/>
      </c>
      <c r="W23" s="30">
        <f>IF($A23="","",IFERROR(INDEX('參數'!$B$24:$B$45,MATCH(G23,'參數'!$A$24:$A$45,0)),""))</f>
        <v/>
      </c>
      <c r="X23" s="8">
        <f>IF($A23="","",IFERROR(INDEX('參數'!$C$24:$C$45,MATCH(G23,'參數'!$A$24:$A$45,0)),""))</f>
        <v/>
      </c>
      <c r="Y23" s="30">
        <f>IF(AND(ISNUMBER(N23),ISNUMBER(O23),ISNUMBER(U23)),IF(AND(O23&gt;0,X23&lt;&gt;""),1,0),0)</f>
        <v/>
      </c>
      <c r="Z23" s="17">
        <f>IF(Y23=1,O23*N23,"")</f>
        <v/>
      </c>
      <c r="AA23" s="33">
        <f>IF(Y23=1,IF(ISNUMBER(Q23),N23-Q23,""),"")</f>
        <v/>
      </c>
      <c r="AB23" s="33">
        <f>IF(Y23=1,IF(AND(ISNUMBER(P23),ISNUMBER(R23)),R23*5/12-O23*(P23-R23),""),"")</f>
        <v/>
      </c>
      <c r="AC23" s="30">
        <f>IF(Y23=1,COUNTIFS($X$5:$X$404,X23,$V$5:$V$404,V23,$Y$5:$Y$404,1),"")</f>
        <v/>
      </c>
      <c r="AD23" s="30">
        <f>IF(Y23=1,IFERROR(IF(AC23&gt;='參數'!$B$9,INDEX('分群統計'!$G$13:$K$16,MATCH(X23,'分群統計'!$A$13:$A$16,0),MATCH(V23,'分群統計'!$G$12:$K$12,0)),INDEX('分群統計'!$I$5:$I$8,MATCH(X23,'分群統計'!$A$5:$A$8,0))),""),"")</f>
        <v/>
      </c>
      <c r="AE23" s="18">
        <f>IF(Y23=1,IFERROR(IF(AC23&gt;='參數'!$B$9,INDEX('分群統計'!$L$13:$P$16,MATCH(X23,'分群統計'!$A$13:$A$16,0),MATCH(V23,'分群統計'!$L$12:$P$12,0)),INDEX('分群統計'!$J$5:$J$8,MATCH(X23,'分群統計'!$A$5:$A$8,0))),""),"")</f>
        <v/>
      </c>
      <c r="AF23" s="31">
        <f>IF(ISNUMBER(AE23),IF(AE23&gt;0,MAX(-3,MIN(3,(N23-AD23)/AE23)),0),"")</f>
        <v/>
      </c>
      <c r="AG23" s="30">
        <f>IF(Y23=1,COUNTIFS($B$5:$B$404,B23,$Y$5:$Y$404,1),"")</f>
        <v/>
      </c>
      <c r="AH23" s="30">
        <f>IF(Y23=1,IFERROR(IF(ISNUMBER(INDEX('分群統計'!$G$20:$G$59,MATCH(B23,'分群統計'!$A$20:$A$59,0))),INDEX('分群統計'!$H$20:$H$59,MATCH(B23,'分群統計'!$A$20:$A$59,0))+INDEX('分群統計'!$G$20:$G$59,MATCH(B23,'分群統計'!$A$20:$A$59,0))*AU23,""),""),"")</f>
        <v/>
      </c>
      <c r="AI23" s="34">
        <f>IF(ISNUMBER(AH23),N23-AH23,"")</f>
        <v/>
      </c>
      <c r="AJ23" s="30">
        <f>IF(Y23=1,IFERROR(IF(ISNUMBER(INDEX('分群統計'!$G$5:$G$8,MATCH(X23,'分群統計'!$A$5:$A$8,0))),INDEX('分群統計'!$H$5:$H$8,MATCH(X23,'分群統計'!$A$5:$A$8,0))+INDEX('分群統計'!$G$5:$G$8,MATCH(X23,'分群統計'!$A$5:$A$8,0))*AU23,""),""),"")</f>
        <v/>
      </c>
      <c r="AK23" s="34">
        <f>IF(ISNUMBER(AJ23),N23-AJ23,"")</f>
        <v/>
      </c>
      <c r="AL23" s="21">
        <f>IF(ISNUMBER(AJ23),IF(AJ23&gt;0,AK23/AJ23,""),"")</f>
        <v/>
      </c>
      <c r="AM23" s="31">
        <f>IF(AY23&lt;&gt;1,"",IFERROR(IF(INDEX('分群統計'!$K$5:$K$8,MATCH(X23,'分群統計'!$A$5:$A$8,0))&lt;3,"",IF(INDEX('分群統計'!$M$5:$M$8,MATCH(X23,'分群統計'!$A$5:$A$8,0))&gt;0,MAX(-3,MIN(3,(AX23-INDEX('分群統計'!$L$5:$L$8,MATCH(X23,'分群統計'!$A$5:$A$8,0)))/INDEX('分群統計'!$M$5:$M$8,MATCH(X23,'分群統計'!$A$5:$A$8,0)))),0)),""))</f>
        <v/>
      </c>
      <c r="AN23" s="31">
        <f>IF(ISNUMBER(AB23),IF(Z23&gt;0,AB23/Z23*100,""),"")</f>
        <v/>
      </c>
      <c r="AO23" s="31">
        <f>IF(BA23&lt;&gt;1,"",IFERROR(IF(INDEX('分群統計'!$N$5:$N$8,MATCH(X23,'分群統計'!$A$5:$A$8,0))&lt;3,"",IF(INDEX('分群統計'!$P$5:$P$8,MATCH(X23,'分群統計'!$A$5:$A$8,0))&gt;0,MAX(-3,MIN(3,(AZ23-INDEX('分群統計'!$O$5:$O$8,MATCH(X23,'分群統計'!$A$5:$A$8,0)))/INDEX('分群統計'!$P$5:$P$8,MATCH(X23,'分群統計'!$A$5:$A$8,0)))),0)),""))</f>
        <v/>
      </c>
      <c r="AP23" s="31">
        <f>IF(BC23&lt;&gt;1,"",IFERROR(IF(INDEX('分群統計'!$Q$5:$Q$8,MATCH(X23,'分群統計'!$A$5:$A$8,0))&lt;3,"",IF(INDEX('分群統計'!$S$5:$S$8,MATCH(X23,'分群統計'!$A$5:$A$8,0))&gt;0,MAX(-3,MIN(3,(BB23-INDEX('分群統計'!$R$5:$R$8,MATCH(X23,'分群統計'!$A$5:$A$8,0)))/INDEX('分群統計'!$S$5:$S$8,MATCH(X23,'分群統計'!$A$5:$A$8,0)))),0)),""))</f>
        <v/>
      </c>
      <c r="AQ23" s="31">
        <f>IF(Y23=1,(IF(ISNUMBER(AF23),AF23,0)*'參數'!$B$13+IF(ISNUMBER(AM23),AM23,0)*'參數'!$B$14+IF(ISNUMBER(AO23),AO23,0)*'參數'!$B$15+IF(ISNUMBER(AP23),AP23,0)*'參數'!$B$16)/('參數'!$B$13+'參數'!$B$14+'參數'!$B$15+'參數'!$B$16),"")</f>
        <v/>
      </c>
      <c r="AR23" s="35">
        <f>IF(Y23=1,(SUMPRODUCT(($X$5:$X$404=X23)*($Y$5:$Y$404=1)*($BD$5:$BD$404&gt;BD23))+1)/COUNTIFS($X$5:$X$404,X23,$Y$5:$Y$404,1),"")</f>
        <v/>
      </c>
      <c r="AS23" s="8">
        <f>IF(ISNUMBER(AR23),IF(AR23&lt;='參數'!$B$18,"加碼候選",IF(AR23&gt;'參數'!$B$19,"減碼候選","")),"")</f>
        <v/>
      </c>
      <c r="AT23" s="7">
        <f>IF(Y23=1,N23,0)</f>
        <v/>
      </c>
      <c r="AU23" s="7">
        <f>IF(Y23=1,LN(O23),0)</f>
        <v/>
      </c>
      <c r="AV23" s="36">
        <f>IF(Y23=1,IF(ISNUMBER(F23),F23,0),0)</f>
        <v/>
      </c>
      <c r="AW23" s="7">
        <f>IF(Y23=1,Z23,0)</f>
        <v/>
      </c>
      <c r="AX23" s="7">
        <f>IF(Y23=1,IF(ISNUMBER(AL23),AL23,0),0)</f>
        <v/>
      </c>
      <c r="AY23" s="7">
        <f>IF(Y23=1,IF(ISNUMBER(AL23),1,0),0)</f>
        <v/>
      </c>
      <c r="AZ23" s="7">
        <f>IF(Y23=1,IF(ISNUMBER(AN23),AN23,0),0)</f>
        <v/>
      </c>
      <c r="BA23" s="7">
        <f>IF(Y23=1,IF(ISNUMBER(AN23),1,0),0)</f>
        <v/>
      </c>
      <c r="BB23" s="7">
        <f>IF(Y23=1,IF(ISNUMBER(T23),T23,0),0)</f>
        <v/>
      </c>
      <c r="BC23" s="7">
        <f>IF(Y23=1,IF(ISNUMBER(T23),1,0),0)</f>
        <v/>
      </c>
      <c r="BD23" s="7">
        <f>IF(Y23=1,AQ23+ROW()/1E9,-1E9)</f>
        <v/>
      </c>
      <c r="BE23" s="7">
        <f>IF(Y23=1,AQ23+ROW()/1E9,1E9)</f>
        <v/>
      </c>
    </row>
    <row r="24">
      <c r="A24" s="16" t="n"/>
      <c r="B24" s="8">
        <f>IF($A24="","",BDP($A24,B$3))</f>
        <v/>
      </c>
      <c r="C24" s="8">
        <f>IF($A24="","",BDP($A24,C$3))</f>
        <v/>
      </c>
      <c r="D24" s="28">
        <f>IF($A24="","",BDP($A24,D$3))</f>
        <v/>
      </c>
      <c r="E24" s="29">
        <f>IF($A24="","",BDP($A24,E$3))</f>
        <v/>
      </c>
      <c r="F24" s="17">
        <f>IF($A24="","",BDP($A24,F$3))</f>
        <v/>
      </c>
      <c r="G24" s="8">
        <f>IF($A24="","",BDP($A24,G$3))</f>
        <v/>
      </c>
      <c r="H24" s="8">
        <f>IF($A24="","",BDP($A24,H$3))</f>
        <v/>
      </c>
      <c r="I24" s="8">
        <f>IF($A24="","",BDP($A24,I$3))</f>
        <v/>
      </c>
      <c r="J24" s="8">
        <f>IF($A24="","",BDP($A24,J$3))</f>
        <v/>
      </c>
      <c r="K24" s="8">
        <f>IF($A24="","",BDP($A24,K$3))</f>
        <v/>
      </c>
      <c r="L24" s="28">
        <f>IF($A24="","",BDP($A24,L$3))</f>
        <v/>
      </c>
      <c r="M24" s="28">
        <f>IF($A24="","",BDP($A24,M$3))</f>
        <v/>
      </c>
      <c r="N24" s="30">
        <f>IF($A24="","",BDP($A24,N$3))</f>
        <v/>
      </c>
      <c r="O24" s="31">
        <f>IF($A24="","",BDP($A24,O$3))</f>
        <v/>
      </c>
      <c r="P24" s="30">
        <f>IF($A24="","",BDH($A24,$N$3,'參數'!$B$5,'參數'!$B$5,"Days=A","Fill=P","Dates=H"))</f>
        <v/>
      </c>
      <c r="Q24" s="30">
        <f>IF($A24="","",BDH($A24,$N$3,'參數'!$B$6,'參數'!$B$6,"Days=A","Fill=P","Dates=H"))</f>
        <v/>
      </c>
      <c r="R24" s="30">
        <f>IF($A24="","",BDH($A24,$N$3,'參數'!$B$7,'參數'!$B$7,"Days=A","Fill=P","Dates=H"))</f>
        <v/>
      </c>
      <c r="S24" s="32">
        <f>IF($A24="","",IFERROR(INDEX('發行人'!$A$5:$A$44,MATCH(B24,'發行人'!$D$5:$D$44,0)),"未對應"))</f>
        <v/>
      </c>
      <c r="T24" s="24">
        <f>IF($A24="","",IFERROR(INDEX('發行人'!$G$5:$G$44,MATCH(B24,'發行人'!$D$5:$D$44,0))+0,""))</f>
        <v/>
      </c>
      <c r="U24" s="18">
        <f>IF(ISNUMBER(E24),YEARFRAC('參數'!$B$4,E24),"")</f>
        <v/>
      </c>
      <c r="V24" s="8">
        <f>IF(U24="","",IF(U24&lt;3,"1-3y",IF(U24&lt;5,"3-5y",IF(U24&lt;7,"5-7y",IF(U24&lt;10,"7-10y","10y+")))))</f>
        <v/>
      </c>
      <c r="W24" s="30">
        <f>IF($A24="","",IFERROR(INDEX('參數'!$B$24:$B$45,MATCH(G24,'參數'!$A$24:$A$45,0)),""))</f>
        <v/>
      </c>
      <c r="X24" s="8">
        <f>IF($A24="","",IFERROR(INDEX('參數'!$C$24:$C$45,MATCH(G24,'參數'!$A$24:$A$45,0)),""))</f>
        <v/>
      </c>
      <c r="Y24" s="30">
        <f>IF(AND(ISNUMBER(N24),ISNUMBER(O24),ISNUMBER(U24)),IF(AND(O24&gt;0,X24&lt;&gt;""),1,0),0)</f>
        <v/>
      </c>
      <c r="Z24" s="17">
        <f>IF(Y24=1,O24*N24,"")</f>
        <v/>
      </c>
      <c r="AA24" s="33">
        <f>IF(Y24=1,IF(ISNUMBER(Q24),N24-Q24,""),"")</f>
        <v/>
      </c>
      <c r="AB24" s="33">
        <f>IF(Y24=1,IF(AND(ISNUMBER(P24),ISNUMBER(R24)),R24*5/12-O24*(P24-R24),""),"")</f>
        <v/>
      </c>
      <c r="AC24" s="30">
        <f>IF(Y24=1,COUNTIFS($X$5:$X$404,X24,$V$5:$V$404,V24,$Y$5:$Y$404,1),"")</f>
        <v/>
      </c>
      <c r="AD24" s="30">
        <f>IF(Y24=1,IFERROR(IF(AC24&gt;='參數'!$B$9,INDEX('分群統計'!$G$13:$K$16,MATCH(X24,'分群統計'!$A$13:$A$16,0),MATCH(V24,'分群統計'!$G$12:$K$12,0)),INDEX('分群統計'!$I$5:$I$8,MATCH(X24,'分群統計'!$A$5:$A$8,0))),""),"")</f>
        <v/>
      </c>
      <c r="AE24" s="18">
        <f>IF(Y24=1,IFERROR(IF(AC24&gt;='參數'!$B$9,INDEX('分群統計'!$L$13:$P$16,MATCH(X24,'分群統計'!$A$13:$A$16,0),MATCH(V24,'分群統計'!$L$12:$P$12,0)),INDEX('分群統計'!$J$5:$J$8,MATCH(X24,'分群統計'!$A$5:$A$8,0))),""),"")</f>
        <v/>
      </c>
      <c r="AF24" s="31">
        <f>IF(ISNUMBER(AE24),IF(AE24&gt;0,MAX(-3,MIN(3,(N24-AD24)/AE24)),0),"")</f>
        <v/>
      </c>
      <c r="AG24" s="30">
        <f>IF(Y24=1,COUNTIFS($B$5:$B$404,B24,$Y$5:$Y$404,1),"")</f>
        <v/>
      </c>
      <c r="AH24" s="30">
        <f>IF(Y24=1,IFERROR(IF(ISNUMBER(INDEX('分群統計'!$G$20:$G$59,MATCH(B24,'分群統計'!$A$20:$A$59,0))),INDEX('分群統計'!$H$20:$H$59,MATCH(B24,'分群統計'!$A$20:$A$59,0))+INDEX('分群統計'!$G$20:$G$59,MATCH(B24,'分群統計'!$A$20:$A$59,0))*AU24,""),""),"")</f>
        <v/>
      </c>
      <c r="AI24" s="34">
        <f>IF(ISNUMBER(AH24),N24-AH24,"")</f>
        <v/>
      </c>
      <c r="AJ24" s="30">
        <f>IF(Y24=1,IFERROR(IF(ISNUMBER(INDEX('分群統計'!$G$5:$G$8,MATCH(X24,'分群統計'!$A$5:$A$8,0))),INDEX('分群統計'!$H$5:$H$8,MATCH(X24,'分群統計'!$A$5:$A$8,0))+INDEX('分群統計'!$G$5:$G$8,MATCH(X24,'分群統計'!$A$5:$A$8,0))*AU24,""),""),"")</f>
        <v/>
      </c>
      <c r="AK24" s="34">
        <f>IF(ISNUMBER(AJ24),N24-AJ24,"")</f>
        <v/>
      </c>
      <c r="AL24" s="21">
        <f>IF(ISNUMBER(AJ24),IF(AJ24&gt;0,AK24/AJ24,""),"")</f>
        <v/>
      </c>
      <c r="AM24" s="31">
        <f>IF(AY24&lt;&gt;1,"",IFERROR(IF(INDEX('分群統計'!$K$5:$K$8,MATCH(X24,'分群統計'!$A$5:$A$8,0))&lt;3,"",IF(INDEX('分群統計'!$M$5:$M$8,MATCH(X24,'分群統計'!$A$5:$A$8,0))&gt;0,MAX(-3,MIN(3,(AX24-INDEX('分群統計'!$L$5:$L$8,MATCH(X24,'分群統計'!$A$5:$A$8,0)))/INDEX('分群統計'!$M$5:$M$8,MATCH(X24,'分群統計'!$A$5:$A$8,0)))),0)),""))</f>
        <v/>
      </c>
      <c r="AN24" s="31">
        <f>IF(ISNUMBER(AB24),IF(Z24&gt;0,AB24/Z24*100,""),"")</f>
        <v/>
      </c>
      <c r="AO24" s="31">
        <f>IF(BA24&lt;&gt;1,"",IFERROR(IF(INDEX('分群統計'!$N$5:$N$8,MATCH(X24,'分群統計'!$A$5:$A$8,0))&lt;3,"",IF(INDEX('分群統計'!$P$5:$P$8,MATCH(X24,'分群統計'!$A$5:$A$8,0))&gt;0,MAX(-3,MIN(3,(AZ24-INDEX('分群統計'!$O$5:$O$8,MATCH(X24,'分群統計'!$A$5:$A$8,0)))/INDEX('分群統計'!$P$5:$P$8,MATCH(X24,'分群統計'!$A$5:$A$8,0)))),0)),""))</f>
        <v/>
      </c>
      <c r="AP24" s="31">
        <f>IF(BC24&lt;&gt;1,"",IFERROR(IF(INDEX('分群統計'!$Q$5:$Q$8,MATCH(X24,'分群統計'!$A$5:$A$8,0))&lt;3,"",IF(INDEX('分群統計'!$S$5:$S$8,MATCH(X24,'分群統計'!$A$5:$A$8,0))&gt;0,MAX(-3,MIN(3,(BB24-INDEX('分群統計'!$R$5:$R$8,MATCH(X24,'分群統計'!$A$5:$A$8,0)))/INDEX('分群統計'!$S$5:$S$8,MATCH(X24,'分群統計'!$A$5:$A$8,0)))),0)),""))</f>
        <v/>
      </c>
      <c r="AQ24" s="31">
        <f>IF(Y24=1,(IF(ISNUMBER(AF24),AF24,0)*'參數'!$B$13+IF(ISNUMBER(AM24),AM24,0)*'參數'!$B$14+IF(ISNUMBER(AO24),AO24,0)*'參數'!$B$15+IF(ISNUMBER(AP24),AP24,0)*'參數'!$B$16)/('參數'!$B$13+'參數'!$B$14+'參數'!$B$15+'參數'!$B$16),"")</f>
        <v/>
      </c>
      <c r="AR24" s="35">
        <f>IF(Y24=1,(SUMPRODUCT(($X$5:$X$404=X24)*($Y$5:$Y$404=1)*($BD$5:$BD$404&gt;BD24))+1)/COUNTIFS($X$5:$X$404,X24,$Y$5:$Y$404,1),"")</f>
        <v/>
      </c>
      <c r="AS24" s="8">
        <f>IF(ISNUMBER(AR24),IF(AR24&lt;='參數'!$B$18,"加碼候選",IF(AR24&gt;'參數'!$B$19,"減碼候選","")),"")</f>
        <v/>
      </c>
      <c r="AT24" s="7">
        <f>IF(Y24=1,N24,0)</f>
        <v/>
      </c>
      <c r="AU24" s="7">
        <f>IF(Y24=1,LN(O24),0)</f>
        <v/>
      </c>
      <c r="AV24" s="36">
        <f>IF(Y24=1,IF(ISNUMBER(F24),F24,0),0)</f>
        <v/>
      </c>
      <c r="AW24" s="7">
        <f>IF(Y24=1,Z24,0)</f>
        <v/>
      </c>
      <c r="AX24" s="7">
        <f>IF(Y24=1,IF(ISNUMBER(AL24),AL24,0),0)</f>
        <v/>
      </c>
      <c r="AY24" s="7">
        <f>IF(Y24=1,IF(ISNUMBER(AL24),1,0),0)</f>
        <v/>
      </c>
      <c r="AZ24" s="7">
        <f>IF(Y24=1,IF(ISNUMBER(AN24),AN24,0),0)</f>
        <v/>
      </c>
      <c r="BA24" s="7">
        <f>IF(Y24=1,IF(ISNUMBER(AN24),1,0),0)</f>
        <v/>
      </c>
      <c r="BB24" s="7">
        <f>IF(Y24=1,IF(ISNUMBER(T24),T24,0),0)</f>
        <v/>
      </c>
      <c r="BC24" s="7">
        <f>IF(Y24=1,IF(ISNUMBER(T24),1,0),0)</f>
        <v/>
      </c>
      <c r="BD24" s="7">
        <f>IF(Y24=1,AQ24+ROW()/1E9,-1E9)</f>
        <v/>
      </c>
      <c r="BE24" s="7">
        <f>IF(Y24=1,AQ24+ROW()/1E9,1E9)</f>
        <v/>
      </c>
    </row>
    <row r="25">
      <c r="A25" s="16" t="n"/>
      <c r="B25" s="8">
        <f>IF($A25="","",BDP($A25,B$3))</f>
        <v/>
      </c>
      <c r="C25" s="8">
        <f>IF($A25="","",BDP($A25,C$3))</f>
        <v/>
      </c>
      <c r="D25" s="28">
        <f>IF($A25="","",BDP($A25,D$3))</f>
        <v/>
      </c>
      <c r="E25" s="29">
        <f>IF($A25="","",BDP($A25,E$3))</f>
        <v/>
      </c>
      <c r="F25" s="17">
        <f>IF($A25="","",BDP($A25,F$3))</f>
        <v/>
      </c>
      <c r="G25" s="8">
        <f>IF($A25="","",BDP($A25,G$3))</f>
        <v/>
      </c>
      <c r="H25" s="8">
        <f>IF($A25="","",BDP($A25,H$3))</f>
        <v/>
      </c>
      <c r="I25" s="8">
        <f>IF($A25="","",BDP($A25,I$3))</f>
        <v/>
      </c>
      <c r="J25" s="8">
        <f>IF($A25="","",BDP($A25,J$3))</f>
        <v/>
      </c>
      <c r="K25" s="8">
        <f>IF($A25="","",BDP($A25,K$3))</f>
        <v/>
      </c>
      <c r="L25" s="28">
        <f>IF($A25="","",BDP($A25,L$3))</f>
        <v/>
      </c>
      <c r="M25" s="28">
        <f>IF($A25="","",BDP($A25,M$3))</f>
        <v/>
      </c>
      <c r="N25" s="30">
        <f>IF($A25="","",BDP($A25,N$3))</f>
        <v/>
      </c>
      <c r="O25" s="31">
        <f>IF($A25="","",BDP($A25,O$3))</f>
        <v/>
      </c>
      <c r="P25" s="30">
        <f>IF($A25="","",BDH($A25,$N$3,'參數'!$B$5,'參數'!$B$5,"Days=A","Fill=P","Dates=H"))</f>
        <v/>
      </c>
      <c r="Q25" s="30">
        <f>IF($A25="","",BDH($A25,$N$3,'參數'!$B$6,'參數'!$B$6,"Days=A","Fill=P","Dates=H"))</f>
        <v/>
      </c>
      <c r="R25" s="30">
        <f>IF($A25="","",BDH($A25,$N$3,'參數'!$B$7,'參數'!$B$7,"Days=A","Fill=P","Dates=H"))</f>
        <v/>
      </c>
      <c r="S25" s="32">
        <f>IF($A25="","",IFERROR(INDEX('發行人'!$A$5:$A$44,MATCH(B25,'發行人'!$D$5:$D$44,0)),"未對應"))</f>
        <v/>
      </c>
      <c r="T25" s="24">
        <f>IF($A25="","",IFERROR(INDEX('發行人'!$G$5:$G$44,MATCH(B25,'發行人'!$D$5:$D$44,0))+0,""))</f>
        <v/>
      </c>
      <c r="U25" s="18">
        <f>IF(ISNUMBER(E25),YEARFRAC('參數'!$B$4,E25),"")</f>
        <v/>
      </c>
      <c r="V25" s="8">
        <f>IF(U25="","",IF(U25&lt;3,"1-3y",IF(U25&lt;5,"3-5y",IF(U25&lt;7,"5-7y",IF(U25&lt;10,"7-10y","10y+")))))</f>
        <v/>
      </c>
      <c r="W25" s="30">
        <f>IF($A25="","",IFERROR(INDEX('參數'!$B$24:$B$45,MATCH(G25,'參數'!$A$24:$A$45,0)),""))</f>
        <v/>
      </c>
      <c r="X25" s="8">
        <f>IF($A25="","",IFERROR(INDEX('參數'!$C$24:$C$45,MATCH(G25,'參數'!$A$24:$A$45,0)),""))</f>
        <v/>
      </c>
      <c r="Y25" s="30">
        <f>IF(AND(ISNUMBER(N25),ISNUMBER(O25),ISNUMBER(U25)),IF(AND(O25&gt;0,X25&lt;&gt;""),1,0),0)</f>
        <v/>
      </c>
      <c r="Z25" s="17">
        <f>IF(Y25=1,O25*N25,"")</f>
        <v/>
      </c>
      <c r="AA25" s="33">
        <f>IF(Y25=1,IF(ISNUMBER(Q25),N25-Q25,""),"")</f>
        <v/>
      </c>
      <c r="AB25" s="33">
        <f>IF(Y25=1,IF(AND(ISNUMBER(P25),ISNUMBER(R25)),R25*5/12-O25*(P25-R25),""),"")</f>
        <v/>
      </c>
      <c r="AC25" s="30">
        <f>IF(Y25=1,COUNTIFS($X$5:$X$404,X25,$V$5:$V$404,V25,$Y$5:$Y$404,1),"")</f>
        <v/>
      </c>
      <c r="AD25" s="30">
        <f>IF(Y25=1,IFERROR(IF(AC25&gt;='參數'!$B$9,INDEX('分群統計'!$G$13:$K$16,MATCH(X25,'分群統計'!$A$13:$A$16,0),MATCH(V25,'分群統計'!$G$12:$K$12,0)),INDEX('分群統計'!$I$5:$I$8,MATCH(X25,'分群統計'!$A$5:$A$8,0))),""),"")</f>
        <v/>
      </c>
      <c r="AE25" s="18">
        <f>IF(Y25=1,IFERROR(IF(AC25&gt;='參數'!$B$9,INDEX('分群統計'!$L$13:$P$16,MATCH(X25,'分群統計'!$A$13:$A$16,0),MATCH(V25,'分群統計'!$L$12:$P$12,0)),INDEX('分群統計'!$J$5:$J$8,MATCH(X25,'分群統計'!$A$5:$A$8,0))),""),"")</f>
        <v/>
      </c>
      <c r="AF25" s="31">
        <f>IF(ISNUMBER(AE25),IF(AE25&gt;0,MAX(-3,MIN(3,(N25-AD25)/AE25)),0),"")</f>
        <v/>
      </c>
      <c r="AG25" s="30">
        <f>IF(Y25=1,COUNTIFS($B$5:$B$404,B25,$Y$5:$Y$404,1),"")</f>
        <v/>
      </c>
      <c r="AH25" s="30">
        <f>IF(Y25=1,IFERROR(IF(ISNUMBER(INDEX('分群統計'!$G$20:$G$59,MATCH(B25,'分群統計'!$A$20:$A$59,0))),INDEX('分群統計'!$H$20:$H$59,MATCH(B25,'分群統計'!$A$20:$A$59,0))+INDEX('分群統計'!$G$20:$G$59,MATCH(B25,'分群統計'!$A$20:$A$59,0))*AU25,""),""),"")</f>
        <v/>
      </c>
      <c r="AI25" s="34">
        <f>IF(ISNUMBER(AH25),N25-AH25,"")</f>
        <v/>
      </c>
      <c r="AJ25" s="30">
        <f>IF(Y25=1,IFERROR(IF(ISNUMBER(INDEX('分群統計'!$G$5:$G$8,MATCH(X25,'分群統計'!$A$5:$A$8,0))),INDEX('分群統計'!$H$5:$H$8,MATCH(X25,'分群統計'!$A$5:$A$8,0))+INDEX('分群統計'!$G$5:$G$8,MATCH(X25,'分群統計'!$A$5:$A$8,0))*AU25,""),""),"")</f>
        <v/>
      </c>
      <c r="AK25" s="34">
        <f>IF(ISNUMBER(AJ25),N25-AJ25,"")</f>
        <v/>
      </c>
      <c r="AL25" s="21">
        <f>IF(ISNUMBER(AJ25),IF(AJ25&gt;0,AK25/AJ25,""),"")</f>
        <v/>
      </c>
      <c r="AM25" s="31">
        <f>IF(AY25&lt;&gt;1,"",IFERROR(IF(INDEX('分群統計'!$K$5:$K$8,MATCH(X25,'分群統計'!$A$5:$A$8,0))&lt;3,"",IF(INDEX('分群統計'!$M$5:$M$8,MATCH(X25,'分群統計'!$A$5:$A$8,0))&gt;0,MAX(-3,MIN(3,(AX25-INDEX('分群統計'!$L$5:$L$8,MATCH(X25,'分群統計'!$A$5:$A$8,0)))/INDEX('分群統計'!$M$5:$M$8,MATCH(X25,'分群統計'!$A$5:$A$8,0)))),0)),""))</f>
        <v/>
      </c>
      <c r="AN25" s="31">
        <f>IF(ISNUMBER(AB25),IF(Z25&gt;0,AB25/Z25*100,""),"")</f>
        <v/>
      </c>
      <c r="AO25" s="31">
        <f>IF(BA25&lt;&gt;1,"",IFERROR(IF(INDEX('分群統計'!$N$5:$N$8,MATCH(X25,'分群統計'!$A$5:$A$8,0))&lt;3,"",IF(INDEX('分群統計'!$P$5:$P$8,MATCH(X25,'分群統計'!$A$5:$A$8,0))&gt;0,MAX(-3,MIN(3,(AZ25-INDEX('分群統計'!$O$5:$O$8,MATCH(X25,'分群統計'!$A$5:$A$8,0)))/INDEX('分群統計'!$P$5:$P$8,MATCH(X25,'分群統計'!$A$5:$A$8,0)))),0)),""))</f>
        <v/>
      </c>
      <c r="AP25" s="31">
        <f>IF(BC25&lt;&gt;1,"",IFERROR(IF(INDEX('分群統計'!$Q$5:$Q$8,MATCH(X25,'分群統計'!$A$5:$A$8,0))&lt;3,"",IF(INDEX('分群統計'!$S$5:$S$8,MATCH(X25,'分群統計'!$A$5:$A$8,0))&gt;0,MAX(-3,MIN(3,(BB25-INDEX('分群統計'!$R$5:$R$8,MATCH(X25,'分群統計'!$A$5:$A$8,0)))/INDEX('分群統計'!$S$5:$S$8,MATCH(X25,'分群統計'!$A$5:$A$8,0)))),0)),""))</f>
        <v/>
      </c>
      <c r="AQ25" s="31">
        <f>IF(Y25=1,(IF(ISNUMBER(AF25),AF25,0)*'參數'!$B$13+IF(ISNUMBER(AM25),AM25,0)*'參數'!$B$14+IF(ISNUMBER(AO25),AO25,0)*'參數'!$B$15+IF(ISNUMBER(AP25),AP25,0)*'參數'!$B$16)/('參數'!$B$13+'參數'!$B$14+'參數'!$B$15+'參數'!$B$16),"")</f>
        <v/>
      </c>
      <c r="AR25" s="35">
        <f>IF(Y25=1,(SUMPRODUCT(($X$5:$X$404=X25)*($Y$5:$Y$404=1)*($BD$5:$BD$404&gt;BD25))+1)/COUNTIFS($X$5:$X$404,X25,$Y$5:$Y$404,1),"")</f>
        <v/>
      </c>
      <c r="AS25" s="8">
        <f>IF(ISNUMBER(AR25),IF(AR25&lt;='參數'!$B$18,"加碼候選",IF(AR25&gt;'參數'!$B$19,"減碼候選","")),"")</f>
        <v/>
      </c>
      <c r="AT25" s="7">
        <f>IF(Y25=1,N25,0)</f>
        <v/>
      </c>
      <c r="AU25" s="7">
        <f>IF(Y25=1,LN(O25),0)</f>
        <v/>
      </c>
      <c r="AV25" s="36">
        <f>IF(Y25=1,IF(ISNUMBER(F25),F25,0),0)</f>
        <v/>
      </c>
      <c r="AW25" s="7">
        <f>IF(Y25=1,Z25,0)</f>
        <v/>
      </c>
      <c r="AX25" s="7">
        <f>IF(Y25=1,IF(ISNUMBER(AL25),AL25,0),0)</f>
        <v/>
      </c>
      <c r="AY25" s="7">
        <f>IF(Y25=1,IF(ISNUMBER(AL25),1,0),0)</f>
        <v/>
      </c>
      <c r="AZ25" s="7">
        <f>IF(Y25=1,IF(ISNUMBER(AN25),AN25,0),0)</f>
        <v/>
      </c>
      <c r="BA25" s="7">
        <f>IF(Y25=1,IF(ISNUMBER(AN25),1,0),0)</f>
        <v/>
      </c>
      <c r="BB25" s="7">
        <f>IF(Y25=1,IF(ISNUMBER(T25),T25,0),0)</f>
        <v/>
      </c>
      <c r="BC25" s="7">
        <f>IF(Y25=1,IF(ISNUMBER(T25),1,0),0)</f>
        <v/>
      </c>
      <c r="BD25" s="7">
        <f>IF(Y25=1,AQ25+ROW()/1E9,-1E9)</f>
        <v/>
      </c>
      <c r="BE25" s="7">
        <f>IF(Y25=1,AQ25+ROW()/1E9,1E9)</f>
        <v/>
      </c>
    </row>
    <row r="26">
      <c r="A26" s="16" t="n"/>
      <c r="B26" s="8">
        <f>IF($A26="","",BDP($A26,B$3))</f>
        <v/>
      </c>
      <c r="C26" s="8">
        <f>IF($A26="","",BDP($A26,C$3))</f>
        <v/>
      </c>
      <c r="D26" s="28">
        <f>IF($A26="","",BDP($A26,D$3))</f>
        <v/>
      </c>
      <c r="E26" s="29">
        <f>IF($A26="","",BDP($A26,E$3))</f>
        <v/>
      </c>
      <c r="F26" s="17">
        <f>IF($A26="","",BDP($A26,F$3))</f>
        <v/>
      </c>
      <c r="G26" s="8">
        <f>IF($A26="","",BDP($A26,G$3))</f>
        <v/>
      </c>
      <c r="H26" s="8">
        <f>IF($A26="","",BDP($A26,H$3))</f>
        <v/>
      </c>
      <c r="I26" s="8">
        <f>IF($A26="","",BDP($A26,I$3))</f>
        <v/>
      </c>
      <c r="J26" s="8">
        <f>IF($A26="","",BDP($A26,J$3))</f>
        <v/>
      </c>
      <c r="K26" s="8">
        <f>IF($A26="","",BDP($A26,K$3))</f>
        <v/>
      </c>
      <c r="L26" s="28">
        <f>IF($A26="","",BDP($A26,L$3))</f>
        <v/>
      </c>
      <c r="M26" s="28">
        <f>IF($A26="","",BDP($A26,M$3))</f>
        <v/>
      </c>
      <c r="N26" s="30">
        <f>IF($A26="","",BDP($A26,N$3))</f>
        <v/>
      </c>
      <c r="O26" s="31">
        <f>IF($A26="","",BDP($A26,O$3))</f>
        <v/>
      </c>
      <c r="P26" s="30">
        <f>IF($A26="","",BDH($A26,$N$3,'參數'!$B$5,'參數'!$B$5,"Days=A","Fill=P","Dates=H"))</f>
        <v/>
      </c>
      <c r="Q26" s="30">
        <f>IF($A26="","",BDH($A26,$N$3,'參數'!$B$6,'參數'!$B$6,"Days=A","Fill=P","Dates=H"))</f>
        <v/>
      </c>
      <c r="R26" s="30">
        <f>IF($A26="","",BDH($A26,$N$3,'參數'!$B$7,'參數'!$B$7,"Days=A","Fill=P","Dates=H"))</f>
        <v/>
      </c>
      <c r="S26" s="32">
        <f>IF($A26="","",IFERROR(INDEX('發行人'!$A$5:$A$44,MATCH(B26,'發行人'!$D$5:$D$44,0)),"未對應"))</f>
        <v/>
      </c>
      <c r="T26" s="24">
        <f>IF($A26="","",IFERROR(INDEX('發行人'!$G$5:$G$44,MATCH(B26,'發行人'!$D$5:$D$44,0))+0,""))</f>
        <v/>
      </c>
      <c r="U26" s="18">
        <f>IF(ISNUMBER(E26),YEARFRAC('參數'!$B$4,E26),"")</f>
        <v/>
      </c>
      <c r="V26" s="8">
        <f>IF(U26="","",IF(U26&lt;3,"1-3y",IF(U26&lt;5,"3-5y",IF(U26&lt;7,"5-7y",IF(U26&lt;10,"7-10y","10y+")))))</f>
        <v/>
      </c>
      <c r="W26" s="30">
        <f>IF($A26="","",IFERROR(INDEX('參數'!$B$24:$B$45,MATCH(G26,'參數'!$A$24:$A$45,0)),""))</f>
        <v/>
      </c>
      <c r="X26" s="8">
        <f>IF($A26="","",IFERROR(INDEX('參數'!$C$24:$C$45,MATCH(G26,'參數'!$A$24:$A$45,0)),""))</f>
        <v/>
      </c>
      <c r="Y26" s="30">
        <f>IF(AND(ISNUMBER(N26),ISNUMBER(O26),ISNUMBER(U26)),IF(AND(O26&gt;0,X26&lt;&gt;""),1,0),0)</f>
        <v/>
      </c>
      <c r="Z26" s="17">
        <f>IF(Y26=1,O26*N26,"")</f>
        <v/>
      </c>
      <c r="AA26" s="33">
        <f>IF(Y26=1,IF(ISNUMBER(Q26),N26-Q26,""),"")</f>
        <v/>
      </c>
      <c r="AB26" s="33">
        <f>IF(Y26=1,IF(AND(ISNUMBER(P26),ISNUMBER(R26)),R26*5/12-O26*(P26-R26),""),"")</f>
        <v/>
      </c>
      <c r="AC26" s="30">
        <f>IF(Y26=1,COUNTIFS($X$5:$X$404,X26,$V$5:$V$404,V26,$Y$5:$Y$404,1),"")</f>
        <v/>
      </c>
      <c r="AD26" s="30">
        <f>IF(Y26=1,IFERROR(IF(AC26&gt;='參數'!$B$9,INDEX('分群統計'!$G$13:$K$16,MATCH(X26,'分群統計'!$A$13:$A$16,0),MATCH(V26,'分群統計'!$G$12:$K$12,0)),INDEX('分群統計'!$I$5:$I$8,MATCH(X26,'分群統計'!$A$5:$A$8,0))),""),"")</f>
        <v/>
      </c>
      <c r="AE26" s="18">
        <f>IF(Y26=1,IFERROR(IF(AC26&gt;='參數'!$B$9,INDEX('分群統計'!$L$13:$P$16,MATCH(X26,'分群統計'!$A$13:$A$16,0),MATCH(V26,'分群統計'!$L$12:$P$12,0)),INDEX('分群統計'!$J$5:$J$8,MATCH(X26,'分群統計'!$A$5:$A$8,0))),""),"")</f>
        <v/>
      </c>
      <c r="AF26" s="31">
        <f>IF(ISNUMBER(AE26),IF(AE26&gt;0,MAX(-3,MIN(3,(N26-AD26)/AE26)),0),"")</f>
        <v/>
      </c>
      <c r="AG26" s="30">
        <f>IF(Y26=1,COUNTIFS($B$5:$B$404,B26,$Y$5:$Y$404,1),"")</f>
        <v/>
      </c>
      <c r="AH26" s="30">
        <f>IF(Y26=1,IFERROR(IF(ISNUMBER(INDEX('分群統計'!$G$20:$G$59,MATCH(B26,'分群統計'!$A$20:$A$59,0))),INDEX('分群統計'!$H$20:$H$59,MATCH(B26,'分群統計'!$A$20:$A$59,0))+INDEX('分群統計'!$G$20:$G$59,MATCH(B26,'分群統計'!$A$20:$A$59,0))*AU26,""),""),"")</f>
        <v/>
      </c>
      <c r="AI26" s="34">
        <f>IF(ISNUMBER(AH26),N26-AH26,"")</f>
        <v/>
      </c>
      <c r="AJ26" s="30">
        <f>IF(Y26=1,IFERROR(IF(ISNUMBER(INDEX('分群統計'!$G$5:$G$8,MATCH(X26,'分群統計'!$A$5:$A$8,0))),INDEX('分群統計'!$H$5:$H$8,MATCH(X26,'分群統計'!$A$5:$A$8,0))+INDEX('分群統計'!$G$5:$G$8,MATCH(X26,'分群統計'!$A$5:$A$8,0))*AU26,""),""),"")</f>
        <v/>
      </c>
      <c r="AK26" s="34">
        <f>IF(ISNUMBER(AJ26),N26-AJ26,"")</f>
        <v/>
      </c>
      <c r="AL26" s="21">
        <f>IF(ISNUMBER(AJ26),IF(AJ26&gt;0,AK26/AJ26,""),"")</f>
        <v/>
      </c>
      <c r="AM26" s="31">
        <f>IF(AY26&lt;&gt;1,"",IFERROR(IF(INDEX('分群統計'!$K$5:$K$8,MATCH(X26,'分群統計'!$A$5:$A$8,0))&lt;3,"",IF(INDEX('分群統計'!$M$5:$M$8,MATCH(X26,'分群統計'!$A$5:$A$8,0))&gt;0,MAX(-3,MIN(3,(AX26-INDEX('分群統計'!$L$5:$L$8,MATCH(X26,'分群統計'!$A$5:$A$8,0)))/INDEX('分群統計'!$M$5:$M$8,MATCH(X26,'分群統計'!$A$5:$A$8,0)))),0)),""))</f>
        <v/>
      </c>
      <c r="AN26" s="31">
        <f>IF(ISNUMBER(AB26),IF(Z26&gt;0,AB26/Z26*100,""),"")</f>
        <v/>
      </c>
      <c r="AO26" s="31">
        <f>IF(BA26&lt;&gt;1,"",IFERROR(IF(INDEX('分群統計'!$N$5:$N$8,MATCH(X26,'分群統計'!$A$5:$A$8,0))&lt;3,"",IF(INDEX('分群統計'!$P$5:$P$8,MATCH(X26,'分群統計'!$A$5:$A$8,0))&gt;0,MAX(-3,MIN(3,(AZ26-INDEX('分群統計'!$O$5:$O$8,MATCH(X26,'分群統計'!$A$5:$A$8,0)))/INDEX('分群統計'!$P$5:$P$8,MATCH(X26,'分群統計'!$A$5:$A$8,0)))),0)),""))</f>
        <v/>
      </c>
      <c r="AP26" s="31">
        <f>IF(BC26&lt;&gt;1,"",IFERROR(IF(INDEX('分群統計'!$Q$5:$Q$8,MATCH(X26,'分群統計'!$A$5:$A$8,0))&lt;3,"",IF(INDEX('分群統計'!$S$5:$S$8,MATCH(X26,'分群統計'!$A$5:$A$8,0))&gt;0,MAX(-3,MIN(3,(BB26-INDEX('分群統計'!$R$5:$R$8,MATCH(X26,'分群統計'!$A$5:$A$8,0)))/INDEX('分群統計'!$S$5:$S$8,MATCH(X26,'分群統計'!$A$5:$A$8,0)))),0)),""))</f>
        <v/>
      </c>
      <c r="AQ26" s="31">
        <f>IF(Y26=1,(IF(ISNUMBER(AF26),AF26,0)*'參數'!$B$13+IF(ISNUMBER(AM26),AM26,0)*'參數'!$B$14+IF(ISNUMBER(AO26),AO26,0)*'參數'!$B$15+IF(ISNUMBER(AP26),AP26,0)*'參數'!$B$16)/('參數'!$B$13+'參數'!$B$14+'參數'!$B$15+'參數'!$B$16),"")</f>
        <v/>
      </c>
      <c r="AR26" s="35">
        <f>IF(Y26=1,(SUMPRODUCT(($X$5:$X$404=X26)*($Y$5:$Y$404=1)*($BD$5:$BD$404&gt;BD26))+1)/COUNTIFS($X$5:$X$404,X26,$Y$5:$Y$404,1),"")</f>
        <v/>
      </c>
      <c r="AS26" s="8">
        <f>IF(ISNUMBER(AR26),IF(AR26&lt;='參數'!$B$18,"加碼候選",IF(AR26&gt;'參數'!$B$19,"減碼候選","")),"")</f>
        <v/>
      </c>
      <c r="AT26" s="7">
        <f>IF(Y26=1,N26,0)</f>
        <v/>
      </c>
      <c r="AU26" s="7">
        <f>IF(Y26=1,LN(O26),0)</f>
        <v/>
      </c>
      <c r="AV26" s="36">
        <f>IF(Y26=1,IF(ISNUMBER(F26),F26,0),0)</f>
        <v/>
      </c>
      <c r="AW26" s="7">
        <f>IF(Y26=1,Z26,0)</f>
        <v/>
      </c>
      <c r="AX26" s="7">
        <f>IF(Y26=1,IF(ISNUMBER(AL26),AL26,0),0)</f>
        <v/>
      </c>
      <c r="AY26" s="7">
        <f>IF(Y26=1,IF(ISNUMBER(AL26),1,0),0)</f>
        <v/>
      </c>
      <c r="AZ26" s="7">
        <f>IF(Y26=1,IF(ISNUMBER(AN26),AN26,0),0)</f>
        <v/>
      </c>
      <c r="BA26" s="7">
        <f>IF(Y26=1,IF(ISNUMBER(AN26),1,0),0)</f>
        <v/>
      </c>
      <c r="BB26" s="7">
        <f>IF(Y26=1,IF(ISNUMBER(T26),T26,0),0)</f>
        <v/>
      </c>
      <c r="BC26" s="7">
        <f>IF(Y26=1,IF(ISNUMBER(T26),1,0),0)</f>
        <v/>
      </c>
      <c r="BD26" s="7">
        <f>IF(Y26=1,AQ26+ROW()/1E9,-1E9)</f>
        <v/>
      </c>
      <c r="BE26" s="7">
        <f>IF(Y26=1,AQ26+ROW()/1E9,1E9)</f>
        <v/>
      </c>
    </row>
    <row r="27">
      <c r="A27" s="16" t="n"/>
      <c r="B27" s="8">
        <f>IF($A27="","",BDP($A27,B$3))</f>
        <v/>
      </c>
      <c r="C27" s="8">
        <f>IF($A27="","",BDP($A27,C$3))</f>
        <v/>
      </c>
      <c r="D27" s="28">
        <f>IF($A27="","",BDP($A27,D$3))</f>
        <v/>
      </c>
      <c r="E27" s="29">
        <f>IF($A27="","",BDP($A27,E$3))</f>
        <v/>
      </c>
      <c r="F27" s="17">
        <f>IF($A27="","",BDP($A27,F$3))</f>
        <v/>
      </c>
      <c r="G27" s="8">
        <f>IF($A27="","",BDP($A27,G$3))</f>
        <v/>
      </c>
      <c r="H27" s="8">
        <f>IF($A27="","",BDP($A27,H$3))</f>
        <v/>
      </c>
      <c r="I27" s="8">
        <f>IF($A27="","",BDP($A27,I$3))</f>
        <v/>
      </c>
      <c r="J27" s="8">
        <f>IF($A27="","",BDP($A27,J$3))</f>
        <v/>
      </c>
      <c r="K27" s="8">
        <f>IF($A27="","",BDP($A27,K$3))</f>
        <v/>
      </c>
      <c r="L27" s="28">
        <f>IF($A27="","",BDP($A27,L$3))</f>
        <v/>
      </c>
      <c r="M27" s="28">
        <f>IF($A27="","",BDP($A27,M$3))</f>
        <v/>
      </c>
      <c r="N27" s="30">
        <f>IF($A27="","",BDP($A27,N$3))</f>
        <v/>
      </c>
      <c r="O27" s="31">
        <f>IF($A27="","",BDP($A27,O$3))</f>
        <v/>
      </c>
      <c r="P27" s="30">
        <f>IF($A27="","",BDH($A27,$N$3,'參數'!$B$5,'參數'!$B$5,"Days=A","Fill=P","Dates=H"))</f>
        <v/>
      </c>
      <c r="Q27" s="30">
        <f>IF($A27="","",BDH($A27,$N$3,'參數'!$B$6,'參數'!$B$6,"Days=A","Fill=P","Dates=H"))</f>
        <v/>
      </c>
      <c r="R27" s="30">
        <f>IF($A27="","",BDH($A27,$N$3,'參數'!$B$7,'參數'!$B$7,"Days=A","Fill=P","Dates=H"))</f>
        <v/>
      </c>
      <c r="S27" s="32">
        <f>IF($A27="","",IFERROR(INDEX('發行人'!$A$5:$A$44,MATCH(B27,'發行人'!$D$5:$D$44,0)),"未對應"))</f>
        <v/>
      </c>
      <c r="T27" s="24">
        <f>IF($A27="","",IFERROR(INDEX('發行人'!$G$5:$G$44,MATCH(B27,'發行人'!$D$5:$D$44,0))+0,""))</f>
        <v/>
      </c>
      <c r="U27" s="18">
        <f>IF(ISNUMBER(E27),YEARFRAC('參數'!$B$4,E27),"")</f>
        <v/>
      </c>
      <c r="V27" s="8">
        <f>IF(U27="","",IF(U27&lt;3,"1-3y",IF(U27&lt;5,"3-5y",IF(U27&lt;7,"5-7y",IF(U27&lt;10,"7-10y","10y+")))))</f>
        <v/>
      </c>
      <c r="W27" s="30">
        <f>IF($A27="","",IFERROR(INDEX('參數'!$B$24:$B$45,MATCH(G27,'參數'!$A$24:$A$45,0)),""))</f>
        <v/>
      </c>
      <c r="X27" s="8">
        <f>IF($A27="","",IFERROR(INDEX('參數'!$C$24:$C$45,MATCH(G27,'參數'!$A$24:$A$45,0)),""))</f>
        <v/>
      </c>
      <c r="Y27" s="30">
        <f>IF(AND(ISNUMBER(N27),ISNUMBER(O27),ISNUMBER(U27)),IF(AND(O27&gt;0,X27&lt;&gt;""),1,0),0)</f>
        <v/>
      </c>
      <c r="Z27" s="17">
        <f>IF(Y27=1,O27*N27,"")</f>
        <v/>
      </c>
      <c r="AA27" s="33">
        <f>IF(Y27=1,IF(ISNUMBER(Q27),N27-Q27,""),"")</f>
        <v/>
      </c>
      <c r="AB27" s="33">
        <f>IF(Y27=1,IF(AND(ISNUMBER(P27),ISNUMBER(R27)),R27*5/12-O27*(P27-R27),""),"")</f>
        <v/>
      </c>
      <c r="AC27" s="30">
        <f>IF(Y27=1,COUNTIFS($X$5:$X$404,X27,$V$5:$V$404,V27,$Y$5:$Y$404,1),"")</f>
        <v/>
      </c>
      <c r="AD27" s="30">
        <f>IF(Y27=1,IFERROR(IF(AC27&gt;='參數'!$B$9,INDEX('分群統計'!$G$13:$K$16,MATCH(X27,'分群統計'!$A$13:$A$16,0),MATCH(V27,'分群統計'!$G$12:$K$12,0)),INDEX('分群統計'!$I$5:$I$8,MATCH(X27,'分群統計'!$A$5:$A$8,0))),""),"")</f>
        <v/>
      </c>
      <c r="AE27" s="18">
        <f>IF(Y27=1,IFERROR(IF(AC27&gt;='參數'!$B$9,INDEX('分群統計'!$L$13:$P$16,MATCH(X27,'分群統計'!$A$13:$A$16,0),MATCH(V27,'分群統計'!$L$12:$P$12,0)),INDEX('分群統計'!$J$5:$J$8,MATCH(X27,'分群統計'!$A$5:$A$8,0))),""),"")</f>
        <v/>
      </c>
      <c r="AF27" s="31">
        <f>IF(ISNUMBER(AE27),IF(AE27&gt;0,MAX(-3,MIN(3,(N27-AD27)/AE27)),0),"")</f>
        <v/>
      </c>
      <c r="AG27" s="30">
        <f>IF(Y27=1,COUNTIFS($B$5:$B$404,B27,$Y$5:$Y$404,1),"")</f>
        <v/>
      </c>
      <c r="AH27" s="30">
        <f>IF(Y27=1,IFERROR(IF(ISNUMBER(INDEX('分群統計'!$G$20:$G$59,MATCH(B27,'分群統計'!$A$20:$A$59,0))),INDEX('分群統計'!$H$20:$H$59,MATCH(B27,'分群統計'!$A$20:$A$59,0))+INDEX('分群統計'!$G$20:$G$59,MATCH(B27,'分群統計'!$A$20:$A$59,0))*AU27,""),""),"")</f>
        <v/>
      </c>
      <c r="AI27" s="34">
        <f>IF(ISNUMBER(AH27),N27-AH27,"")</f>
        <v/>
      </c>
      <c r="AJ27" s="30">
        <f>IF(Y27=1,IFERROR(IF(ISNUMBER(INDEX('分群統計'!$G$5:$G$8,MATCH(X27,'分群統計'!$A$5:$A$8,0))),INDEX('分群統計'!$H$5:$H$8,MATCH(X27,'分群統計'!$A$5:$A$8,0))+INDEX('分群統計'!$G$5:$G$8,MATCH(X27,'分群統計'!$A$5:$A$8,0))*AU27,""),""),"")</f>
        <v/>
      </c>
      <c r="AK27" s="34">
        <f>IF(ISNUMBER(AJ27),N27-AJ27,"")</f>
        <v/>
      </c>
      <c r="AL27" s="21">
        <f>IF(ISNUMBER(AJ27),IF(AJ27&gt;0,AK27/AJ27,""),"")</f>
        <v/>
      </c>
      <c r="AM27" s="31">
        <f>IF(AY27&lt;&gt;1,"",IFERROR(IF(INDEX('分群統計'!$K$5:$K$8,MATCH(X27,'分群統計'!$A$5:$A$8,0))&lt;3,"",IF(INDEX('分群統計'!$M$5:$M$8,MATCH(X27,'分群統計'!$A$5:$A$8,0))&gt;0,MAX(-3,MIN(3,(AX27-INDEX('分群統計'!$L$5:$L$8,MATCH(X27,'分群統計'!$A$5:$A$8,0)))/INDEX('分群統計'!$M$5:$M$8,MATCH(X27,'分群統計'!$A$5:$A$8,0)))),0)),""))</f>
        <v/>
      </c>
      <c r="AN27" s="31">
        <f>IF(ISNUMBER(AB27),IF(Z27&gt;0,AB27/Z27*100,""),"")</f>
        <v/>
      </c>
      <c r="AO27" s="31">
        <f>IF(BA27&lt;&gt;1,"",IFERROR(IF(INDEX('分群統計'!$N$5:$N$8,MATCH(X27,'分群統計'!$A$5:$A$8,0))&lt;3,"",IF(INDEX('分群統計'!$P$5:$P$8,MATCH(X27,'分群統計'!$A$5:$A$8,0))&gt;0,MAX(-3,MIN(3,(AZ27-INDEX('分群統計'!$O$5:$O$8,MATCH(X27,'分群統計'!$A$5:$A$8,0)))/INDEX('分群統計'!$P$5:$P$8,MATCH(X27,'分群統計'!$A$5:$A$8,0)))),0)),""))</f>
        <v/>
      </c>
      <c r="AP27" s="31">
        <f>IF(BC27&lt;&gt;1,"",IFERROR(IF(INDEX('分群統計'!$Q$5:$Q$8,MATCH(X27,'分群統計'!$A$5:$A$8,0))&lt;3,"",IF(INDEX('分群統計'!$S$5:$S$8,MATCH(X27,'分群統計'!$A$5:$A$8,0))&gt;0,MAX(-3,MIN(3,(BB27-INDEX('分群統計'!$R$5:$R$8,MATCH(X27,'分群統計'!$A$5:$A$8,0)))/INDEX('分群統計'!$S$5:$S$8,MATCH(X27,'分群統計'!$A$5:$A$8,0)))),0)),""))</f>
        <v/>
      </c>
      <c r="AQ27" s="31">
        <f>IF(Y27=1,(IF(ISNUMBER(AF27),AF27,0)*'參數'!$B$13+IF(ISNUMBER(AM27),AM27,0)*'參數'!$B$14+IF(ISNUMBER(AO27),AO27,0)*'參數'!$B$15+IF(ISNUMBER(AP27),AP27,0)*'參數'!$B$16)/('參數'!$B$13+'參數'!$B$14+'參數'!$B$15+'參數'!$B$16),"")</f>
        <v/>
      </c>
      <c r="AR27" s="35">
        <f>IF(Y27=1,(SUMPRODUCT(($X$5:$X$404=X27)*($Y$5:$Y$404=1)*($BD$5:$BD$404&gt;BD27))+1)/COUNTIFS($X$5:$X$404,X27,$Y$5:$Y$404,1),"")</f>
        <v/>
      </c>
      <c r="AS27" s="8">
        <f>IF(ISNUMBER(AR27),IF(AR27&lt;='參數'!$B$18,"加碼候選",IF(AR27&gt;'參數'!$B$19,"減碼候選","")),"")</f>
        <v/>
      </c>
      <c r="AT27" s="7">
        <f>IF(Y27=1,N27,0)</f>
        <v/>
      </c>
      <c r="AU27" s="7">
        <f>IF(Y27=1,LN(O27),0)</f>
        <v/>
      </c>
      <c r="AV27" s="36">
        <f>IF(Y27=1,IF(ISNUMBER(F27),F27,0),0)</f>
        <v/>
      </c>
      <c r="AW27" s="7">
        <f>IF(Y27=1,Z27,0)</f>
        <v/>
      </c>
      <c r="AX27" s="7">
        <f>IF(Y27=1,IF(ISNUMBER(AL27),AL27,0),0)</f>
        <v/>
      </c>
      <c r="AY27" s="7">
        <f>IF(Y27=1,IF(ISNUMBER(AL27),1,0),0)</f>
        <v/>
      </c>
      <c r="AZ27" s="7">
        <f>IF(Y27=1,IF(ISNUMBER(AN27),AN27,0),0)</f>
        <v/>
      </c>
      <c r="BA27" s="7">
        <f>IF(Y27=1,IF(ISNUMBER(AN27),1,0),0)</f>
        <v/>
      </c>
      <c r="BB27" s="7">
        <f>IF(Y27=1,IF(ISNUMBER(T27),T27,0),0)</f>
        <v/>
      </c>
      <c r="BC27" s="7">
        <f>IF(Y27=1,IF(ISNUMBER(T27),1,0),0)</f>
        <v/>
      </c>
      <c r="BD27" s="7">
        <f>IF(Y27=1,AQ27+ROW()/1E9,-1E9)</f>
        <v/>
      </c>
      <c r="BE27" s="7">
        <f>IF(Y27=1,AQ27+ROW()/1E9,1E9)</f>
        <v/>
      </c>
    </row>
    <row r="28">
      <c r="A28" s="16" t="n"/>
      <c r="B28" s="8">
        <f>IF($A28="","",BDP($A28,B$3))</f>
        <v/>
      </c>
      <c r="C28" s="8">
        <f>IF($A28="","",BDP($A28,C$3))</f>
        <v/>
      </c>
      <c r="D28" s="28">
        <f>IF($A28="","",BDP($A28,D$3))</f>
        <v/>
      </c>
      <c r="E28" s="29">
        <f>IF($A28="","",BDP($A28,E$3))</f>
        <v/>
      </c>
      <c r="F28" s="17">
        <f>IF($A28="","",BDP($A28,F$3))</f>
        <v/>
      </c>
      <c r="G28" s="8">
        <f>IF($A28="","",BDP($A28,G$3))</f>
        <v/>
      </c>
      <c r="H28" s="8">
        <f>IF($A28="","",BDP($A28,H$3))</f>
        <v/>
      </c>
      <c r="I28" s="8">
        <f>IF($A28="","",BDP($A28,I$3))</f>
        <v/>
      </c>
      <c r="J28" s="8">
        <f>IF($A28="","",BDP($A28,J$3))</f>
        <v/>
      </c>
      <c r="K28" s="8">
        <f>IF($A28="","",BDP($A28,K$3))</f>
        <v/>
      </c>
      <c r="L28" s="28">
        <f>IF($A28="","",BDP($A28,L$3))</f>
        <v/>
      </c>
      <c r="M28" s="28">
        <f>IF($A28="","",BDP($A28,M$3))</f>
        <v/>
      </c>
      <c r="N28" s="30">
        <f>IF($A28="","",BDP($A28,N$3))</f>
        <v/>
      </c>
      <c r="O28" s="31">
        <f>IF($A28="","",BDP($A28,O$3))</f>
        <v/>
      </c>
      <c r="P28" s="30">
        <f>IF($A28="","",BDH($A28,$N$3,'參數'!$B$5,'參數'!$B$5,"Days=A","Fill=P","Dates=H"))</f>
        <v/>
      </c>
      <c r="Q28" s="30">
        <f>IF($A28="","",BDH($A28,$N$3,'參數'!$B$6,'參數'!$B$6,"Days=A","Fill=P","Dates=H"))</f>
        <v/>
      </c>
      <c r="R28" s="30">
        <f>IF($A28="","",BDH($A28,$N$3,'參數'!$B$7,'參數'!$B$7,"Days=A","Fill=P","Dates=H"))</f>
        <v/>
      </c>
      <c r="S28" s="32">
        <f>IF($A28="","",IFERROR(INDEX('發行人'!$A$5:$A$44,MATCH(B28,'發行人'!$D$5:$D$44,0)),"未對應"))</f>
        <v/>
      </c>
      <c r="T28" s="24">
        <f>IF($A28="","",IFERROR(INDEX('發行人'!$G$5:$G$44,MATCH(B28,'發行人'!$D$5:$D$44,0))+0,""))</f>
        <v/>
      </c>
      <c r="U28" s="18">
        <f>IF(ISNUMBER(E28),YEARFRAC('參數'!$B$4,E28),"")</f>
        <v/>
      </c>
      <c r="V28" s="8">
        <f>IF(U28="","",IF(U28&lt;3,"1-3y",IF(U28&lt;5,"3-5y",IF(U28&lt;7,"5-7y",IF(U28&lt;10,"7-10y","10y+")))))</f>
        <v/>
      </c>
      <c r="W28" s="30">
        <f>IF($A28="","",IFERROR(INDEX('參數'!$B$24:$B$45,MATCH(G28,'參數'!$A$24:$A$45,0)),""))</f>
        <v/>
      </c>
      <c r="X28" s="8">
        <f>IF($A28="","",IFERROR(INDEX('參數'!$C$24:$C$45,MATCH(G28,'參數'!$A$24:$A$45,0)),""))</f>
        <v/>
      </c>
      <c r="Y28" s="30">
        <f>IF(AND(ISNUMBER(N28),ISNUMBER(O28),ISNUMBER(U28)),IF(AND(O28&gt;0,X28&lt;&gt;""),1,0),0)</f>
        <v/>
      </c>
      <c r="Z28" s="17">
        <f>IF(Y28=1,O28*N28,"")</f>
        <v/>
      </c>
      <c r="AA28" s="33">
        <f>IF(Y28=1,IF(ISNUMBER(Q28),N28-Q28,""),"")</f>
        <v/>
      </c>
      <c r="AB28" s="33">
        <f>IF(Y28=1,IF(AND(ISNUMBER(P28),ISNUMBER(R28)),R28*5/12-O28*(P28-R28),""),"")</f>
        <v/>
      </c>
      <c r="AC28" s="30">
        <f>IF(Y28=1,COUNTIFS($X$5:$X$404,X28,$V$5:$V$404,V28,$Y$5:$Y$404,1),"")</f>
        <v/>
      </c>
      <c r="AD28" s="30">
        <f>IF(Y28=1,IFERROR(IF(AC28&gt;='參數'!$B$9,INDEX('分群統計'!$G$13:$K$16,MATCH(X28,'分群統計'!$A$13:$A$16,0),MATCH(V28,'分群統計'!$G$12:$K$12,0)),INDEX('分群統計'!$I$5:$I$8,MATCH(X28,'分群統計'!$A$5:$A$8,0))),""),"")</f>
        <v/>
      </c>
      <c r="AE28" s="18">
        <f>IF(Y28=1,IFERROR(IF(AC28&gt;='參數'!$B$9,INDEX('分群統計'!$L$13:$P$16,MATCH(X28,'分群統計'!$A$13:$A$16,0),MATCH(V28,'分群統計'!$L$12:$P$12,0)),INDEX('分群統計'!$J$5:$J$8,MATCH(X28,'分群統計'!$A$5:$A$8,0))),""),"")</f>
        <v/>
      </c>
      <c r="AF28" s="31">
        <f>IF(ISNUMBER(AE28),IF(AE28&gt;0,MAX(-3,MIN(3,(N28-AD28)/AE28)),0),"")</f>
        <v/>
      </c>
      <c r="AG28" s="30">
        <f>IF(Y28=1,COUNTIFS($B$5:$B$404,B28,$Y$5:$Y$404,1),"")</f>
        <v/>
      </c>
      <c r="AH28" s="30">
        <f>IF(Y28=1,IFERROR(IF(ISNUMBER(INDEX('分群統計'!$G$20:$G$59,MATCH(B28,'分群統計'!$A$20:$A$59,0))),INDEX('分群統計'!$H$20:$H$59,MATCH(B28,'分群統計'!$A$20:$A$59,0))+INDEX('分群統計'!$G$20:$G$59,MATCH(B28,'分群統計'!$A$20:$A$59,0))*AU28,""),""),"")</f>
        <v/>
      </c>
      <c r="AI28" s="34">
        <f>IF(ISNUMBER(AH28),N28-AH28,"")</f>
        <v/>
      </c>
      <c r="AJ28" s="30">
        <f>IF(Y28=1,IFERROR(IF(ISNUMBER(INDEX('分群統計'!$G$5:$G$8,MATCH(X28,'分群統計'!$A$5:$A$8,0))),INDEX('分群統計'!$H$5:$H$8,MATCH(X28,'分群統計'!$A$5:$A$8,0))+INDEX('分群統計'!$G$5:$G$8,MATCH(X28,'分群統計'!$A$5:$A$8,0))*AU28,""),""),"")</f>
        <v/>
      </c>
      <c r="AK28" s="34">
        <f>IF(ISNUMBER(AJ28),N28-AJ28,"")</f>
        <v/>
      </c>
      <c r="AL28" s="21">
        <f>IF(ISNUMBER(AJ28),IF(AJ28&gt;0,AK28/AJ28,""),"")</f>
        <v/>
      </c>
      <c r="AM28" s="31">
        <f>IF(AY28&lt;&gt;1,"",IFERROR(IF(INDEX('分群統計'!$K$5:$K$8,MATCH(X28,'分群統計'!$A$5:$A$8,0))&lt;3,"",IF(INDEX('分群統計'!$M$5:$M$8,MATCH(X28,'分群統計'!$A$5:$A$8,0))&gt;0,MAX(-3,MIN(3,(AX28-INDEX('分群統計'!$L$5:$L$8,MATCH(X28,'分群統計'!$A$5:$A$8,0)))/INDEX('分群統計'!$M$5:$M$8,MATCH(X28,'分群統計'!$A$5:$A$8,0)))),0)),""))</f>
        <v/>
      </c>
      <c r="AN28" s="31">
        <f>IF(ISNUMBER(AB28),IF(Z28&gt;0,AB28/Z28*100,""),"")</f>
        <v/>
      </c>
      <c r="AO28" s="31">
        <f>IF(BA28&lt;&gt;1,"",IFERROR(IF(INDEX('分群統計'!$N$5:$N$8,MATCH(X28,'分群統計'!$A$5:$A$8,0))&lt;3,"",IF(INDEX('分群統計'!$P$5:$P$8,MATCH(X28,'分群統計'!$A$5:$A$8,0))&gt;0,MAX(-3,MIN(3,(AZ28-INDEX('分群統計'!$O$5:$O$8,MATCH(X28,'分群統計'!$A$5:$A$8,0)))/INDEX('分群統計'!$P$5:$P$8,MATCH(X28,'分群統計'!$A$5:$A$8,0)))),0)),""))</f>
        <v/>
      </c>
      <c r="AP28" s="31">
        <f>IF(BC28&lt;&gt;1,"",IFERROR(IF(INDEX('分群統計'!$Q$5:$Q$8,MATCH(X28,'分群統計'!$A$5:$A$8,0))&lt;3,"",IF(INDEX('分群統計'!$S$5:$S$8,MATCH(X28,'分群統計'!$A$5:$A$8,0))&gt;0,MAX(-3,MIN(3,(BB28-INDEX('分群統計'!$R$5:$R$8,MATCH(X28,'分群統計'!$A$5:$A$8,0)))/INDEX('分群統計'!$S$5:$S$8,MATCH(X28,'分群統計'!$A$5:$A$8,0)))),0)),""))</f>
        <v/>
      </c>
      <c r="AQ28" s="31">
        <f>IF(Y28=1,(IF(ISNUMBER(AF28),AF28,0)*'參數'!$B$13+IF(ISNUMBER(AM28),AM28,0)*'參數'!$B$14+IF(ISNUMBER(AO28),AO28,0)*'參數'!$B$15+IF(ISNUMBER(AP28),AP28,0)*'參數'!$B$16)/('參數'!$B$13+'參數'!$B$14+'參數'!$B$15+'參數'!$B$16),"")</f>
        <v/>
      </c>
      <c r="AR28" s="35">
        <f>IF(Y28=1,(SUMPRODUCT(($X$5:$X$404=X28)*($Y$5:$Y$404=1)*($BD$5:$BD$404&gt;BD28))+1)/COUNTIFS($X$5:$X$404,X28,$Y$5:$Y$404,1),"")</f>
        <v/>
      </c>
      <c r="AS28" s="8">
        <f>IF(ISNUMBER(AR28),IF(AR28&lt;='參數'!$B$18,"加碼候選",IF(AR28&gt;'參數'!$B$19,"減碼候選","")),"")</f>
        <v/>
      </c>
      <c r="AT28" s="7">
        <f>IF(Y28=1,N28,0)</f>
        <v/>
      </c>
      <c r="AU28" s="7">
        <f>IF(Y28=1,LN(O28),0)</f>
        <v/>
      </c>
      <c r="AV28" s="36">
        <f>IF(Y28=1,IF(ISNUMBER(F28),F28,0),0)</f>
        <v/>
      </c>
      <c r="AW28" s="7">
        <f>IF(Y28=1,Z28,0)</f>
        <v/>
      </c>
      <c r="AX28" s="7">
        <f>IF(Y28=1,IF(ISNUMBER(AL28),AL28,0),0)</f>
        <v/>
      </c>
      <c r="AY28" s="7">
        <f>IF(Y28=1,IF(ISNUMBER(AL28),1,0),0)</f>
        <v/>
      </c>
      <c r="AZ28" s="7">
        <f>IF(Y28=1,IF(ISNUMBER(AN28),AN28,0),0)</f>
        <v/>
      </c>
      <c r="BA28" s="7">
        <f>IF(Y28=1,IF(ISNUMBER(AN28),1,0),0)</f>
        <v/>
      </c>
      <c r="BB28" s="7">
        <f>IF(Y28=1,IF(ISNUMBER(T28),T28,0),0)</f>
        <v/>
      </c>
      <c r="BC28" s="7">
        <f>IF(Y28=1,IF(ISNUMBER(T28),1,0),0)</f>
        <v/>
      </c>
      <c r="BD28" s="7">
        <f>IF(Y28=1,AQ28+ROW()/1E9,-1E9)</f>
        <v/>
      </c>
      <c r="BE28" s="7">
        <f>IF(Y28=1,AQ28+ROW()/1E9,1E9)</f>
        <v/>
      </c>
    </row>
    <row r="29">
      <c r="A29" s="16" t="n"/>
      <c r="B29" s="8">
        <f>IF($A29="","",BDP($A29,B$3))</f>
        <v/>
      </c>
      <c r="C29" s="8">
        <f>IF($A29="","",BDP($A29,C$3))</f>
        <v/>
      </c>
      <c r="D29" s="28">
        <f>IF($A29="","",BDP($A29,D$3))</f>
        <v/>
      </c>
      <c r="E29" s="29">
        <f>IF($A29="","",BDP($A29,E$3))</f>
        <v/>
      </c>
      <c r="F29" s="17">
        <f>IF($A29="","",BDP($A29,F$3))</f>
        <v/>
      </c>
      <c r="G29" s="8">
        <f>IF($A29="","",BDP($A29,G$3))</f>
        <v/>
      </c>
      <c r="H29" s="8">
        <f>IF($A29="","",BDP($A29,H$3))</f>
        <v/>
      </c>
      <c r="I29" s="8">
        <f>IF($A29="","",BDP($A29,I$3))</f>
        <v/>
      </c>
      <c r="J29" s="8">
        <f>IF($A29="","",BDP($A29,J$3))</f>
        <v/>
      </c>
      <c r="K29" s="8">
        <f>IF($A29="","",BDP($A29,K$3))</f>
        <v/>
      </c>
      <c r="L29" s="28">
        <f>IF($A29="","",BDP($A29,L$3))</f>
        <v/>
      </c>
      <c r="M29" s="28">
        <f>IF($A29="","",BDP($A29,M$3))</f>
        <v/>
      </c>
      <c r="N29" s="30">
        <f>IF($A29="","",BDP($A29,N$3))</f>
        <v/>
      </c>
      <c r="O29" s="31">
        <f>IF($A29="","",BDP($A29,O$3))</f>
        <v/>
      </c>
      <c r="P29" s="30">
        <f>IF($A29="","",BDH($A29,$N$3,'參數'!$B$5,'參數'!$B$5,"Days=A","Fill=P","Dates=H"))</f>
        <v/>
      </c>
      <c r="Q29" s="30">
        <f>IF($A29="","",BDH($A29,$N$3,'參數'!$B$6,'參數'!$B$6,"Days=A","Fill=P","Dates=H"))</f>
        <v/>
      </c>
      <c r="R29" s="30">
        <f>IF($A29="","",BDH($A29,$N$3,'參數'!$B$7,'參數'!$B$7,"Days=A","Fill=P","Dates=H"))</f>
        <v/>
      </c>
      <c r="S29" s="32">
        <f>IF($A29="","",IFERROR(INDEX('發行人'!$A$5:$A$44,MATCH(B29,'發行人'!$D$5:$D$44,0)),"未對應"))</f>
        <v/>
      </c>
      <c r="T29" s="24">
        <f>IF($A29="","",IFERROR(INDEX('發行人'!$G$5:$G$44,MATCH(B29,'發行人'!$D$5:$D$44,0))+0,""))</f>
        <v/>
      </c>
      <c r="U29" s="18">
        <f>IF(ISNUMBER(E29),YEARFRAC('參數'!$B$4,E29),"")</f>
        <v/>
      </c>
      <c r="V29" s="8">
        <f>IF(U29="","",IF(U29&lt;3,"1-3y",IF(U29&lt;5,"3-5y",IF(U29&lt;7,"5-7y",IF(U29&lt;10,"7-10y","10y+")))))</f>
        <v/>
      </c>
      <c r="W29" s="30">
        <f>IF($A29="","",IFERROR(INDEX('參數'!$B$24:$B$45,MATCH(G29,'參數'!$A$24:$A$45,0)),""))</f>
        <v/>
      </c>
      <c r="X29" s="8">
        <f>IF($A29="","",IFERROR(INDEX('參數'!$C$24:$C$45,MATCH(G29,'參數'!$A$24:$A$45,0)),""))</f>
        <v/>
      </c>
      <c r="Y29" s="30">
        <f>IF(AND(ISNUMBER(N29),ISNUMBER(O29),ISNUMBER(U29)),IF(AND(O29&gt;0,X29&lt;&gt;""),1,0),0)</f>
        <v/>
      </c>
      <c r="Z29" s="17">
        <f>IF(Y29=1,O29*N29,"")</f>
        <v/>
      </c>
      <c r="AA29" s="33">
        <f>IF(Y29=1,IF(ISNUMBER(Q29),N29-Q29,""),"")</f>
        <v/>
      </c>
      <c r="AB29" s="33">
        <f>IF(Y29=1,IF(AND(ISNUMBER(P29),ISNUMBER(R29)),R29*5/12-O29*(P29-R29),""),"")</f>
        <v/>
      </c>
      <c r="AC29" s="30">
        <f>IF(Y29=1,COUNTIFS($X$5:$X$404,X29,$V$5:$V$404,V29,$Y$5:$Y$404,1),"")</f>
        <v/>
      </c>
      <c r="AD29" s="30">
        <f>IF(Y29=1,IFERROR(IF(AC29&gt;='參數'!$B$9,INDEX('分群統計'!$G$13:$K$16,MATCH(X29,'分群統計'!$A$13:$A$16,0),MATCH(V29,'分群統計'!$G$12:$K$12,0)),INDEX('分群統計'!$I$5:$I$8,MATCH(X29,'分群統計'!$A$5:$A$8,0))),""),"")</f>
        <v/>
      </c>
      <c r="AE29" s="18">
        <f>IF(Y29=1,IFERROR(IF(AC29&gt;='參數'!$B$9,INDEX('分群統計'!$L$13:$P$16,MATCH(X29,'分群統計'!$A$13:$A$16,0),MATCH(V29,'分群統計'!$L$12:$P$12,0)),INDEX('分群統計'!$J$5:$J$8,MATCH(X29,'分群統計'!$A$5:$A$8,0))),""),"")</f>
        <v/>
      </c>
      <c r="AF29" s="31">
        <f>IF(ISNUMBER(AE29),IF(AE29&gt;0,MAX(-3,MIN(3,(N29-AD29)/AE29)),0),"")</f>
        <v/>
      </c>
      <c r="AG29" s="30">
        <f>IF(Y29=1,COUNTIFS($B$5:$B$404,B29,$Y$5:$Y$404,1),"")</f>
        <v/>
      </c>
      <c r="AH29" s="30">
        <f>IF(Y29=1,IFERROR(IF(ISNUMBER(INDEX('分群統計'!$G$20:$G$59,MATCH(B29,'分群統計'!$A$20:$A$59,0))),INDEX('分群統計'!$H$20:$H$59,MATCH(B29,'分群統計'!$A$20:$A$59,0))+INDEX('分群統計'!$G$20:$G$59,MATCH(B29,'分群統計'!$A$20:$A$59,0))*AU29,""),""),"")</f>
        <v/>
      </c>
      <c r="AI29" s="34">
        <f>IF(ISNUMBER(AH29),N29-AH29,"")</f>
        <v/>
      </c>
      <c r="AJ29" s="30">
        <f>IF(Y29=1,IFERROR(IF(ISNUMBER(INDEX('分群統計'!$G$5:$G$8,MATCH(X29,'分群統計'!$A$5:$A$8,0))),INDEX('分群統計'!$H$5:$H$8,MATCH(X29,'分群統計'!$A$5:$A$8,0))+INDEX('分群統計'!$G$5:$G$8,MATCH(X29,'分群統計'!$A$5:$A$8,0))*AU29,""),""),"")</f>
        <v/>
      </c>
      <c r="AK29" s="34">
        <f>IF(ISNUMBER(AJ29),N29-AJ29,"")</f>
        <v/>
      </c>
      <c r="AL29" s="21">
        <f>IF(ISNUMBER(AJ29),IF(AJ29&gt;0,AK29/AJ29,""),"")</f>
        <v/>
      </c>
      <c r="AM29" s="31">
        <f>IF(AY29&lt;&gt;1,"",IFERROR(IF(INDEX('分群統計'!$K$5:$K$8,MATCH(X29,'分群統計'!$A$5:$A$8,0))&lt;3,"",IF(INDEX('分群統計'!$M$5:$M$8,MATCH(X29,'分群統計'!$A$5:$A$8,0))&gt;0,MAX(-3,MIN(3,(AX29-INDEX('分群統計'!$L$5:$L$8,MATCH(X29,'分群統計'!$A$5:$A$8,0)))/INDEX('分群統計'!$M$5:$M$8,MATCH(X29,'分群統計'!$A$5:$A$8,0)))),0)),""))</f>
        <v/>
      </c>
      <c r="AN29" s="31">
        <f>IF(ISNUMBER(AB29),IF(Z29&gt;0,AB29/Z29*100,""),"")</f>
        <v/>
      </c>
      <c r="AO29" s="31">
        <f>IF(BA29&lt;&gt;1,"",IFERROR(IF(INDEX('分群統計'!$N$5:$N$8,MATCH(X29,'分群統計'!$A$5:$A$8,0))&lt;3,"",IF(INDEX('分群統計'!$P$5:$P$8,MATCH(X29,'分群統計'!$A$5:$A$8,0))&gt;0,MAX(-3,MIN(3,(AZ29-INDEX('分群統計'!$O$5:$O$8,MATCH(X29,'分群統計'!$A$5:$A$8,0)))/INDEX('分群統計'!$P$5:$P$8,MATCH(X29,'分群統計'!$A$5:$A$8,0)))),0)),""))</f>
        <v/>
      </c>
      <c r="AP29" s="31">
        <f>IF(BC29&lt;&gt;1,"",IFERROR(IF(INDEX('分群統計'!$Q$5:$Q$8,MATCH(X29,'分群統計'!$A$5:$A$8,0))&lt;3,"",IF(INDEX('分群統計'!$S$5:$S$8,MATCH(X29,'分群統計'!$A$5:$A$8,0))&gt;0,MAX(-3,MIN(3,(BB29-INDEX('分群統計'!$R$5:$R$8,MATCH(X29,'分群統計'!$A$5:$A$8,0)))/INDEX('分群統計'!$S$5:$S$8,MATCH(X29,'分群統計'!$A$5:$A$8,0)))),0)),""))</f>
        <v/>
      </c>
      <c r="AQ29" s="31">
        <f>IF(Y29=1,(IF(ISNUMBER(AF29),AF29,0)*'參數'!$B$13+IF(ISNUMBER(AM29),AM29,0)*'參數'!$B$14+IF(ISNUMBER(AO29),AO29,0)*'參數'!$B$15+IF(ISNUMBER(AP29),AP29,0)*'參數'!$B$16)/('參數'!$B$13+'參數'!$B$14+'參數'!$B$15+'參數'!$B$16),"")</f>
        <v/>
      </c>
      <c r="AR29" s="35">
        <f>IF(Y29=1,(SUMPRODUCT(($X$5:$X$404=X29)*($Y$5:$Y$404=1)*($BD$5:$BD$404&gt;BD29))+1)/COUNTIFS($X$5:$X$404,X29,$Y$5:$Y$404,1),"")</f>
        <v/>
      </c>
      <c r="AS29" s="8">
        <f>IF(ISNUMBER(AR29),IF(AR29&lt;='參數'!$B$18,"加碼候選",IF(AR29&gt;'參數'!$B$19,"減碼候選","")),"")</f>
        <v/>
      </c>
      <c r="AT29" s="7">
        <f>IF(Y29=1,N29,0)</f>
        <v/>
      </c>
      <c r="AU29" s="7">
        <f>IF(Y29=1,LN(O29),0)</f>
        <v/>
      </c>
      <c r="AV29" s="36">
        <f>IF(Y29=1,IF(ISNUMBER(F29),F29,0),0)</f>
        <v/>
      </c>
      <c r="AW29" s="7">
        <f>IF(Y29=1,Z29,0)</f>
        <v/>
      </c>
      <c r="AX29" s="7">
        <f>IF(Y29=1,IF(ISNUMBER(AL29),AL29,0),0)</f>
        <v/>
      </c>
      <c r="AY29" s="7">
        <f>IF(Y29=1,IF(ISNUMBER(AL29),1,0),0)</f>
        <v/>
      </c>
      <c r="AZ29" s="7">
        <f>IF(Y29=1,IF(ISNUMBER(AN29),AN29,0),0)</f>
        <v/>
      </c>
      <c r="BA29" s="7">
        <f>IF(Y29=1,IF(ISNUMBER(AN29),1,0),0)</f>
        <v/>
      </c>
      <c r="BB29" s="7">
        <f>IF(Y29=1,IF(ISNUMBER(T29),T29,0),0)</f>
        <v/>
      </c>
      <c r="BC29" s="7">
        <f>IF(Y29=1,IF(ISNUMBER(T29),1,0),0)</f>
        <v/>
      </c>
      <c r="BD29" s="7">
        <f>IF(Y29=1,AQ29+ROW()/1E9,-1E9)</f>
        <v/>
      </c>
      <c r="BE29" s="7">
        <f>IF(Y29=1,AQ29+ROW()/1E9,1E9)</f>
        <v/>
      </c>
    </row>
    <row r="30">
      <c r="A30" s="16" t="n"/>
      <c r="B30" s="8">
        <f>IF($A30="","",BDP($A30,B$3))</f>
        <v/>
      </c>
      <c r="C30" s="8">
        <f>IF($A30="","",BDP($A30,C$3))</f>
        <v/>
      </c>
      <c r="D30" s="28">
        <f>IF($A30="","",BDP($A30,D$3))</f>
        <v/>
      </c>
      <c r="E30" s="29">
        <f>IF($A30="","",BDP($A30,E$3))</f>
        <v/>
      </c>
      <c r="F30" s="17">
        <f>IF($A30="","",BDP($A30,F$3))</f>
        <v/>
      </c>
      <c r="G30" s="8">
        <f>IF($A30="","",BDP($A30,G$3))</f>
        <v/>
      </c>
      <c r="H30" s="8">
        <f>IF($A30="","",BDP($A30,H$3))</f>
        <v/>
      </c>
      <c r="I30" s="8">
        <f>IF($A30="","",BDP($A30,I$3))</f>
        <v/>
      </c>
      <c r="J30" s="8">
        <f>IF($A30="","",BDP($A30,J$3))</f>
        <v/>
      </c>
      <c r="K30" s="8">
        <f>IF($A30="","",BDP($A30,K$3))</f>
        <v/>
      </c>
      <c r="L30" s="28">
        <f>IF($A30="","",BDP($A30,L$3))</f>
        <v/>
      </c>
      <c r="M30" s="28">
        <f>IF($A30="","",BDP($A30,M$3))</f>
        <v/>
      </c>
      <c r="N30" s="30">
        <f>IF($A30="","",BDP($A30,N$3))</f>
        <v/>
      </c>
      <c r="O30" s="31">
        <f>IF($A30="","",BDP($A30,O$3))</f>
        <v/>
      </c>
      <c r="P30" s="30">
        <f>IF($A30="","",BDH($A30,$N$3,'參數'!$B$5,'參數'!$B$5,"Days=A","Fill=P","Dates=H"))</f>
        <v/>
      </c>
      <c r="Q30" s="30">
        <f>IF($A30="","",BDH($A30,$N$3,'參數'!$B$6,'參數'!$B$6,"Days=A","Fill=P","Dates=H"))</f>
        <v/>
      </c>
      <c r="R30" s="30">
        <f>IF($A30="","",BDH($A30,$N$3,'參數'!$B$7,'參數'!$B$7,"Days=A","Fill=P","Dates=H"))</f>
        <v/>
      </c>
      <c r="S30" s="32">
        <f>IF($A30="","",IFERROR(INDEX('發行人'!$A$5:$A$44,MATCH(B30,'發行人'!$D$5:$D$44,0)),"未對應"))</f>
        <v/>
      </c>
      <c r="T30" s="24">
        <f>IF($A30="","",IFERROR(INDEX('發行人'!$G$5:$G$44,MATCH(B30,'發行人'!$D$5:$D$44,0))+0,""))</f>
        <v/>
      </c>
      <c r="U30" s="18">
        <f>IF(ISNUMBER(E30),YEARFRAC('參數'!$B$4,E30),"")</f>
        <v/>
      </c>
      <c r="V30" s="8">
        <f>IF(U30="","",IF(U30&lt;3,"1-3y",IF(U30&lt;5,"3-5y",IF(U30&lt;7,"5-7y",IF(U30&lt;10,"7-10y","10y+")))))</f>
        <v/>
      </c>
      <c r="W30" s="30">
        <f>IF($A30="","",IFERROR(INDEX('參數'!$B$24:$B$45,MATCH(G30,'參數'!$A$24:$A$45,0)),""))</f>
        <v/>
      </c>
      <c r="X30" s="8">
        <f>IF($A30="","",IFERROR(INDEX('參數'!$C$24:$C$45,MATCH(G30,'參數'!$A$24:$A$45,0)),""))</f>
        <v/>
      </c>
      <c r="Y30" s="30">
        <f>IF(AND(ISNUMBER(N30),ISNUMBER(O30),ISNUMBER(U30)),IF(AND(O30&gt;0,X30&lt;&gt;""),1,0),0)</f>
        <v/>
      </c>
      <c r="Z30" s="17">
        <f>IF(Y30=1,O30*N30,"")</f>
        <v/>
      </c>
      <c r="AA30" s="33">
        <f>IF(Y30=1,IF(ISNUMBER(Q30),N30-Q30,""),"")</f>
        <v/>
      </c>
      <c r="AB30" s="33">
        <f>IF(Y30=1,IF(AND(ISNUMBER(P30),ISNUMBER(R30)),R30*5/12-O30*(P30-R30),""),"")</f>
        <v/>
      </c>
      <c r="AC30" s="30">
        <f>IF(Y30=1,COUNTIFS($X$5:$X$404,X30,$V$5:$V$404,V30,$Y$5:$Y$404,1),"")</f>
        <v/>
      </c>
      <c r="AD30" s="30">
        <f>IF(Y30=1,IFERROR(IF(AC30&gt;='參數'!$B$9,INDEX('分群統計'!$G$13:$K$16,MATCH(X30,'分群統計'!$A$13:$A$16,0),MATCH(V30,'分群統計'!$G$12:$K$12,0)),INDEX('分群統計'!$I$5:$I$8,MATCH(X30,'分群統計'!$A$5:$A$8,0))),""),"")</f>
        <v/>
      </c>
      <c r="AE30" s="18">
        <f>IF(Y30=1,IFERROR(IF(AC30&gt;='參數'!$B$9,INDEX('分群統計'!$L$13:$P$16,MATCH(X30,'分群統計'!$A$13:$A$16,0),MATCH(V30,'分群統計'!$L$12:$P$12,0)),INDEX('分群統計'!$J$5:$J$8,MATCH(X30,'分群統計'!$A$5:$A$8,0))),""),"")</f>
        <v/>
      </c>
      <c r="AF30" s="31">
        <f>IF(ISNUMBER(AE30),IF(AE30&gt;0,MAX(-3,MIN(3,(N30-AD30)/AE30)),0),"")</f>
        <v/>
      </c>
      <c r="AG30" s="30">
        <f>IF(Y30=1,COUNTIFS($B$5:$B$404,B30,$Y$5:$Y$404,1),"")</f>
        <v/>
      </c>
      <c r="AH30" s="30">
        <f>IF(Y30=1,IFERROR(IF(ISNUMBER(INDEX('分群統計'!$G$20:$G$59,MATCH(B30,'分群統計'!$A$20:$A$59,0))),INDEX('分群統計'!$H$20:$H$59,MATCH(B30,'分群統計'!$A$20:$A$59,0))+INDEX('分群統計'!$G$20:$G$59,MATCH(B30,'分群統計'!$A$20:$A$59,0))*AU30,""),""),"")</f>
        <v/>
      </c>
      <c r="AI30" s="34">
        <f>IF(ISNUMBER(AH30),N30-AH30,"")</f>
        <v/>
      </c>
      <c r="AJ30" s="30">
        <f>IF(Y30=1,IFERROR(IF(ISNUMBER(INDEX('分群統計'!$G$5:$G$8,MATCH(X30,'分群統計'!$A$5:$A$8,0))),INDEX('分群統計'!$H$5:$H$8,MATCH(X30,'分群統計'!$A$5:$A$8,0))+INDEX('分群統計'!$G$5:$G$8,MATCH(X30,'分群統計'!$A$5:$A$8,0))*AU30,""),""),"")</f>
        <v/>
      </c>
      <c r="AK30" s="34">
        <f>IF(ISNUMBER(AJ30),N30-AJ30,"")</f>
        <v/>
      </c>
      <c r="AL30" s="21">
        <f>IF(ISNUMBER(AJ30),IF(AJ30&gt;0,AK30/AJ30,""),"")</f>
        <v/>
      </c>
      <c r="AM30" s="31">
        <f>IF(AY30&lt;&gt;1,"",IFERROR(IF(INDEX('分群統計'!$K$5:$K$8,MATCH(X30,'分群統計'!$A$5:$A$8,0))&lt;3,"",IF(INDEX('分群統計'!$M$5:$M$8,MATCH(X30,'分群統計'!$A$5:$A$8,0))&gt;0,MAX(-3,MIN(3,(AX30-INDEX('分群統計'!$L$5:$L$8,MATCH(X30,'分群統計'!$A$5:$A$8,0)))/INDEX('分群統計'!$M$5:$M$8,MATCH(X30,'分群統計'!$A$5:$A$8,0)))),0)),""))</f>
        <v/>
      </c>
      <c r="AN30" s="31">
        <f>IF(ISNUMBER(AB30),IF(Z30&gt;0,AB30/Z30*100,""),"")</f>
        <v/>
      </c>
      <c r="AO30" s="31">
        <f>IF(BA30&lt;&gt;1,"",IFERROR(IF(INDEX('分群統計'!$N$5:$N$8,MATCH(X30,'分群統計'!$A$5:$A$8,0))&lt;3,"",IF(INDEX('分群統計'!$P$5:$P$8,MATCH(X30,'分群統計'!$A$5:$A$8,0))&gt;0,MAX(-3,MIN(3,(AZ30-INDEX('分群統計'!$O$5:$O$8,MATCH(X30,'分群統計'!$A$5:$A$8,0)))/INDEX('分群統計'!$P$5:$P$8,MATCH(X30,'分群統計'!$A$5:$A$8,0)))),0)),""))</f>
        <v/>
      </c>
      <c r="AP30" s="31">
        <f>IF(BC30&lt;&gt;1,"",IFERROR(IF(INDEX('分群統計'!$Q$5:$Q$8,MATCH(X30,'分群統計'!$A$5:$A$8,0))&lt;3,"",IF(INDEX('分群統計'!$S$5:$S$8,MATCH(X30,'分群統計'!$A$5:$A$8,0))&gt;0,MAX(-3,MIN(3,(BB30-INDEX('分群統計'!$R$5:$R$8,MATCH(X30,'分群統計'!$A$5:$A$8,0)))/INDEX('分群統計'!$S$5:$S$8,MATCH(X30,'分群統計'!$A$5:$A$8,0)))),0)),""))</f>
        <v/>
      </c>
      <c r="AQ30" s="31">
        <f>IF(Y30=1,(IF(ISNUMBER(AF30),AF30,0)*'參數'!$B$13+IF(ISNUMBER(AM30),AM30,0)*'參數'!$B$14+IF(ISNUMBER(AO30),AO30,0)*'參數'!$B$15+IF(ISNUMBER(AP30),AP30,0)*'參數'!$B$16)/('參數'!$B$13+'參數'!$B$14+'參數'!$B$15+'參數'!$B$16),"")</f>
        <v/>
      </c>
      <c r="AR30" s="35">
        <f>IF(Y30=1,(SUMPRODUCT(($X$5:$X$404=X30)*($Y$5:$Y$404=1)*($BD$5:$BD$404&gt;BD30))+1)/COUNTIFS($X$5:$X$404,X30,$Y$5:$Y$404,1),"")</f>
        <v/>
      </c>
      <c r="AS30" s="8">
        <f>IF(ISNUMBER(AR30),IF(AR30&lt;='參數'!$B$18,"加碼候選",IF(AR30&gt;'參數'!$B$19,"減碼候選","")),"")</f>
        <v/>
      </c>
      <c r="AT30" s="7">
        <f>IF(Y30=1,N30,0)</f>
        <v/>
      </c>
      <c r="AU30" s="7">
        <f>IF(Y30=1,LN(O30),0)</f>
        <v/>
      </c>
      <c r="AV30" s="36">
        <f>IF(Y30=1,IF(ISNUMBER(F30),F30,0),0)</f>
        <v/>
      </c>
      <c r="AW30" s="7">
        <f>IF(Y30=1,Z30,0)</f>
        <v/>
      </c>
      <c r="AX30" s="7">
        <f>IF(Y30=1,IF(ISNUMBER(AL30),AL30,0),0)</f>
        <v/>
      </c>
      <c r="AY30" s="7">
        <f>IF(Y30=1,IF(ISNUMBER(AL30),1,0),0)</f>
        <v/>
      </c>
      <c r="AZ30" s="7">
        <f>IF(Y30=1,IF(ISNUMBER(AN30),AN30,0),0)</f>
        <v/>
      </c>
      <c r="BA30" s="7">
        <f>IF(Y30=1,IF(ISNUMBER(AN30),1,0),0)</f>
        <v/>
      </c>
      <c r="BB30" s="7">
        <f>IF(Y30=1,IF(ISNUMBER(T30),T30,0),0)</f>
        <v/>
      </c>
      <c r="BC30" s="7">
        <f>IF(Y30=1,IF(ISNUMBER(T30),1,0),0)</f>
        <v/>
      </c>
      <c r="BD30" s="7">
        <f>IF(Y30=1,AQ30+ROW()/1E9,-1E9)</f>
        <v/>
      </c>
      <c r="BE30" s="7">
        <f>IF(Y30=1,AQ30+ROW()/1E9,1E9)</f>
        <v/>
      </c>
    </row>
    <row r="31">
      <c r="A31" s="16" t="n"/>
      <c r="B31" s="8">
        <f>IF($A31="","",BDP($A31,B$3))</f>
        <v/>
      </c>
      <c r="C31" s="8">
        <f>IF($A31="","",BDP($A31,C$3))</f>
        <v/>
      </c>
      <c r="D31" s="28">
        <f>IF($A31="","",BDP($A31,D$3))</f>
        <v/>
      </c>
      <c r="E31" s="29">
        <f>IF($A31="","",BDP($A31,E$3))</f>
        <v/>
      </c>
      <c r="F31" s="17">
        <f>IF($A31="","",BDP($A31,F$3))</f>
        <v/>
      </c>
      <c r="G31" s="8">
        <f>IF($A31="","",BDP($A31,G$3))</f>
        <v/>
      </c>
      <c r="H31" s="8">
        <f>IF($A31="","",BDP($A31,H$3))</f>
        <v/>
      </c>
      <c r="I31" s="8">
        <f>IF($A31="","",BDP($A31,I$3))</f>
        <v/>
      </c>
      <c r="J31" s="8">
        <f>IF($A31="","",BDP($A31,J$3))</f>
        <v/>
      </c>
      <c r="K31" s="8">
        <f>IF($A31="","",BDP($A31,K$3))</f>
        <v/>
      </c>
      <c r="L31" s="28">
        <f>IF($A31="","",BDP($A31,L$3))</f>
        <v/>
      </c>
      <c r="M31" s="28">
        <f>IF($A31="","",BDP($A31,M$3))</f>
        <v/>
      </c>
      <c r="N31" s="30">
        <f>IF($A31="","",BDP($A31,N$3))</f>
        <v/>
      </c>
      <c r="O31" s="31">
        <f>IF($A31="","",BDP($A31,O$3))</f>
        <v/>
      </c>
      <c r="P31" s="30">
        <f>IF($A31="","",BDH($A31,$N$3,'參數'!$B$5,'參數'!$B$5,"Days=A","Fill=P","Dates=H"))</f>
        <v/>
      </c>
      <c r="Q31" s="30">
        <f>IF($A31="","",BDH($A31,$N$3,'參數'!$B$6,'參數'!$B$6,"Days=A","Fill=P","Dates=H"))</f>
        <v/>
      </c>
      <c r="R31" s="30">
        <f>IF($A31="","",BDH($A31,$N$3,'參數'!$B$7,'參數'!$B$7,"Days=A","Fill=P","Dates=H"))</f>
        <v/>
      </c>
      <c r="S31" s="32">
        <f>IF($A31="","",IFERROR(INDEX('發行人'!$A$5:$A$44,MATCH(B31,'發行人'!$D$5:$D$44,0)),"未對應"))</f>
        <v/>
      </c>
      <c r="T31" s="24">
        <f>IF($A31="","",IFERROR(INDEX('發行人'!$G$5:$G$44,MATCH(B31,'發行人'!$D$5:$D$44,0))+0,""))</f>
        <v/>
      </c>
      <c r="U31" s="18">
        <f>IF(ISNUMBER(E31),YEARFRAC('參數'!$B$4,E31),"")</f>
        <v/>
      </c>
      <c r="V31" s="8">
        <f>IF(U31="","",IF(U31&lt;3,"1-3y",IF(U31&lt;5,"3-5y",IF(U31&lt;7,"5-7y",IF(U31&lt;10,"7-10y","10y+")))))</f>
        <v/>
      </c>
      <c r="W31" s="30">
        <f>IF($A31="","",IFERROR(INDEX('參數'!$B$24:$B$45,MATCH(G31,'參數'!$A$24:$A$45,0)),""))</f>
        <v/>
      </c>
      <c r="X31" s="8">
        <f>IF($A31="","",IFERROR(INDEX('參數'!$C$24:$C$45,MATCH(G31,'參數'!$A$24:$A$45,0)),""))</f>
        <v/>
      </c>
      <c r="Y31" s="30">
        <f>IF(AND(ISNUMBER(N31),ISNUMBER(O31),ISNUMBER(U31)),IF(AND(O31&gt;0,X31&lt;&gt;""),1,0),0)</f>
        <v/>
      </c>
      <c r="Z31" s="17">
        <f>IF(Y31=1,O31*N31,"")</f>
        <v/>
      </c>
      <c r="AA31" s="33">
        <f>IF(Y31=1,IF(ISNUMBER(Q31),N31-Q31,""),"")</f>
        <v/>
      </c>
      <c r="AB31" s="33">
        <f>IF(Y31=1,IF(AND(ISNUMBER(P31),ISNUMBER(R31)),R31*5/12-O31*(P31-R31),""),"")</f>
        <v/>
      </c>
      <c r="AC31" s="30">
        <f>IF(Y31=1,COUNTIFS($X$5:$X$404,X31,$V$5:$V$404,V31,$Y$5:$Y$404,1),"")</f>
        <v/>
      </c>
      <c r="AD31" s="30">
        <f>IF(Y31=1,IFERROR(IF(AC31&gt;='參數'!$B$9,INDEX('分群統計'!$G$13:$K$16,MATCH(X31,'分群統計'!$A$13:$A$16,0),MATCH(V31,'分群統計'!$G$12:$K$12,0)),INDEX('分群統計'!$I$5:$I$8,MATCH(X31,'分群統計'!$A$5:$A$8,0))),""),"")</f>
        <v/>
      </c>
      <c r="AE31" s="18">
        <f>IF(Y31=1,IFERROR(IF(AC31&gt;='參數'!$B$9,INDEX('分群統計'!$L$13:$P$16,MATCH(X31,'分群統計'!$A$13:$A$16,0),MATCH(V31,'分群統計'!$L$12:$P$12,0)),INDEX('分群統計'!$J$5:$J$8,MATCH(X31,'分群統計'!$A$5:$A$8,0))),""),"")</f>
        <v/>
      </c>
      <c r="AF31" s="31">
        <f>IF(ISNUMBER(AE31),IF(AE31&gt;0,MAX(-3,MIN(3,(N31-AD31)/AE31)),0),"")</f>
        <v/>
      </c>
      <c r="AG31" s="30">
        <f>IF(Y31=1,COUNTIFS($B$5:$B$404,B31,$Y$5:$Y$404,1),"")</f>
        <v/>
      </c>
      <c r="AH31" s="30">
        <f>IF(Y31=1,IFERROR(IF(ISNUMBER(INDEX('分群統計'!$G$20:$G$59,MATCH(B31,'分群統計'!$A$20:$A$59,0))),INDEX('分群統計'!$H$20:$H$59,MATCH(B31,'分群統計'!$A$20:$A$59,0))+INDEX('分群統計'!$G$20:$G$59,MATCH(B31,'分群統計'!$A$20:$A$59,0))*AU31,""),""),"")</f>
        <v/>
      </c>
      <c r="AI31" s="34">
        <f>IF(ISNUMBER(AH31),N31-AH31,"")</f>
        <v/>
      </c>
      <c r="AJ31" s="30">
        <f>IF(Y31=1,IFERROR(IF(ISNUMBER(INDEX('分群統計'!$G$5:$G$8,MATCH(X31,'分群統計'!$A$5:$A$8,0))),INDEX('分群統計'!$H$5:$H$8,MATCH(X31,'分群統計'!$A$5:$A$8,0))+INDEX('分群統計'!$G$5:$G$8,MATCH(X31,'分群統計'!$A$5:$A$8,0))*AU31,""),""),"")</f>
        <v/>
      </c>
      <c r="AK31" s="34">
        <f>IF(ISNUMBER(AJ31),N31-AJ31,"")</f>
        <v/>
      </c>
      <c r="AL31" s="21">
        <f>IF(ISNUMBER(AJ31),IF(AJ31&gt;0,AK31/AJ31,""),"")</f>
        <v/>
      </c>
      <c r="AM31" s="31">
        <f>IF(AY31&lt;&gt;1,"",IFERROR(IF(INDEX('分群統計'!$K$5:$K$8,MATCH(X31,'分群統計'!$A$5:$A$8,0))&lt;3,"",IF(INDEX('分群統計'!$M$5:$M$8,MATCH(X31,'分群統計'!$A$5:$A$8,0))&gt;0,MAX(-3,MIN(3,(AX31-INDEX('分群統計'!$L$5:$L$8,MATCH(X31,'分群統計'!$A$5:$A$8,0)))/INDEX('分群統計'!$M$5:$M$8,MATCH(X31,'分群統計'!$A$5:$A$8,0)))),0)),""))</f>
        <v/>
      </c>
      <c r="AN31" s="31">
        <f>IF(ISNUMBER(AB31),IF(Z31&gt;0,AB31/Z31*100,""),"")</f>
        <v/>
      </c>
      <c r="AO31" s="31">
        <f>IF(BA31&lt;&gt;1,"",IFERROR(IF(INDEX('分群統計'!$N$5:$N$8,MATCH(X31,'分群統計'!$A$5:$A$8,0))&lt;3,"",IF(INDEX('分群統計'!$P$5:$P$8,MATCH(X31,'分群統計'!$A$5:$A$8,0))&gt;0,MAX(-3,MIN(3,(AZ31-INDEX('分群統計'!$O$5:$O$8,MATCH(X31,'分群統計'!$A$5:$A$8,0)))/INDEX('分群統計'!$P$5:$P$8,MATCH(X31,'分群統計'!$A$5:$A$8,0)))),0)),""))</f>
        <v/>
      </c>
      <c r="AP31" s="31">
        <f>IF(BC31&lt;&gt;1,"",IFERROR(IF(INDEX('分群統計'!$Q$5:$Q$8,MATCH(X31,'分群統計'!$A$5:$A$8,0))&lt;3,"",IF(INDEX('分群統計'!$S$5:$S$8,MATCH(X31,'分群統計'!$A$5:$A$8,0))&gt;0,MAX(-3,MIN(3,(BB31-INDEX('分群統計'!$R$5:$R$8,MATCH(X31,'分群統計'!$A$5:$A$8,0)))/INDEX('分群統計'!$S$5:$S$8,MATCH(X31,'分群統計'!$A$5:$A$8,0)))),0)),""))</f>
        <v/>
      </c>
      <c r="AQ31" s="31">
        <f>IF(Y31=1,(IF(ISNUMBER(AF31),AF31,0)*'參數'!$B$13+IF(ISNUMBER(AM31),AM31,0)*'參數'!$B$14+IF(ISNUMBER(AO31),AO31,0)*'參數'!$B$15+IF(ISNUMBER(AP31),AP31,0)*'參數'!$B$16)/('參數'!$B$13+'參數'!$B$14+'參數'!$B$15+'參數'!$B$16),"")</f>
        <v/>
      </c>
      <c r="AR31" s="35">
        <f>IF(Y31=1,(SUMPRODUCT(($X$5:$X$404=X31)*($Y$5:$Y$404=1)*($BD$5:$BD$404&gt;BD31))+1)/COUNTIFS($X$5:$X$404,X31,$Y$5:$Y$404,1),"")</f>
        <v/>
      </c>
      <c r="AS31" s="8">
        <f>IF(ISNUMBER(AR31),IF(AR31&lt;='參數'!$B$18,"加碼候選",IF(AR31&gt;'參數'!$B$19,"減碼候選","")),"")</f>
        <v/>
      </c>
      <c r="AT31" s="7">
        <f>IF(Y31=1,N31,0)</f>
        <v/>
      </c>
      <c r="AU31" s="7">
        <f>IF(Y31=1,LN(O31),0)</f>
        <v/>
      </c>
      <c r="AV31" s="36">
        <f>IF(Y31=1,IF(ISNUMBER(F31),F31,0),0)</f>
        <v/>
      </c>
      <c r="AW31" s="7">
        <f>IF(Y31=1,Z31,0)</f>
        <v/>
      </c>
      <c r="AX31" s="7">
        <f>IF(Y31=1,IF(ISNUMBER(AL31),AL31,0),0)</f>
        <v/>
      </c>
      <c r="AY31" s="7">
        <f>IF(Y31=1,IF(ISNUMBER(AL31),1,0),0)</f>
        <v/>
      </c>
      <c r="AZ31" s="7">
        <f>IF(Y31=1,IF(ISNUMBER(AN31),AN31,0),0)</f>
        <v/>
      </c>
      <c r="BA31" s="7">
        <f>IF(Y31=1,IF(ISNUMBER(AN31),1,0),0)</f>
        <v/>
      </c>
      <c r="BB31" s="7">
        <f>IF(Y31=1,IF(ISNUMBER(T31),T31,0),0)</f>
        <v/>
      </c>
      <c r="BC31" s="7">
        <f>IF(Y31=1,IF(ISNUMBER(T31),1,0),0)</f>
        <v/>
      </c>
      <c r="BD31" s="7">
        <f>IF(Y31=1,AQ31+ROW()/1E9,-1E9)</f>
        <v/>
      </c>
      <c r="BE31" s="7">
        <f>IF(Y31=1,AQ31+ROW()/1E9,1E9)</f>
        <v/>
      </c>
    </row>
    <row r="32">
      <c r="A32" s="16" t="n"/>
      <c r="B32" s="8">
        <f>IF($A32="","",BDP($A32,B$3))</f>
        <v/>
      </c>
      <c r="C32" s="8">
        <f>IF($A32="","",BDP($A32,C$3))</f>
        <v/>
      </c>
      <c r="D32" s="28">
        <f>IF($A32="","",BDP($A32,D$3))</f>
        <v/>
      </c>
      <c r="E32" s="29">
        <f>IF($A32="","",BDP($A32,E$3))</f>
        <v/>
      </c>
      <c r="F32" s="17">
        <f>IF($A32="","",BDP($A32,F$3))</f>
        <v/>
      </c>
      <c r="G32" s="8">
        <f>IF($A32="","",BDP($A32,G$3))</f>
        <v/>
      </c>
      <c r="H32" s="8">
        <f>IF($A32="","",BDP($A32,H$3))</f>
        <v/>
      </c>
      <c r="I32" s="8">
        <f>IF($A32="","",BDP($A32,I$3))</f>
        <v/>
      </c>
      <c r="J32" s="8">
        <f>IF($A32="","",BDP($A32,J$3))</f>
        <v/>
      </c>
      <c r="K32" s="8">
        <f>IF($A32="","",BDP($A32,K$3))</f>
        <v/>
      </c>
      <c r="L32" s="28">
        <f>IF($A32="","",BDP($A32,L$3))</f>
        <v/>
      </c>
      <c r="M32" s="28">
        <f>IF($A32="","",BDP($A32,M$3))</f>
        <v/>
      </c>
      <c r="N32" s="30">
        <f>IF($A32="","",BDP($A32,N$3))</f>
        <v/>
      </c>
      <c r="O32" s="31">
        <f>IF($A32="","",BDP($A32,O$3))</f>
        <v/>
      </c>
      <c r="P32" s="30">
        <f>IF($A32="","",BDH($A32,$N$3,'參數'!$B$5,'參數'!$B$5,"Days=A","Fill=P","Dates=H"))</f>
        <v/>
      </c>
      <c r="Q32" s="30">
        <f>IF($A32="","",BDH($A32,$N$3,'參數'!$B$6,'參數'!$B$6,"Days=A","Fill=P","Dates=H"))</f>
        <v/>
      </c>
      <c r="R32" s="30">
        <f>IF($A32="","",BDH($A32,$N$3,'參數'!$B$7,'參數'!$B$7,"Days=A","Fill=P","Dates=H"))</f>
        <v/>
      </c>
      <c r="S32" s="32">
        <f>IF($A32="","",IFERROR(INDEX('發行人'!$A$5:$A$44,MATCH(B32,'發行人'!$D$5:$D$44,0)),"未對應"))</f>
        <v/>
      </c>
      <c r="T32" s="24">
        <f>IF($A32="","",IFERROR(INDEX('發行人'!$G$5:$G$44,MATCH(B32,'發行人'!$D$5:$D$44,0))+0,""))</f>
        <v/>
      </c>
      <c r="U32" s="18">
        <f>IF(ISNUMBER(E32),YEARFRAC('參數'!$B$4,E32),"")</f>
        <v/>
      </c>
      <c r="V32" s="8">
        <f>IF(U32="","",IF(U32&lt;3,"1-3y",IF(U32&lt;5,"3-5y",IF(U32&lt;7,"5-7y",IF(U32&lt;10,"7-10y","10y+")))))</f>
        <v/>
      </c>
      <c r="W32" s="30">
        <f>IF($A32="","",IFERROR(INDEX('參數'!$B$24:$B$45,MATCH(G32,'參數'!$A$24:$A$45,0)),""))</f>
        <v/>
      </c>
      <c r="X32" s="8">
        <f>IF($A32="","",IFERROR(INDEX('參數'!$C$24:$C$45,MATCH(G32,'參數'!$A$24:$A$45,0)),""))</f>
        <v/>
      </c>
      <c r="Y32" s="30">
        <f>IF(AND(ISNUMBER(N32),ISNUMBER(O32),ISNUMBER(U32)),IF(AND(O32&gt;0,X32&lt;&gt;""),1,0),0)</f>
        <v/>
      </c>
      <c r="Z32" s="17">
        <f>IF(Y32=1,O32*N32,"")</f>
        <v/>
      </c>
      <c r="AA32" s="33">
        <f>IF(Y32=1,IF(ISNUMBER(Q32),N32-Q32,""),"")</f>
        <v/>
      </c>
      <c r="AB32" s="33">
        <f>IF(Y32=1,IF(AND(ISNUMBER(P32),ISNUMBER(R32)),R32*5/12-O32*(P32-R32),""),"")</f>
        <v/>
      </c>
      <c r="AC32" s="30">
        <f>IF(Y32=1,COUNTIFS($X$5:$X$404,X32,$V$5:$V$404,V32,$Y$5:$Y$404,1),"")</f>
        <v/>
      </c>
      <c r="AD32" s="30">
        <f>IF(Y32=1,IFERROR(IF(AC32&gt;='參數'!$B$9,INDEX('分群統計'!$G$13:$K$16,MATCH(X32,'分群統計'!$A$13:$A$16,0),MATCH(V32,'分群統計'!$G$12:$K$12,0)),INDEX('分群統計'!$I$5:$I$8,MATCH(X32,'分群統計'!$A$5:$A$8,0))),""),"")</f>
        <v/>
      </c>
      <c r="AE32" s="18">
        <f>IF(Y32=1,IFERROR(IF(AC32&gt;='參數'!$B$9,INDEX('分群統計'!$L$13:$P$16,MATCH(X32,'分群統計'!$A$13:$A$16,0),MATCH(V32,'分群統計'!$L$12:$P$12,0)),INDEX('分群統計'!$J$5:$J$8,MATCH(X32,'分群統計'!$A$5:$A$8,0))),""),"")</f>
        <v/>
      </c>
      <c r="AF32" s="31">
        <f>IF(ISNUMBER(AE32),IF(AE32&gt;0,MAX(-3,MIN(3,(N32-AD32)/AE32)),0),"")</f>
        <v/>
      </c>
      <c r="AG32" s="30">
        <f>IF(Y32=1,COUNTIFS($B$5:$B$404,B32,$Y$5:$Y$404,1),"")</f>
        <v/>
      </c>
      <c r="AH32" s="30">
        <f>IF(Y32=1,IFERROR(IF(ISNUMBER(INDEX('分群統計'!$G$20:$G$59,MATCH(B32,'分群統計'!$A$20:$A$59,0))),INDEX('分群統計'!$H$20:$H$59,MATCH(B32,'分群統計'!$A$20:$A$59,0))+INDEX('分群統計'!$G$20:$G$59,MATCH(B32,'分群統計'!$A$20:$A$59,0))*AU32,""),""),"")</f>
        <v/>
      </c>
      <c r="AI32" s="34">
        <f>IF(ISNUMBER(AH32),N32-AH32,"")</f>
        <v/>
      </c>
      <c r="AJ32" s="30">
        <f>IF(Y32=1,IFERROR(IF(ISNUMBER(INDEX('分群統計'!$G$5:$G$8,MATCH(X32,'分群統計'!$A$5:$A$8,0))),INDEX('分群統計'!$H$5:$H$8,MATCH(X32,'分群統計'!$A$5:$A$8,0))+INDEX('分群統計'!$G$5:$G$8,MATCH(X32,'分群統計'!$A$5:$A$8,0))*AU32,""),""),"")</f>
        <v/>
      </c>
      <c r="AK32" s="34">
        <f>IF(ISNUMBER(AJ32),N32-AJ32,"")</f>
        <v/>
      </c>
      <c r="AL32" s="21">
        <f>IF(ISNUMBER(AJ32),IF(AJ32&gt;0,AK32/AJ32,""),"")</f>
        <v/>
      </c>
      <c r="AM32" s="31">
        <f>IF(AY32&lt;&gt;1,"",IFERROR(IF(INDEX('分群統計'!$K$5:$K$8,MATCH(X32,'分群統計'!$A$5:$A$8,0))&lt;3,"",IF(INDEX('分群統計'!$M$5:$M$8,MATCH(X32,'分群統計'!$A$5:$A$8,0))&gt;0,MAX(-3,MIN(3,(AX32-INDEX('分群統計'!$L$5:$L$8,MATCH(X32,'分群統計'!$A$5:$A$8,0)))/INDEX('分群統計'!$M$5:$M$8,MATCH(X32,'分群統計'!$A$5:$A$8,0)))),0)),""))</f>
        <v/>
      </c>
      <c r="AN32" s="31">
        <f>IF(ISNUMBER(AB32),IF(Z32&gt;0,AB32/Z32*100,""),"")</f>
        <v/>
      </c>
      <c r="AO32" s="31">
        <f>IF(BA32&lt;&gt;1,"",IFERROR(IF(INDEX('分群統計'!$N$5:$N$8,MATCH(X32,'分群統計'!$A$5:$A$8,0))&lt;3,"",IF(INDEX('分群統計'!$P$5:$P$8,MATCH(X32,'分群統計'!$A$5:$A$8,0))&gt;0,MAX(-3,MIN(3,(AZ32-INDEX('分群統計'!$O$5:$O$8,MATCH(X32,'分群統計'!$A$5:$A$8,0)))/INDEX('分群統計'!$P$5:$P$8,MATCH(X32,'分群統計'!$A$5:$A$8,0)))),0)),""))</f>
        <v/>
      </c>
      <c r="AP32" s="31">
        <f>IF(BC32&lt;&gt;1,"",IFERROR(IF(INDEX('分群統計'!$Q$5:$Q$8,MATCH(X32,'分群統計'!$A$5:$A$8,0))&lt;3,"",IF(INDEX('分群統計'!$S$5:$S$8,MATCH(X32,'分群統計'!$A$5:$A$8,0))&gt;0,MAX(-3,MIN(3,(BB32-INDEX('分群統計'!$R$5:$R$8,MATCH(X32,'分群統計'!$A$5:$A$8,0)))/INDEX('分群統計'!$S$5:$S$8,MATCH(X32,'分群統計'!$A$5:$A$8,0)))),0)),""))</f>
        <v/>
      </c>
      <c r="AQ32" s="31">
        <f>IF(Y32=1,(IF(ISNUMBER(AF32),AF32,0)*'參數'!$B$13+IF(ISNUMBER(AM32),AM32,0)*'參數'!$B$14+IF(ISNUMBER(AO32),AO32,0)*'參數'!$B$15+IF(ISNUMBER(AP32),AP32,0)*'參數'!$B$16)/('參數'!$B$13+'參數'!$B$14+'參數'!$B$15+'參數'!$B$16),"")</f>
        <v/>
      </c>
      <c r="AR32" s="35">
        <f>IF(Y32=1,(SUMPRODUCT(($X$5:$X$404=X32)*($Y$5:$Y$404=1)*($BD$5:$BD$404&gt;BD32))+1)/COUNTIFS($X$5:$X$404,X32,$Y$5:$Y$404,1),"")</f>
        <v/>
      </c>
      <c r="AS32" s="8">
        <f>IF(ISNUMBER(AR32),IF(AR32&lt;='參數'!$B$18,"加碼候選",IF(AR32&gt;'參數'!$B$19,"減碼候選","")),"")</f>
        <v/>
      </c>
      <c r="AT32" s="7">
        <f>IF(Y32=1,N32,0)</f>
        <v/>
      </c>
      <c r="AU32" s="7">
        <f>IF(Y32=1,LN(O32),0)</f>
        <v/>
      </c>
      <c r="AV32" s="36">
        <f>IF(Y32=1,IF(ISNUMBER(F32),F32,0),0)</f>
        <v/>
      </c>
      <c r="AW32" s="7">
        <f>IF(Y32=1,Z32,0)</f>
        <v/>
      </c>
      <c r="AX32" s="7">
        <f>IF(Y32=1,IF(ISNUMBER(AL32),AL32,0),0)</f>
        <v/>
      </c>
      <c r="AY32" s="7">
        <f>IF(Y32=1,IF(ISNUMBER(AL32),1,0),0)</f>
        <v/>
      </c>
      <c r="AZ32" s="7">
        <f>IF(Y32=1,IF(ISNUMBER(AN32),AN32,0),0)</f>
        <v/>
      </c>
      <c r="BA32" s="7">
        <f>IF(Y32=1,IF(ISNUMBER(AN32),1,0),0)</f>
        <v/>
      </c>
      <c r="BB32" s="7">
        <f>IF(Y32=1,IF(ISNUMBER(T32),T32,0),0)</f>
        <v/>
      </c>
      <c r="BC32" s="7">
        <f>IF(Y32=1,IF(ISNUMBER(T32),1,0),0)</f>
        <v/>
      </c>
      <c r="BD32" s="7">
        <f>IF(Y32=1,AQ32+ROW()/1E9,-1E9)</f>
        <v/>
      </c>
      <c r="BE32" s="7">
        <f>IF(Y32=1,AQ32+ROW()/1E9,1E9)</f>
        <v/>
      </c>
    </row>
    <row r="33">
      <c r="A33" s="16" t="n"/>
      <c r="B33" s="8">
        <f>IF($A33="","",BDP($A33,B$3))</f>
        <v/>
      </c>
      <c r="C33" s="8">
        <f>IF($A33="","",BDP($A33,C$3))</f>
        <v/>
      </c>
      <c r="D33" s="28">
        <f>IF($A33="","",BDP($A33,D$3))</f>
        <v/>
      </c>
      <c r="E33" s="29">
        <f>IF($A33="","",BDP($A33,E$3))</f>
        <v/>
      </c>
      <c r="F33" s="17">
        <f>IF($A33="","",BDP($A33,F$3))</f>
        <v/>
      </c>
      <c r="G33" s="8">
        <f>IF($A33="","",BDP($A33,G$3))</f>
        <v/>
      </c>
      <c r="H33" s="8">
        <f>IF($A33="","",BDP($A33,H$3))</f>
        <v/>
      </c>
      <c r="I33" s="8">
        <f>IF($A33="","",BDP($A33,I$3))</f>
        <v/>
      </c>
      <c r="J33" s="8">
        <f>IF($A33="","",BDP($A33,J$3))</f>
        <v/>
      </c>
      <c r="K33" s="8">
        <f>IF($A33="","",BDP($A33,K$3))</f>
        <v/>
      </c>
      <c r="L33" s="28">
        <f>IF($A33="","",BDP($A33,L$3))</f>
        <v/>
      </c>
      <c r="M33" s="28">
        <f>IF($A33="","",BDP($A33,M$3))</f>
        <v/>
      </c>
      <c r="N33" s="30">
        <f>IF($A33="","",BDP($A33,N$3))</f>
        <v/>
      </c>
      <c r="O33" s="31">
        <f>IF($A33="","",BDP($A33,O$3))</f>
        <v/>
      </c>
      <c r="P33" s="30">
        <f>IF($A33="","",BDH($A33,$N$3,'參數'!$B$5,'參數'!$B$5,"Days=A","Fill=P","Dates=H"))</f>
        <v/>
      </c>
      <c r="Q33" s="30">
        <f>IF($A33="","",BDH($A33,$N$3,'參數'!$B$6,'參數'!$B$6,"Days=A","Fill=P","Dates=H"))</f>
        <v/>
      </c>
      <c r="R33" s="30">
        <f>IF($A33="","",BDH($A33,$N$3,'參數'!$B$7,'參數'!$B$7,"Days=A","Fill=P","Dates=H"))</f>
        <v/>
      </c>
      <c r="S33" s="32">
        <f>IF($A33="","",IFERROR(INDEX('發行人'!$A$5:$A$44,MATCH(B33,'發行人'!$D$5:$D$44,0)),"未對應"))</f>
        <v/>
      </c>
      <c r="T33" s="24">
        <f>IF($A33="","",IFERROR(INDEX('發行人'!$G$5:$G$44,MATCH(B33,'發行人'!$D$5:$D$44,0))+0,""))</f>
        <v/>
      </c>
      <c r="U33" s="18">
        <f>IF(ISNUMBER(E33),YEARFRAC('參數'!$B$4,E33),"")</f>
        <v/>
      </c>
      <c r="V33" s="8">
        <f>IF(U33="","",IF(U33&lt;3,"1-3y",IF(U33&lt;5,"3-5y",IF(U33&lt;7,"5-7y",IF(U33&lt;10,"7-10y","10y+")))))</f>
        <v/>
      </c>
      <c r="W33" s="30">
        <f>IF($A33="","",IFERROR(INDEX('參數'!$B$24:$B$45,MATCH(G33,'參數'!$A$24:$A$45,0)),""))</f>
        <v/>
      </c>
      <c r="X33" s="8">
        <f>IF($A33="","",IFERROR(INDEX('參數'!$C$24:$C$45,MATCH(G33,'參數'!$A$24:$A$45,0)),""))</f>
        <v/>
      </c>
      <c r="Y33" s="30">
        <f>IF(AND(ISNUMBER(N33),ISNUMBER(O33),ISNUMBER(U33)),IF(AND(O33&gt;0,X33&lt;&gt;""),1,0),0)</f>
        <v/>
      </c>
      <c r="Z33" s="17">
        <f>IF(Y33=1,O33*N33,"")</f>
        <v/>
      </c>
      <c r="AA33" s="33">
        <f>IF(Y33=1,IF(ISNUMBER(Q33),N33-Q33,""),"")</f>
        <v/>
      </c>
      <c r="AB33" s="33">
        <f>IF(Y33=1,IF(AND(ISNUMBER(P33),ISNUMBER(R33)),R33*5/12-O33*(P33-R33),""),"")</f>
        <v/>
      </c>
      <c r="AC33" s="30">
        <f>IF(Y33=1,COUNTIFS($X$5:$X$404,X33,$V$5:$V$404,V33,$Y$5:$Y$404,1),"")</f>
        <v/>
      </c>
      <c r="AD33" s="30">
        <f>IF(Y33=1,IFERROR(IF(AC33&gt;='參數'!$B$9,INDEX('分群統計'!$G$13:$K$16,MATCH(X33,'分群統計'!$A$13:$A$16,0),MATCH(V33,'分群統計'!$G$12:$K$12,0)),INDEX('分群統計'!$I$5:$I$8,MATCH(X33,'分群統計'!$A$5:$A$8,0))),""),"")</f>
        <v/>
      </c>
      <c r="AE33" s="18">
        <f>IF(Y33=1,IFERROR(IF(AC33&gt;='參數'!$B$9,INDEX('分群統計'!$L$13:$P$16,MATCH(X33,'分群統計'!$A$13:$A$16,0),MATCH(V33,'分群統計'!$L$12:$P$12,0)),INDEX('分群統計'!$J$5:$J$8,MATCH(X33,'分群統計'!$A$5:$A$8,0))),""),"")</f>
        <v/>
      </c>
      <c r="AF33" s="31">
        <f>IF(ISNUMBER(AE33),IF(AE33&gt;0,MAX(-3,MIN(3,(N33-AD33)/AE33)),0),"")</f>
        <v/>
      </c>
      <c r="AG33" s="30">
        <f>IF(Y33=1,COUNTIFS($B$5:$B$404,B33,$Y$5:$Y$404,1),"")</f>
        <v/>
      </c>
      <c r="AH33" s="30">
        <f>IF(Y33=1,IFERROR(IF(ISNUMBER(INDEX('分群統計'!$G$20:$G$59,MATCH(B33,'分群統計'!$A$20:$A$59,0))),INDEX('分群統計'!$H$20:$H$59,MATCH(B33,'分群統計'!$A$20:$A$59,0))+INDEX('分群統計'!$G$20:$G$59,MATCH(B33,'分群統計'!$A$20:$A$59,0))*AU33,""),""),"")</f>
        <v/>
      </c>
      <c r="AI33" s="34">
        <f>IF(ISNUMBER(AH33),N33-AH33,"")</f>
        <v/>
      </c>
      <c r="AJ33" s="30">
        <f>IF(Y33=1,IFERROR(IF(ISNUMBER(INDEX('分群統計'!$G$5:$G$8,MATCH(X33,'分群統計'!$A$5:$A$8,0))),INDEX('分群統計'!$H$5:$H$8,MATCH(X33,'分群統計'!$A$5:$A$8,0))+INDEX('分群統計'!$G$5:$G$8,MATCH(X33,'分群統計'!$A$5:$A$8,0))*AU33,""),""),"")</f>
        <v/>
      </c>
      <c r="AK33" s="34">
        <f>IF(ISNUMBER(AJ33),N33-AJ33,"")</f>
        <v/>
      </c>
      <c r="AL33" s="21">
        <f>IF(ISNUMBER(AJ33),IF(AJ33&gt;0,AK33/AJ33,""),"")</f>
        <v/>
      </c>
      <c r="AM33" s="31">
        <f>IF(AY33&lt;&gt;1,"",IFERROR(IF(INDEX('分群統計'!$K$5:$K$8,MATCH(X33,'分群統計'!$A$5:$A$8,0))&lt;3,"",IF(INDEX('分群統計'!$M$5:$M$8,MATCH(X33,'分群統計'!$A$5:$A$8,0))&gt;0,MAX(-3,MIN(3,(AX33-INDEX('分群統計'!$L$5:$L$8,MATCH(X33,'分群統計'!$A$5:$A$8,0)))/INDEX('分群統計'!$M$5:$M$8,MATCH(X33,'分群統計'!$A$5:$A$8,0)))),0)),""))</f>
        <v/>
      </c>
      <c r="AN33" s="31">
        <f>IF(ISNUMBER(AB33),IF(Z33&gt;0,AB33/Z33*100,""),"")</f>
        <v/>
      </c>
      <c r="AO33" s="31">
        <f>IF(BA33&lt;&gt;1,"",IFERROR(IF(INDEX('分群統計'!$N$5:$N$8,MATCH(X33,'分群統計'!$A$5:$A$8,0))&lt;3,"",IF(INDEX('分群統計'!$P$5:$P$8,MATCH(X33,'分群統計'!$A$5:$A$8,0))&gt;0,MAX(-3,MIN(3,(AZ33-INDEX('分群統計'!$O$5:$O$8,MATCH(X33,'分群統計'!$A$5:$A$8,0)))/INDEX('分群統計'!$P$5:$P$8,MATCH(X33,'分群統計'!$A$5:$A$8,0)))),0)),""))</f>
        <v/>
      </c>
      <c r="AP33" s="31">
        <f>IF(BC33&lt;&gt;1,"",IFERROR(IF(INDEX('分群統計'!$Q$5:$Q$8,MATCH(X33,'分群統計'!$A$5:$A$8,0))&lt;3,"",IF(INDEX('分群統計'!$S$5:$S$8,MATCH(X33,'分群統計'!$A$5:$A$8,0))&gt;0,MAX(-3,MIN(3,(BB33-INDEX('分群統計'!$R$5:$R$8,MATCH(X33,'分群統計'!$A$5:$A$8,0)))/INDEX('分群統計'!$S$5:$S$8,MATCH(X33,'分群統計'!$A$5:$A$8,0)))),0)),""))</f>
        <v/>
      </c>
      <c r="AQ33" s="31">
        <f>IF(Y33=1,(IF(ISNUMBER(AF33),AF33,0)*'參數'!$B$13+IF(ISNUMBER(AM33),AM33,0)*'參數'!$B$14+IF(ISNUMBER(AO33),AO33,0)*'參數'!$B$15+IF(ISNUMBER(AP33),AP33,0)*'參數'!$B$16)/('參數'!$B$13+'參數'!$B$14+'參數'!$B$15+'參數'!$B$16),"")</f>
        <v/>
      </c>
      <c r="AR33" s="35">
        <f>IF(Y33=1,(SUMPRODUCT(($X$5:$X$404=X33)*($Y$5:$Y$404=1)*($BD$5:$BD$404&gt;BD33))+1)/COUNTIFS($X$5:$X$404,X33,$Y$5:$Y$404,1),"")</f>
        <v/>
      </c>
      <c r="AS33" s="8">
        <f>IF(ISNUMBER(AR33),IF(AR33&lt;='參數'!$B$18,"加碼候選",IF(AR33&gt;'參數'!$B$19,"減碼候選","")),"")</f>
        <v/>
      </c>
      <c r="AT33" s="7">
        <f>IF(Y33=1,N33,0)</f>
        <v/>
      </c>
      <c r="AU33" s="7">
        <f>IF(Y33=1,LN(O33),0)</f>
        <v/>
      </c>
      <c r="AV33" s="36">
        <f>IF(Y33=1,IF(ISNUMBER(F33),F33,0),0)</f>
        <v/>
      </c>
      <c r="AW33" s="7">
        <f>IF(Y33=1,Z33,0)</f>
        <v/>
      </c>
      <c r="AX33" s="7">
        <f>IF(Y33=1,IF(ISNUMBER(AL33),AL33,0),0)</f>
        <v/>
      </c>
      <c r="AY33" s="7">
        <f>IF(Y33=1,IF(ISNUMBER(AL33),1,0),0)</f>
        <v/>
      </c>
      <c r="AZ33" s="7">
        <f>IF(Y33=1,IF(ISNUMBER(AN33),AN33,0),0)</f>
        <v/>
      </c>
      <c r="BA33" s="7">
        <f>IF(Y33=1,IF(ISNUMBER(AN33),1,0),0)</f>
        <v/>
      </c>
      <c r="BB33" s="7">
        <f>IF(Y33=1,IF(ISNUMBER(T33),T33,0),0)</f>
        <v/>
      </c>
      <c r="BC33" s="7">
        <f>IF(Y33=1,IF(ISNUMBER(T33),1,0),0)</f>
        <v/>
      </c>
      <c r="BD33" s="7">
        <f>IF(Y33=1,AQ33+ROW()/1E9,-1E9)</f>
        <v/>
      </c>
      <c r="BE33" s="7">
        <f>IF(Y33=1,AQ33+ROW()/1E9,1E9)</f>
        <v/>
      </c>
    </row>
    <row r="34">
      <c r="A34" s="16" t="n"/>
      <c r="B34" s="8">
        <f>IF($A34="","",BDP($A34,B$3))</f>
        <v/>
      </c>
      <c r="C34" s="8">
        <f>IF($A34="","",BDP($A34,C$3))</f>
        <v/>
      </c>
      <c r="D34" s="28">
        <f>IF($A34="","",BDP($A34,D$3))</f>
        <v/>
      </c>
      <c r="E34" s="29">
        <f>IF($A34="","",BDP($A34,E$3))</f>
        <v/>
      </c>
      <c r="F34" s="17">
        <f>IF($A34="","",BDP($A34,F$3))</f>
        <v/>
      </c>
      <c r="G34" s="8">
        <f>IF($A34="","",BDP($A34,G$3))</f>
        <v/>
      </c>
      <c r="H34" s="8">
        <f>IF($A34="","",BDP($A34,H$3))</f>
        <v/>
      </c>
      <c r="I34" s="8">
        <f>IF($A34="","",BDP($A34,I$3))</f>
        <v/>
      </c>
      <c r="J34" s="8">
        <f>IF($A34="","",BDP($A34,J$3))</f>
        <v/>
      </c>
      <c r="K34" s="8">
        <f>IF($A34="","",BDP($A34,K$3))</f>
        <v/>
      </c>
      <c r="L34" s="28">
        <f>IF($A34="","",BDP($A34,L$3))</f>
        <v/>
      </c>
      <c r="M34" s="28">
        <f>IF($A34="","",BDP($A34,M$3))</f>
        <v/>
      </c>
      <c r="N34" s="30">
        <f>IF($A34="","",BDP($A34,N$3))</f>
        <v/>
      </c>
      <c r="O34" s="31">
        <f>IF($A34="","",BDP($A34,O$3))</f>
        <v/>
      </c>
      <c r="P34" s="30">
        <f>IF($A34="","",BDH($A34,$N$3,'參數'!$B$5,'參數'!$B$5,"Days=A","Fill=P","Dates=H"))</f>
        <v/>
      </c>
      <c r="Q34" s="30">
        <f>IF($A34="","",BDH($A34,$N$3,'參數'!$B$6,'參數'!$B$6,"Days=A","Fill=P","Dates=H"))</f>
        <v/>
      </c>
      <c r="R34" s="30">
        <f>IF($A34="","",BDH($A34,$N$3,'參數'!$B$7,'參數'!$B$7,"Days=A","Fill=P","Dates=H"))</f>
        <v/>
      </c>
      <c r="S34" s="32">
        <f>IF($A34="","",IFERROR(INDEX('發行人'!$A$5:$A$44,MATCH(B34,'發行人'!$D$5:$D$44,0)),"未對應"))</f>
        <v/>
      </c>
      <c r="T34" s="24">
        <f>IF($A34="","",IFERROR(INDEX('發行人'!$G$5:$G$44,MATCH(B34,'發行人'!$D$5:$D$44,0))+0,""))</f>
        <v/>
      </c>
      <c r="U34" s="18">
        <f>IF(ISNUMBER(E34),YEARFRAC('參數'!$B$4,E34),"")</f>
        <v/>
      </c>
      <c r="V34" s="8">
        <f>IF(U34="","",IF(U34&lt;3,"1-3y",IF(U34&lt;5,"3-5y",IF(U34&lt;7,"5-7y",IF(U34&lt;10,"7-10y","10y+")))))</f>
        <v/>
      </c>
      <c r="W34" s="30">
        <f>IF($A34="","",IFERROR(INDEX('參數'!$B$24:$B$45,MATCH(G34,'參數'!$A$24:$A$45,0)),""))</f>
        <v/>
      </c>
      <c r="X34" s="8">
        <f>IF($A34="","",IFERROR(INDEX('參數'!$C$24:$C$45,MATCH(G34,'參數'!$A$24:$A$45,0)),""))</f>
        <v/>
      </c>
      <c r="Y34" s="30">
        <f>IF(AND(ISNUMBER(N34),ISNUMBER(O34),ISNUMBER(U34)),IF(AND(O34&gt;0,X34&lt;&gt;""),1,0),0)</f>
        <v/>
      </c>
      <c r="Z34" s="17">
        <f>IF(Y34=1,O34*N34,"")</f>
        <v/>
      </c>
      <c r="AA34" s="33">
        <f>IF(Y34=1,IF(ISNUMBER(Q34),N34-Q34,""),"")</f>
        <v/>
      </c>
      <c r="AB34" s="33">
        <f>IF(Y34=1,IF(AND(ISNUMBER(P34),ISNUMBER(R34)),R34*5/12-O34*(P34-R34),""),"")</f>
        <v/>
      </c>
      <c r="AC34" s="30">
        <f>IF(Y34=1,COUNTIFS($X$5:$X$404,X34,$V$5:$V$404,V34,$Y$5:$Y$404,1),"")</f>
        <v/>
      </c>
      <c r="AD34" s="30">
        <f>IF(Y34=1,IFERROR(IF(AC34&gt;='參數'!$B$9,INDEX('分群統計'!$G$13:$K$16,MATCH(X34,'分群統計'!$A$13:$A$16,0),MATCH(V34,'分群統計'!$G$12:$K$12,0)),INDEX('分群統計'!$I$5:$I$8,MATCH(X34,'分群統計'!$A$5:$A$8,0))),""),"")</f>
        <v/>
      </c>
      <c r="AE34" s="18">
        <f>IF(Y34=1,IFERROR(IF(AC34&gt;='參數'!$B$9,INDEX('分群統計'!$L$13:$P$16,MATCH(X34,'分群統計'!$A$13:$A$16,0),MATCH(V34,'分群統計'!$L$12:$P$12,0)),INDEX('分群統計'!$J$5:$J$8,MATCH(X34,'分群統計'!$A$5:$A$8,0))),""),"")</f>
        <v/>
      </c>
      <c r="AF34" s="31">
        <f>IF(ISNUMBER(AE34),IF(AE34&gt;0,MAX(-3,MIN(3,(N34-AD34)/AE34)),0),"")</f>
        <v/>
      </c>
      <c r="AG34" s="30">
        <f>IF(Y34=1,COUNTIFS($B$5:$B$404,B34,$Y$5:$Y$404,1),"")</f>
        <v/>
      </c>
      <c r="AH34" s="30">
        <f>IF(Y34=1,IFERROR(IF(ISNUMBER(INDEX('分群統計'!$G$20:$G$59,MATCH(B34,'分群統計'!$A$20:$A$59,0))),INDEX('分群統計'!$H$20:$H$59,MATCH(B34,'分群統計'!$A$20:$A$59,0))+INDEX('分群統計'!$G$20:$G$59,MATCH(B34,'分群統計'!$A$20:$A$59,0))*AU34,""),""),"")</f>
        <v/>
      </c>
      <c r="AI34" s="34">
        <f>IF(ISNUMBER(AH34),N34-AH34,"")</f>
        <v/>
      </c>
      <c r="AJ34" s="30">
        <f>IF(Y34=1,IFERROR(IF(ISNUMBER(INDEX('分群統計'!$G$5:$G$8,MATCH(X34,'分群統計'!$A$5:$A$8,0))),INDEX('分群統計'!$H$5:$H$8,MATCH(X34,'分群統計'!$A$5:$A$8,0))+INDEX('分群統計'!$G$5:$G$8,MATCH(X34,'分群統計'!$A$5:$A$8,0))*AU34,""),""),"")</f>
        <v/>
      </c>
      <c r="AK34" s="34">
        <f>IF(ISNUMBER(AJ34),N34-AJ34,"")</f>
        <v/>
      </c>
      <c r="AL34" s="21">
        <f>IF(ISNUMBER(AJ34),IF(AJ34&gt;0,AK34/AJ34,""),"")</f>
        <v/>
      </c>
      <c r="AM34" s="31">
        <f>IF(AY34&lt;&gt;1,"",IFERROR(IF(INDEX('分群統計'!$K$5:$K$8,MATCH(X34,'分群統計'!$A$5:$A$8,0))&lt;3,"",IF(INDEX('分群統計'!$M$5:$M$8,MATCH(X34,'分群統計'!$A$5:$A$8,0))&gt;0,MAX(-3,MIN(3,(AX34-INDEX('分群統計'!$L$5:$L$8,MATCH(X34,'分群統計'!$A$5:$A$8,0)))/INDEX('分群統計'!$M$5:$M$8,MATCH(X34,'分群統計'!$A$5:$A$8,0)))),0)),""))</f>
        <v/>
      </c>
      <c r="AN34" s="31">
        <f>IF(ISNUMBER(AB34),IF(Z34&gt;0,AB34/Z34*100,""),"")</f>
        <v/>
      </c>
      <c r="AO34" s="31">
        <f>IF(BA34&lt;&gt;1,"",IFERROR(IF(INDEX('分群統計'!$N$5:$N$8,MATCH(X34,'分群統計'!$A$5:$A$8,0))&lt;3,"",IF(INDEX('分群統計'!$P$5:$P$8,MATCH(X34,'分群統計'!$A$5:$A$8,0))&gt;0,MAX(-3,MIN(3,(AZ34-INDEX('分群統計'!$O$5:$O$8,MATCH(X34,'分群統計'!$A$5:$A$8,0)))/INDEX('分群統計'!$P$5:$P$8,MATCH(X34,'分群統計'!$A$5:$A$8,0)))),0)),""))</f>
        <v/>
      </c>
      <c r="AP34" s="31">
        <f>IF(BC34&lt;&gt;1,"",IFERROR(IF(INDEX('分群統計'!$Q$5:$Q$8,MATCH(X34,'分群統計'!$A$5:$A$8,0))&lt;3,"",IF(INDEX('分群統計'!$S$5:$S$8,MATCH(X34,'分群統計'!$A$5:$A$8,0))&gt;0,MAX(-3,MIN(3,(BB34-INDEX('分群統計'!$R$5:$R$8,MATCH(X34,'分群統計'!$A$5:$A$8,0)))/INDEX('分群統計'!$S$5:$S$8,MATCH(X34,'分群統計'!$A$5:$A$8,0)))),0)),""))</f>
        <v/>
      </c>
      <c r="AQ34" s="31">
        <f>IF(Y34=1,(IF(ISNUMBER(AF34),AF34,0)*'參數'!$B$13+IF(ISNUMBER(AM34),AM34,0)*'參數'!$B$14+IF(ISNUMBER(AO34),AO34,0)*'參數'!$B$15+IF(ISNUMBER(AP34),AP34,0)*'參數'!$B$16)/('參數'!$B$13+'參數'!$B$14+'參數'!$B$15+'參數'!$B$16),"")</f>
        <v/>
      </c>
      <c r="AR34" s="35">
        <f>IF(Y34=1,(SUMPRODUCT(($X$5:$X$404=X34)*($Y$5:$Y$404=1)*($BD$5:$BD$404&gt;BD34))+1)/COUNTIFS($X$5:$X$404,X34,$Y$5:$Y$404,1),"")</f>
        <v/>
      </c>
      <c r="AS34" s="8">
        <f>IF(ISNUMBER(AR34),IF(AR34&lt;='參數'!$B$18,"加碼候選",IF(AR34&gt;'參數'!$B$19,"減碼候選","")),"")</f>
        <v/>
      </c>
      <c r="AT34" s="7">
        <f>IF(Y34=1,N34,0)</f>
        <v/>
      </c>
      <c r="AU34" s="7">
        <f>IF(Y34=1,LN(O34),0)</f>
        <v/>
      </c>
      <c r="AV34" s="36">
        <f>IF(Y34=1,IF(ISNUMBER(F34),F34,0),0)</f>
        <v/>
      </c>
      <c r="AW34" s="7">
        <f>IF(Y34=1,Z34,0)</f>
        <v/>
      </c>
      <c r="AX34" s="7">
        <f>IF(Y34=1,IF(ISNUMBER(AL34),AL34,0),0)</f>
        <v/>
      </c>
      <c r="AY34" s="7">
        <f>IF(Y34=1,IF(ISNUMBER(AL34),1,0),0)</f>
        <v/>
      </c>
      <c r="AZ34" s="7">
        <f>IF(Y34=1,IF(ISNUMBER(AN34),AN34,0),0)</f>
        <v/>
      </c>
      <c r="BA34" s="7">
        <f>IF(Y34=1,IF(ISNUMBER(AN34),1,0),0)</f>
        <v/>
      </c>
      <c r="BB34" s="7">
        <f>IF(Y34=1,IF(ISNUMBER(T34),T34,0),0)</f>
        <v/>
      </c>
      <c r="BC34" s="7">
        <f>IF(Y34=1,IF(ISNUMBER(T34),1,0),0)</f>
        <v/>
      </c>
      <c r="BD34" s="7">
        <f>IF(Y34=1,AQ34+ROW()/1E9,-1E9)</f>
        <v/>
      </c>
      <c r="BE34" s="7">
        <f>IF(Y34=1,AQ34+ROW()/1E9,1E9)</f>
        <v/>
      </c>
    </row>
    <row r="35">
      <c r="A35" s="16" t="n"/>
      <c r="B35" s="8">
        <f>IF($A35="","",BDP($A35,B$3))</f>
        <v/>
      </c>
      <c r="C35" s="8">
        <f>IF($A35="","",BDP($A35,C$3))</f>
        <v/>
      </c>
      <c r="D35" s="28">
        <f>IF($A35="","",BDP($A35,D$3))</f>
        <v/>
      </c>
      <c r="E35" s="29">
        <f>IF($A35="","",BDP($A35,E$3))</f>
        <v/>
      </c>
      <c r="F35" s="17">
        <f>IF($A35="","",BDP($A35,F$3))</f>
        <v/>
      </c>
      <c r="G35" s="8">
        <f>IF($A35="","",BDP($A35,G$3))</f>
        <v/>
      </c>
      <c r="H35" s="8">
        <f>IF($A35="","",BDP($A35,H$3))</f>
        <v/>
      </c>
      <c r="I35" s="8">
        <f>IF($A35="","",BDP($A35,I$3))</f>
        <v/>
      </c>
      <c r="J35" s="8">
        <f>IF($A35="","",BDP($A35,J$3))</f>
        <v/>
      </c>
      <c r="K35" s="8">
        <f>IF($A35="","",BDP($A35,K$3))</f>
        <v/>
      </c>
      <c r="L35" s="28">
        <f>IF($A35="","",BDP($A35,L$3))</f>
        <v/>
      </c>
      <c r="M35" s="28">
        <f>IF($A35="","",BDP($A35,M$3))</f>
        <v/>
      </c>
      <c r="N35" s="30">
        <f>IF($A35="","",BDP($A35,N$3))</f>
        <v/>
      </c>
      <c r="O35" s="31">
        <f>IF($A35="","",BDP($A35,O$3))</f>
        <v/>
      </c>
      <c r="P35" s="30">
        <f>IF($A35="","",BDH($A35,$N$3,'參數'!$B$5,'參數'!$B$5,"Days=A","Fill=P","Dates=H"))</f>
        <v/>
      </c>
      <c r="Q35" s="30">
        <f>IF($A35="","",BDH($A35,$N$3,'參數'!$B$6,'參數'!$B$6,"Days=A","Fill=P","Dates=H"))</f>
        <v/>
      </c>
      <c r="R35" s="30">
        <f>IF($A35="","",BDH($A35,$N$3,'參數'!$B$7,'參數'!$B$7,"Days=A","Fill=P","Dates=H"))</f>
        <v/>
      </c>
      <c r="S35" s="32">
        <f>IF($A35="","",IFERROR(INDEX('發行人'!$A$5:$A$44,MATCH(B35,'發行人'!$D$5:$D$44,0)),"未對應"))</f>
        <v/>
      </c>
      <c r="T35" s="24">
        <f>IF($A35="","",IFERROR(INDEX('發行人'!$G$5:$G$44,MATCH(B35,'發行人'!$D$5:$D$44,0))+0,""))</f>
        <v/>
      </c>
      <c r="U35" s="18">
        <f>IF(ISNUMBER(E35),YEARFRAC('參數'!$B$4,E35),"")</f>
        <v/>
      </c>
      <c r="V35" s="8">
        <f>IF(U35="","",IF(U35&lt;3,"1-3y",IF(U35&lt;5,"3-5y",IF(U35&lt;7,"5-7y",IF(U35&lt;10,"7-10y","10y+")))))</f>
        <v/>
      </c>
      <c r="W35" s="30">
        <f>IF($A35="","",IFERROR(INDEX('參數'!$B$24:$B$45,MATCH(G35,'參數'!$A$24:$A$45,0)),""))</f>
        <v/>
      </c>
      <c r="X35" s="8">
        <f>IF($A35="","",IFERROR(INDEX('參數'!$C$24:$C$45,MATCH(G35,'參數'!$A$24:$A$45,0)),""))</f>
        <v/>
      </c>
      <c r="Y35" s="30">
        <f>IF(AND(ISNUMBER(N35),ISNUMBER(O35),ISNUMBER(U35)),IF(AND(O35&gt;0,X35&lt;&gt;""),1,0),0)</f>
        <v/>
      </c>
      <c r="Z35" s="17">
        <f>IF(Y35=1,O35*N35,"")</f>
        <v/>
      </c>
      <c r="AA35" s="33">
        <f>IF(Y35=1,IF(ISNUMBER(Q35),N35-Q35,""),"")</f>
        <v/>
      </c>
      <c r="AB35" s="33">
        <f>IF(Y35=1,IF(AND(ISNUMBER(P35),ISNUMBER(R35)),R35*5/12-O35*(P35-R35),""),"")</f>
        <v/>
      </c>
      <c r="AC35" s="30">
        <f>IF(Y35=1,COUNTIFS($X$5:$X$404,X35,$V$5:$V$404,V35,$Y$5:$Y$404,1),"")</f>
        <v/>
      </c>
      <c r="AD35" s="30">
        <f>IF(Y35=1,IFERROR(IF(AC35&gt;='參數'!$B$9,INDEX('分群統計'!$G$13:$K$16,MATCH(X35,'分群統計'!$A$13:$A$16,0),MATCH(V35,'分群統計'!$G$12:$K$12,0)),INDEX('分群統計'!$I$5:$I$8,MATCH(X35,'分群統計'!$A$5:$A$8,0))),""),"")</f>
        <v/>
      </c>
      <c r="AE35" s="18">
        <f>IF(Y35=1,IFERROR(IF(AC35&gt;='參數'!$B$9,INDEX('分群統計'!$L$13:$P$16,MATCH(X35,'分群統計'!$A$13:$A$16,0),MATCH(V35,'分群統計'!$L$12:$P$12,0)),INDEX('分群統計'!$J$5:$J$8,MATCH(X35,'分群統計'!$A$5:$A$8,0))),""),"")</f>
        <v/>
      </c>
      <c r="AF35" s="31">
        <f>IF(ISNUMBER(AE35),IF(AE35&gt;0,MAX(-3,MIN(3,(N35-AD35)/AE35)),0),"")</f>
        <v/>
      </c>
      <c r="AG35" s="30">
        <f>IF(Y35=1,COUNTIFS($B$5:$B$404,B35,$Y$5:$Y$404,1),"")</f>
        <v/>
      </c>
      <c r="AH35" s="30">
        <f>IF(Y35=1,IFERROR(IF(ISNUMBER(INDEX('分群統計'!$G$20:$G$59,MATCH(B35,'分群統計'!$A$20:$A$59,0))),INDEX('分群統計'!$H$20:$H$59,MATCH(B35,'分群統計'!$A$20:$A$59,0))+INDEX('分群統計'!$G$20:$G$59,MATCH(B35,'分群統計'!$A$20:$A$59,0))*AU35,""),""),"")</f>
        <v/>
      </c>
      <c r="AI35" s="34">
        <f>IF(ISNUMBER(AH35),N35-AH35,"")</f>
        <v/>
      </c>
      <c r="AJ35" s="30">
        <f>IF(Y35=1,IFERROR(IF(ISNUMBER(INDEX('分群統計'!$G$5:$G$8,MATCH(X35,'分群統計'!$A$5:$A$8,0))),INDEX('分群統計'!$H$5:$H$8,MATCH(X35,'分群統計'!$A$5:$A$8,0))+INDEX('分群統計'!$G$5:$G$8,MATCH(X35,'分群統計'!$A$5:$A$8,0))*AU35,""),""),"")</f>
        <v/>
      </c>
      <c r="AK35" s="34">
        <f>IF(ISNUMBER(AJ35),N35-AJ35,"")</f>
        <v/>
      </c>
      <c r="AL35" s="21">
        <f>IF(ISNUMBER(AJ35),IF(AJ35&gt;0,AK35/AJ35,""),"")</f>
        <v/>
      </c>
      <c r="AM35" s="31">
        <f>IF(AY35&lt;&gt;1,"",IFERROR(IF(INDEX('分群統計'!$K$5:$K$8,MATCH(X35,'分群統計'!$A$5:$A$8,0))&lt;3,"",IF(INDEX('分群統計'!$M$5:$M$8,MATCH(X35,'分群統計'!$A$5:$A$8,0))&gt;0,MAX(-3,MIN(3,(AX35-INDEX('分群統計'!$L$5:$L$8,MATCH(X35,'分群統計'!$A$5:$A$8,0)))/INDEX('分群統計'!$M$5:$M$8,MATCH(X35,'分群統計'!$A$5:$A$8,0)))),0)),""))</f>
        <v/>
      </c>
      <c r="AN35" s="31">
        <f>IF(ISNUMBER(AB35),IF(Z35&gt;0,AB35/Z35*100,""),"")</f>
        <v/>
      </c>
      <c r="AO35" s="31">
        <f>IF(BA35&lt;&gt;1,"",IFERROR(IF(INDEX('分群統計'!$N$5:$N$8,MATCH(X35,'分群統計'!$A$5:$A$8,0))&lt;3,"",IF(INDEX('分群統計'!$P$5:$P$8,MATCH(X35,'分群統計'!$A$5:$A$8,0))&gt;0,MAX(-3,MIN(3,(AZ35-INDEX('分群統計'!$O$5:$O$8,MATCH(X35,'分群統計'!$A$5:$A$8,0)))/INDEX('分群統計'!$P$5:$P$8,MATCH(X35,'分群統計'!$A$5:$A$8,0)))),0)),""))</f>
        <v/>
      </c>
      <c r="AP35" s="31">
        <f>IF(BC35&lt;&gt;1,"",IFERROR(IF(INDEX('分群統計'!$Q$5:$Q$8,MATCH(X35,'分群統計'!$A$5:$A$8,0))&lt;3,"",IF(INDEX('分群統計'!$S$5:$S$8,MATCH(X35,'分群統計'!$A$5:$A$8,0))&gt;0,MAX(-3,MIN(3,(BB35-INDEX('分群統計'!$R$5:$R$8,MATCH(X35,'分群統計'!$A$5:$A$8,0)))/INDEX('分群統計'!$S$5:$S$8,MATCH(X35,'分群統計'!$A$5:$A$8,0)))),0)),""))</f>
        <v/>
      </c>
      <c r="AQ35" s="31">
        <f>IF(Y35=1,(IF(ISNUMBER(AF35),AF35,0)*'參數'!$B$13+IF(ISNUMBER(AM35),AM35,0)*'參數'!$B$14+IF(ISNUMBER(AO35),AO35,0)*'參數'!$B$15+IF(ISNUMBER(AP35),AP35,0)*'參數'!$B$16)/('參數'!$B$13+'參數'!$B$14+'參數'!$B$15+'參數'!$B$16),"")</f>
        <v/>
      </c>
      <c r="AR35" s="35">
        <f>IF(Y35=1,(SUMPRODUCT(($X$5:$X$404=X35)*($Y$5:$Y$404=1)*($BD$5:$BD$404&gt;BD35))+1)/COUNTIFS($X$5:$X$404,X35,$Y$5:$Y$404,1),"")</f>
        <v/>
      </c>
      <c r="AS35" s="8">
        <f>IF(ISNUMBER(AR35),IF(AR35&lt;='參數'!$B$18,"加碼候選",IF(AR35&gt;'參數'!$B$19,"減碼候選","")),"")</f>
        <v/>
      </c>
      <c r="AT35" s="7">
        <f>IF(Y35=1,N35,0)</f>
        <v/>
      </c>
      <c r="AU35" s="7">
        <f>IF(Y35=1,LN(O35),0)</f>
        <v/>
      </c>
      <c r="AV35" s="36">
        <f>IF(Y35=1,IF(ISNUMBER(F35),F35,0),0)</f>
        <v/>
      </c>
      <c r="AW35" s="7">
        <f>IF(Y35=1,Z35,0)</f>
        <v/>
      </c>
      <c r="AX35" s="7">
        <f>IF(Y35=1,IF(ISNUMBER(AL35),AL35,0),0)</f>
        <v/>
      </c>
      <c r="AY35" s="7">
        <f>IF(Y35=1,IF(ISNUMBER(AL35),1,0),0)</f>
        <v/>
      </c>
      <c r="AZ35" s="7">
        <f>IF(Y35=1,IF(ISNUMBER(AN35),AN35,0),0)</f>
        <v/>
      </c>
      <c r="BA35" s="7">
        <f>IF(Y35=1,IF(ISNUMBER(AN35),1,0),0)</f>
        <v/>
      </c>
      <c r="BB35" s="7">
        <f>IF(Y35=1,IF(ISNUMBER(T35),T35,0),0)</f>
        <v/>
      </c>
      <c r="BC35" s="7">
        <f>IF(Y35=1,IF(ISNUMBER(T35),1,0),0)</f>
        <v/>
      </c>
      <c r="BD35" s="7">
        <f>IF(Y35=1,AQ35+ROW()/1E9,-1E9)</f>
        <v/>
      </c>
      <c r="BE35" s="7">
        <f>IF(Y35=1,AQ35+ROW()/1E9,1E9)</f>
        <v/>
      </c>
    </row>
    <row r="36">
      <c r="A36" s="16" t="n"/>
      <c r="B36" s="8">
        <f>IF($A36="","",BDP($A36,B$3))</f>
        <v/>
      </c>
      <c r="C36" s="8">
        <f>IF($A36="","",BDP($A36,C$3))</f>
        <v/>
      </c>
      <c r="D36" s="28">
        <f>IF($A36="","",BDP($A36,D$3))</f>
        <v/>
      </c>
      <c r="E36" s="29">
        <f>IF($A36="","",BDP($A36,E$3))</f>
        <v/>
      </c>
      <c r="F36" s="17">
        <f>IF($A36="","",BDP($A36,F$3))</f>
        <v/>
      </c>
      <c r="G36" s="8">
        <f>IF($A36="","",BDP($A36,G$3))</f>
        <v/>
      </c>
      <c r="H36" s="8">
        <f>IF($A36="","",BDP($A36,H$3))</f>
        <v/>
      </c>
      <c r="I36" s="8">
        <f>IF($A36="","",BDP($A36,I$3))</f>
        <v/>
      </c>
      <c r="J36" s="8">
        <f>IF($A36="","",BDP($A36,J$3))</f>
        <v/>
      </c>
      <c r="K36" s="8">
        <f>IF($A36="","",BDP($A36,K$3))</f>
        <v/>
      </c>
      <c r="L36" s="28">
        <f>IF($A36="","",BDP($A36,L$3))</f>
        <v/>
      </c>
      <c r="M36" s="28">
        <f>IF($A36="","",BDP($A36,M$3))</f>
        <v/>
      </c>
      <c r="N36" s="30">
        <f>IF($A36="","",BDP($A36,N$3))</f>
        <v/>
      </c>
      <c r="O36" s="31">
        <f>IF($A36="","",BDP($A36,O$3))</f>
        <v/>
      </c>
      <c r="P36" s="30">
        <f>IF($A36="","",BDH($A36,$N$3,'參數'!$B$5,'參數'!$B$5,"Days=A","Fill=P","Dates=H"))</f>
        <v/>
      </c>
      <c r="Q36" s="30">
        <f>IF($A36="","",BDH($A36,$N$3,'參數'!$B$6,'參數'!$B$6,"Days=A","Fill=P","Dates=H"))</f>
        <v/>
      </c>
      <c r="R36" s="30">
        <f>IF($A36="","",BDH($A36,$N$3,'參數'!$B$7,'參數'!$B$7,"Days=A","Fill=P","Dates=H"))</f>
        <v/>
      </c>
      <c r="S36" s="32">
        <f>IF($A36="","",IFERROR(INDEX('發行人'!$A$5:$A$44,MATCH(B36,'發行人'!$D$5:$D$44,0)),"未對應"))</f>
        <v/>
      </c>
      <c r="T36" s="24">
        <f>IF($A36="","",IFERROR(INDEX('發行人'!$G$5:$G$44,MATCH(B36,'發行人'!$D$5:$D$44,0))+0,""))</f>
        <v/>
      </c>
      <c r="U36" s="18">
        <f>IF(ISNUMBER(E36),YEARFRAC('參數'!$B$4,E36),"")</f>
        <v/>
      </c>
      <c r="V36" s="8">
        <f>IF(U36="","",IF(U36&lt;3,"1-3y",IF(U36&lt;5,"3-5y",IF(U36&lt;7,"5-7y",IF(U36&lt;10,"7-10y","10y+")))))</f>
        <v/>
      </c>
      <c r="W36" s="30">
        <f>IF($A36="","",IFERROR(INDEX('參數'!$B$24:$B$45,MATCH(G36,'參數'!$A$24:$A$45,0)),""))</f>
        <v/>
      </c>
      <c r="X36" s="8">
        <f>IF($A36="","",IFERROR(INDEX('參數'!$C$24:$C$45,MATCH(G36,'參數'!$A$24:$A$45,0)),""))</f>
        <v/>
      </c>
      <c r="Y36" s="30">
        <f>IF(AND(ISNUMBER(N36),ISNUMBER(O36),ISNUMBER(U36)),IF(AND(O36&gt;0,X36&lt;&gt;""),1,0),0)</f>
        <v/>
      </c>
      <c r="Z36" s="17">
        <f>IF(Y36=1,O36*N36,"")</f>
        <v/>
      </c>
      <c r="AA36" s="33">
        <f>IF(Y36=1,IF(ISNUMBER(Q36),N36-Q36,""),"")</f>
        <v/>
      </c>
      <c r="AB36" s="33">
        <f>IF(Y36=1,IF(AND(ISNUMBER(P36),ISNUMBER(R36)),R36*5/12-O36*(P36-R36),""),"")</f>
        <v/>
      </c>
      <c r="AC36" s="30">
        <f>IF(Y36=1,COUNTIFS($X$5:$X$404,X36,$V$5:$V$404,V36,$Y$5:$Y$404,1),"")</f>
        <v/>
      </c>
      <c r="AD36" s="30">
        <f>IF(Y36=1,IFERROR(IF(AC36&gt;='參數'!$B$9,INDEX('分群統計'!$G$13:$K$16,MATCH(X36,'分群統計'!$A$13:$A$16,0),MATCH(V36,'分群統計'!$G$12:$K$12,0)),INDEX('分群統計'!$I$5:$I$8,MATCH(X36,'分群統計'!$A$5:$A$8,0))),""),"")</f>
        <v/>
      </c>
      <c r="AE36" s="18">
        <f>IF(Y36=1,IFERROR(IF(AC36&gt;='參數'!$B$9,INDEX('分群統計'!$L$13:$P$16,MATCH(X36,'分群統計'!$A$13:$A$16,0),MATCH(V36,'分群統計'!$L$12:$P$12,0)),INDEX('分群統計'!$J$5:$J$8,MATCH(X36,'分群統計'!$A$5:$A$8,0))),""),"")</f>
        <v/>
      </c>
      <c r="AF36" s="31">
        <f>IF(ISNUMBER(AE36),IF(AE36&gt;0,MAX(-3,MIN(3,(N36-AD36)/AE36)),0),"")</f>
        <v/>
      </c>
      <c r="AG36" s="30">
        <f>IF(Y36=1,COUNTIFS($B$5:$B$404,B36,$Y$5:$Y$404,1),"")</f>
        <v/>
      </c>
      <c r="AH36" s="30">
        <f>IF(Y36=1,IFERROR(IF(ISNUMBER(INDEX('分群統計'!$G$20:$G$59,MATCH(B36,'分群統計'!$A$20:$A$59,0))),INDEX('分群統計'!$H$20:$H$59,MATCH(B36,'分群統計'!$A$20:$A$59,0))+INDEX('分群統計'!$G$20:$G$59,MATCH(B36,'分群統計'!$A$20:$A$59,0))*AU36,""),""),"")</f>
        <v/>
      </c>
      <c r="AI36" s="34">
        <f>IF(ISNUMBER(AH36),N36-AH36,"")</f>
        <v/>
      </c>
      <c r="AJ36" s="30">
        <f>IF(Y36=1,IFERROR(IF(ISNUMBER(INDEX('分群統計'!$G$5:$G$8,MATCH(X36,'分群統計'!$A$5:$A$8,0))),INDEX('分群統計'!$H$5:$H$8,MATCH(X36,'分群統計'!$A$5:$A$8,0))+INDEX('分群統計'!$G$5:$G$8,MATCH(X36,'分群統計'!$A$5:$A$8,0))*AU36,""),""),"")</f>
        <v/>
      </c>
      <c r="AK36" s="34">
        <f>IF(ISNUMBER(AJ36),N36-AJ36,"")</f>
        <v/>
      </c>
      <c r="AL36" s="21">
        <f>IF(ISNUMBER(AJ36),IF(AJ36&gt;0,AK36/AJ36,""),"")</f>
        <v/>
      </c>
      <c r="AM36" s="31">
        <f>IF(AY36&lt;&gt;1,"",IFERROR(IF(INDEX('分群統計'!$K$5:$K$8,MATCH(X36,'分群統計'!$A$5:$A$8,0))&lt;3,"",IF(INDEX('分群統計'!$M$5:$M$8,MATCH(X36,'分群統計'!$A$5:$A$8,0))&gt;0,MAX(-3,MIN(3,(AX36-INDEX('分群統計'!$L$5:$L$8,MATCH(X36,'分群統計'!$A$5:$A$8,0)))/INDEX('分群統計'!$M$5:$M$8,MATCH(X36,'分群統計'!$A$5:$A$8,0)))),0)),""))</f>
        <v/>
      </c>
      <c r="AN36" s="31">
        <f>IF(ISNUMBER(AB36),IF(Z36&gt;0,AB36/Z36*100,""),"")</f>
        <v/>
      </c>
      <c r="AO36" s="31">
        <f>IF(BA36&lt;&gt;1,"",IFERROR(IF(INDEX('分群統計'!$N$5:$N$8,MATCH(X36,'分群統計'!$A$5:$A$8,0))&lt;3,"",IF(INDEX('分群統計'!$P$5:$P$8,MATCH(X36,'分群統計'!$A$5:$A$8,0))&gt;0,MAX(-3,MIN(3,(AZ36-INDEX('分群統計'!$O$5:$O$8,MATCH(X36,'分群統計'!$A$5:$A$8,0)))/INDEX('分群統計'!$P$5:$P$8,MATCH(X36,'分群統計'!$A$5:$A$8,0)))),0)),""))</f>
        <v/>
      </c>
      <c r="AP36" s="31">
        <f>IF(BC36&lt;&gt;1,"",IFERROR(IF(INDEX('分群統計'!$Q$5:$Q$8,MATCH(X36,'分群統計'!$A$5:$A$8,0))&lt;3,"",IF(INDEX('分群統計'!$S$5:$S$8,MATCH(X36,'分群統計'!$A$5:$A$8,0))&gt;0,MAX(-3,MIN(3,(BB36-INDEX('分群統計'!$R$5:$R$8,MATCH(X36,'分群統計'!$A$5:$A$8,0)))/INDEX('分群統計'!$S$5:$S$8,MATCH(X36,'分群統計'!$A$5:$A$8,0)))),0)),""))</f>
        <v/>
      </c>
      <c r="AQ36" s="31">
        <f>IF(Y36=1,(IF(ISNUMBER(AF36),AF36,0)*'參數'!$B$13+IF(ISNUMBER(AM36),AM36,0)*'參數'!$B$14+IF(ISNUMBER(AO36),AO36,0)*'參數'!$B$15+IF(ISNUMBER(AP36),AP36,0)*'參數'!$B$16)/('參數'!$B$13+'參數'!$B$14+'參數'!$B$15+'參數'!$B$16),"")</f>
        <v/>
      </c>
      <c r="AR36" s="35">
        <f>IF(Y36=1,(SUMPRODUCT(($X$5:$X$404=X36)*($Y$5:$Y$404=1)*($BD$5:$BD$404&gt;BD36))+1)/COUNTIFS($X$5:$X$404,X36,$Y$5:$Y$404,1),"")</f>
        <v/>
      </c>
      <c r="AS36" s="8">
        <f>IF(ISNUMBER(AR36),IF(AR36&lt;='參數'!$B$18,"加碼候選",IF(AR36&gt;'參數'!$B$19,"減碼候選","")),"")</f>
        <v/>
      </c>
      <c r="AT36" s="7">
        <f>IF(Y36=1,N36,0)</f>
        <v/>
      </c>
      <c r="AU36" s="7">
        <f>IF(Y36=1,LN(O36),0)</f>
        <v/>
      </c>
      <c r="AV36" s="36">
        <f>IF(Y36=1,IF(ISNUMBER(F36),F36,0),0)</f>
        <v/>
      </c>
      <c r="AW36" s="7">
        <f>IF(Y36=1,Z36,0)</f>
        <v/>
      </c>
      <c r="AX36" s="7">
        <f>IF(Y36=1,IF(ISNUMBER(AL36),AL36,0),0)</f>
        <v/>
      </c>
      <c r="AY36" s="7">
        <f>IF(Y36=1,IF(ISNUMBER(AL36),1,0),0)</f>
        <v/>
      </c>
      <c r="AZ36" s="7">
        <f>IF(Y36=1,IF(ISNUMBER(AN36),AN36,0),0)</f>
        <v/>
      </c>
      <c r="BA36" s="7">
        <f>IF(Y36=1,IF(ISNUMBER(AN36),1,0),0)</f>
        <v/>
      </c>
      <c r="BB36" s="7">
        <f>IF(Y36=1,IF(ISNUMBER(T36),T36,0),0)</f>
        <v/>
      </c>
      <c r="BC36" s="7">
        <f>IF(Y36=1,IF(ISNUMBER(T36),1,0),0)</f>
        <v/>
      </c>
      <c r="BD36" s="7">
        <f>IF(Y36=1,AQ36+ROW()/1E9,-1E9)</f>
        <v/>
      </c>
      <c r="BE36" s="7">
        <f>IF(Y36=1,AQ36+ROW()/1E9,1E9)</f>
        <v/>
      </c>
    </row>
    <row r="37">
      <c r="A37" s="16" t="n"/>
      <c r="B37" s="8">
        <f>IF($A37="","",BDP($A37,B$3))</f>
        <v/>
      </c>
      <c r="C37" s="8">
        <f>IF($A37="","",BDP($A37,C$3))</f>
        <v/>
      </c>
      <c r="D37" s="28">
        <f>IF($A37="","",BDP($A37,D$3))</f>
        <v/>
      </c>
      <c r="E37" s="29">
        <f>IF($A37="","",BDP($A37,E$3))</f>
        <v/>
      </c>
      <c r="F37" s="17">
        <f>IF($A37="","",BDP($A37,F$3))</f>
        <v/>
      </c>
      <c r="G37" s="8">
        <f>IF($A37="","",BDP($A37,G$3))</f>
        <v/>
      </c>
      <c r="H37" s="8">
        <f>IF($A37="","",BDP($A37,H$3))</f>
        <v/>
      </c>
      <c r="I37" s="8">
        <f>IF($A37="","",BDP($A37,I$3))</f>
        <v/>
      </c>
      <c r="J37" s="8">
        <f>IF($A37="","",BDP($A37,J$3))</f>
        <v/>
      </c>
      <c r="K37" s="8">
        <f>IF($A37="","",BDP($A37,K$3))</f>
        <v/>
      </c>
      <c r="L37" s="28">
        <f>IF($A37="","",BDP($A37,L$3))</f>
        <v/>
      </c>
      <c r="M37" s="28">
        <f>IF($A37="","",BDP($A37,M$3))</f>
        <v/>
      </c>
      <c r="N37" s="30">
        <f>IF($A37="","",BDP($A37,N$3))</f>
        <v/>
      </c>
      <c r="O37" s="31">
        <f>IF($A37="","",BDP($A37,O$3))</f>
        <v/>
      </c>
      <c r="P37" s="30">
        <f>IF($A37="","",BDH($A37,$N$3,'參數'!$B$5,'參數'!$B$5,"Days=A","Fill=P","Dates=H"))</f>
        <v/>
      </c>
      <c r="Q37" s="30">
        <f>IF($A37="","",BDH($A37,$N$3,'參數'!$B$6,'參數'!$B$6,"Days=A","Fill=P","Dates=H"))</f>
        <v/>
      </c>
      <c r="R37" s="30">
        <f>IF($A37="","",BDH($A37,$N$3,'參數'!$B$7,'參數'!$B$7,"Days=A","Fill=P","Dates=H"))</f>
        <v/>
      </c>
      <c r="S37" s="32">
        <f>IF($A37="","",IFERROR(INDEX('發行人'!$A$5:$A$44,MATCH(B37,'發行人'!$D$5:$D$44,0)),"未對應"))</f>
        <v/>
      </c>
      <c r="T37" s="24">
        <f>IF($A37="","",IFERROR(INDEX('發行人'!$G$5:$G$44,MATCH(B37,'發行人'!$D$5:$D$44,0))+0,""))</f>
        <v/>
      </c>
      <c r="U37" s="18">
        <f>IF(ISNUMBER(E37),YEARFRAC('參數'!$B$4,E37),"")</f>
        <v/>
      </c>
      <c r="V37" s="8">
        <f>IF(U37="","",IF(U37&lt;3,"1-3y",IF(U37&lt;5,"3-5y",IF(U37&lt;7,"5-7y",IF(U37&lt;10,"7-10y","10y+")))))</f>
        <v/>
      </c>
      <c r="W37" s="30">
        <f>IF($A37="","",IFERROR(INDEX('參數'!$B$24:$B$45,MATCH(G37,'參數'!$A$24:$A$45,0)),""))</f>
        <v/>
      </c>
      <c r="X37" s="8">
        <f>IF($A37="","",IFERROR(INDEX('參數'!$C$24:$C$45,MATCH(G37,'參數'!$A$24:$A$45,0)),""))</f>
        <v/>
      </c>
      <c r="Y37" s="30">
        <f>IF(AND(ISNUMBER(N37),ISNUMBER(O37),ISNUMBER(U37)),IF(AND(O37&gt;0,X37&lt;&gt;""),1,0),0)</f>
        <v/>
      </c>
      <c r="Z37" s="17">
        <f>IF(Y37=1,O37*N37,"")</f>
        <v/>
      </c>
      <c r="AA37" s="33">
        <f>IF(Y37=1,IF(ISNUMBER(Q37),N37-Q37,""),"")</f>
        <v/>
      </c>
      <c r="AB37" s="33">
        <f>IF(Y37=1,IF(AND(ISNUMBER(P37),ISNUMBER(R37)),R37*5/12-O37*(P37-R37),""),"")</f>
        <v/>
      </c>
      <c r="AC37" s="30">
        <f>IF(Y37=1,COUNTIFS($X$5:$X$404,X37,$V$5:$V$404,V37,$Y$5:$Y$404,1),"")</f>
        <v/>
      </c>
      <c r="AD37" s="30">
        <f>IF(Y37=1,IFERROR(IF(AC37&gt;='參數'!$B$9,INDEX('分群統計'!$G$13:$K$16,MATCH(X37,'分群統計'!$A$13:$A$16,0),MATCH(V37,'分群統計'!$G$12:$K$12,0)),INDEX('分群統計'!$I$5:$I$8,MATCH(X37,'分群統計'!$A$5:$A$8,0))),""),"")</f>
        <v/>
      </c>
      <c r="AE37" s="18">
        <f>IF(Y37=1,IFERROR(IF(AC37&gt;='參數'!$B$9,INDEX('分群統計'!$L$13:$P$16,MATCH(X37,'分群統計'!$A$13:$A$16,0),MATCH(V37,'分群統計'!$L$12:$P$12,0)),INDEX('分群統計'!$J$5:$J$8,MATCH(X37,'分群統計'!$A$5:$A$8,0))),""),"")</f>
        <v/>
      </c>
      <c r="AF37" s="31">
        <f>IF(ISNUMBER(AE37),IF(AE37&gt;0,MAX(-3,MIN(3,(N37-AD37)/AE37)),0),"")</f>
        <v/>
      </c>
      <c r="AG37" s="30">
        <f>IF(Y37=1,COUNTIFS($B$5:$B$404,B37,$Y$5:$Y$404,1),"")</f>
        <v/>
      </c>
      <c r="AH37" s="30">
        <f>IF(Y37=1,IFERROR(IF(ISNUMBER(INDEX('分群統計'!$G$20:$G$59,MATCH(B37,'分群統計'!$A$20:$A$59,0))),INDEX('分群統計'!$H$20:$H$59,MATCH(B37,'分群統計'!$A$20:$A$59,0))+INDEX('分群統計'!$G$20:$G$59,MATCH(B37,'分群統計'!$A$20:$A$59,0))*AU37,""),""),"")</f>
        <v/>
      </c>
      <c r="AI37" s="34">
        <f>IF(ISNUMBER(AH37),N37-AH37,"")</f>
        <v/>
      </c>
      <c r="AJ37" s="30">
        <f>IF(Y37=1,IFERROR(IF(ISNUMBER(INDEX('分群統計'!$G$5:$G$8,MATCH(X37,'分群統計'!$A$5:$A$8,0))),INDEX('分群統計'!$H$5:$H$8,MATCH(X37,'分群統計'!$A$5:$A$8,0))+INDEX('分群統計'!$G$5:$G$8,MATCH(X37,'分群統計'!$A$5:$A$8,0))*AU37,""),""),"")</f>
        <v/>
      </c>
      <c r="AK37" s="34">
        <f>IF(ISNUMBER(AJ37),N37-AJ37,"")</f>
        <v/>
      </c>
      <c r="AL37" s="21">
        <f>IF(ISNUMBER(AJ37),IF(AJ37&gt;0,AK37/AJ37,""),"")</f>
        <v/>
      </c>
      <c r="AM37" s="31">
        <f>IF(AY37&lt;&gt;1,"",IFERROR(IF(INDEX('分群統計'!$K$5:$K$8,MATCH(X37,'分群統計'!$A$5:$A$8,0))&lt;3,"",IF(INDEX('分群統計'!$M$5:$M$8,MATCH(X37,'分群統計'!$A$5:$A$8,0))&gt;0,MAX(-3,MIN(3,(AX37-INDEX('分群統計'!$L$5:$L$8,MATCH(X37,'分群統計'!$A$5:$A$8,0)))/INDEX('分群統計'!$M$5:$M$8,MATCH(X37,'分群統計'!$A$5:$A$8,0)))),0)),""))</f>
        <v/>
      </c>
      <c r="AN37" s="31">
        <f>IF(ISNUMBER(AB37),IF(Z37&gt;0,AB37/Z37*100,""),"")</f>
        <v/>
      </c>
      <c r="AO37" s="31">
        <f>IF(BA37&lt;&gt;1,"",IFERROR(IF(INDEX('分群統計'!$N$5:$N$8,MATCH(X37,'分群統計'!$A$5:$A$8,0))&lt;3,"",IF(INDEX('分群統計'!$P$5:$P$8,MATCH(X37,'分群統計'!$A$5:$A$8,0))&gt;0,MAX(-3,MIN(3,(AZ37-INDEX('分群統計'!$O$5:$O$8,MATCH(X37,'分群統計'!$A$5:$A$8,0)))/INDEX('分群統計'!$P$5:$P$8,MATCH(X37,'分群統計'!$A$5:$A$8,0)))),0)),""))</f>
        <v/>
      </c>
      <c r="AP37" s="31">
        <f>IF(BC37&lt;&gt;1,"",IFERROR(IF(INDEX('分群統計'!$Q$5:$Q$8,MATCH(X37,'分群統計'!$A$5:$A$8,0))&lt;3,"",IF(INDEX('分群統計'!$S$5:$S$8,MATCH(X37,'分群統計'!$A$5:$A$8,0))&gt;0,MAX(-3,MIN(3,(BB37-INDEX('分群統計'!$R$5:$R$8,MATCH(X37,'分群統計'!$A$5:$A$8,0)))/INDEX('分群統計'!$S$5:$S$8,MATCH(X37,'分群統計'!$A$5:$A$8,0)))),0)),""))</f>
        <v/>
      </c>
      <c r="AQ37" s="31">
        <f>IF(Y37=1,(IF(ISNUMBER(AF37),AF37,0)*'參數'!$B$13+IF(ISNUMBER(AM37),AM37,0)*'參數'!$B$14+IF(ISNUMBER(AO37),AO37,0)*'參數'!$B$15+IF(ISNUMBER(AP37),AP37,0)*'參數'!$B$16)/('參數'!$B$13+'參數'!$B$14+'參數'!$B$15+'參數'!$B$16),"")</f>
        <v/>
      </c>
      <c r="AR37" s="35">
        <f>IF(Y37=1,(SUMPRODUCT(($X$5:$X$404=X37)*($Y$5:$Y$404=1)*($BD$5:$BD$404&gt;BD37))+1)/COUNTIFS($X$5:$X$404,X37,$Y$5:$Y$404,1),"")</f>
        <v/>
      </c>
      <c r="AS37" s="8">
        <f>IF(ISNUMBER(AR37),IF(AR37&lt;='參數'!$B$18,"加碼候選",IF(AR37&gt;'參數'!$B$19,"減碼候選","")),"")</f>
        <v/>
      </c>
      <c r="AT37" s="7">
        <f>IF(Y37=1,N37,0)</f>
        <v/>
      </c>
      <c r="AU37" s="7">
        <f>IF(Y37=1,LN(O37),0)</f>
        <v/>
      </c>
      <c r="AV37" s="36">
        <f>IF(Y37=1,IF(ISNUMBER(F37),F37,0),0)</f>
        <v/>
      </c>
      <c r="AW37" s="7">
        <f>IF(Y37=1,Z37,0)</f>
        <v/>
      </c>
      <c r="AX37" s="7">
        <f>IF(Y37=1,IF(ISNUMBER(AL37),AL37,0),0)</f>
        <v/>
      </c>
      <c r="AY37" s="7">
        <f>IF(Y37=1,IF(ISNUMBER(AL37),1,0),0)</f>
        <v/>
      </c>
      <c r="AZ37" s="7">
        <f>IF(Y37=1,IF(ISNUMBER(AN37),AN37,0),0)</f>
        <v/>
      </c>
      <c r="BA37" s="7">
        <f>IF(Y37=1,IF(ISNUMBER(AN37),1,0),0)</f>
        <v/>
      </c>
      <c r="BB37" s="7">
        <f>IF(Y37=1,IF(ISNUMBER(T37),T37,0),0)</f>
        <v/>
      </c>
      <c r="BC37" s="7">
        <f>IF(Y37=1,IF(ISNUMBER(T37),1,0),0)</f>
        <v/>
      </c>
      <c r="BD37" s="7">
        <f>IF(Y37=1,AQ37+ROW()/1E9,-1E9)</f>
        <v/>
      </c>
      <c r="BE37" s="7">
        <f>IF(Y37=1,AQ37+ROW()/1E9,1E9)</f>
        <v/>
      </c>
    </row>
    <row r="38">
      <c r="A38" s="16" t="n"/>
      <c r="B38" s="8">
        <f>IF($A38="","",BDP($A38,B$3))</f>
        <v/>
      </c>
      <c r="C38" s="8">
        <f>IF($A38="","",BDP($A38,C$3))</f>
        <v/>
      </c>
      <c r="D38" s="28">
        <f>IF($A38="","",BDP($A38,D$3))</f>
        <v/>
      </c>
      <c r="E38" s="29">
        <f>IF($A38="","",BDP($A38,E$3))</f>
        <v/>
      </c>
      <c r="F38" s="17">
        <f>IF($A38="","",BDP($A38,F$3))</f>
        <v/>
      </c>
      <c r="G38" s="8">
        <f>IF($A38="","",BDP($A38,G$3))</f>
        <v/>
      </c>
      <c r="H38" s="8">
        <f>IF($A38="","",BDP($A38,H$3))</f>
        <v/>
      </c>
      <c r="I38" s="8">
        <f>IF($A38="","",BDP($A38,I$3))</f>
        <v/>
      </c>
      <c r="J38" s="8">
        <f>IF($A38="","",BDP($A38,J$3))</f>
        <v/>
      </c>
      <c r="K38" s="8">
        <f>IF($A38="","",BDP($A38,K$3))</f>
        <v/>
      </c>
      <c r="L38" s="28">
        <f>IF($A38="","",BDP($A38,L$3))</f>
        <v/>
      </c>
      <c r="M38" s="28">
        <f>IF($A38="","",BDP($A38,M$3))</f>
        <v/>
      </c>
      <c r="N38" s="30">
        <f>IF($A38="","",BDP($A38,N$3))</f>
        <v/>
      </c>
      <c r="O38" s="31">
        <f>IF($A38="","",BDP($A38,O$3))</f>
        <v/>
      </c>
      <c r="P38" s="30">
        <f>IF($A38="","",BDH($A38,$N$3,'參數'!$B$5,'參數'!$B$5,"Days=A","Fill=P","Dates=H"))</f>
        <v/>
      </c>
      <c r="Q38" s="30">
        <f>IF($A38="","",BDH($A38,$N$3,'參數'!$B$6,'參數'!$B$6,"Days=A","Fill=P","Dates=H"))</f>
        <v/>
      </c>
      <c r="R38" s="30">
        <f>IF($A38="","",BDH($A38,$N$3,'參數'!$B$7,'參數'!$B$7,"Days=A","Fill=P","Dates=H"))</f>
        <v/>
      </c>
      <c r="S38" s="32">
        <f>IF($A38="","",IFERROR(INDEX('發行人'!$A$5:$A$44,MATCH(B38,'發行人'!$D$5:$D$44,0)),"未對應"))</f>
        <v/>
      </c>
      <c r="T38" s="24">
        <f>IF($A38="","",IFERROR(INDEX('發行人'!$G$5:$G$44,MATCH(B38,'發行人'!$D$5:$D$44,0))+0,""))</f>
        <v/>
      </c>
      <c r="U38" s="18">
        <f>IF(ISNUMBER(E38),YEARFRAC('參數'!$B$4,E38),"")</f>
        <v/>
      </c>
      <c r="V38" s="8">
        <f>IF(U38="","",IF(U38&lt;3,"1-3y",IF(U38&lt;5,"3-5y",IF(U38&lt;7,"5-7y",IF(U38&lt;10,"7-10y","10y+")))))</f>
        <v/>
      </c>
      <c r="W38" s="30">
        <f>IF($A38="","",IFERROR(INDEX('參數'!$B$24:$B$45,MATCH(G38,'參數'!$A$24:$A$45,0)),""))</f>
        <v/>
      </c>
      <c r="X38" s="8">
        <f>IF($A38="","",IFERROR(INDEX('參數'!$C$24:$C$45,MATCH(G38,'參數'!$A$24:$A$45,0)),""))</f>
        <v/>
      </c>
      <c r="Y38" s="30">
        <f>IF(AND(ISNUMBER(N38),ISNUMBER(O38),ISNUMBER(U38)),IF(AND(O38&gt;0,X38&lt;&gt;""),1,0),0)</f>
        <v/>
      </c>
      <c r="Z38" s="17">
        <f>IF(Y38=1,O38*N38,"")</f>
        <v/>
      </c>
      <c r="AA38" s="33">
        <f>IF(Y38=1,IF(ISNUMBER(Q38),N38-Q38,""),"")</f>
        <v/>
      </c>
      <c r="AB38" s="33">
        <f>IF(Y38=1,IF(AND(ISNUMBER(P38),ISNUMBER(R38)),R38*5/12-O38*(P38-R38),""),"")</f>
        <v/>
      </c>
      <c r="AC38" s="30">
        <f>IF(Y38=1,COUNTIFS($X$5:$X$404,X38,$V$5:$V$404,V38,$Y$5:$Y$404,1),"")</f>
        <v/>
      </c>
      <c r="AD38" s="30">
        <f>IF(Y38=1,IFERROR(IF(AC38&gt;='參數'!$B$9,INDEX('分群統計'!$G$13:$K$16,MATCH(X38,'分群統計'!$A$13:$A$16,0),MATCH(V38,'分群統計'!$G$12:$K$12,0)),INDEX('分群統計'!$I$5:$I$8,MATCH(X38,'分群統計'!$A$5:$A$8,0))),""),"")</f>
        <v/>
      </c>
      <c r="AE38" s="18">
        <f>IF(Y38=1,IFERROR(IF(AC38&gt;='參數'!$B$9,INDEX('分群統計'!$L$13:$P$16,MATCH(X38,'分群統計'!$A$13:$A$16,0),MATCH(V38,'分群統計'!$L$12:$P$12,0)),INDEX('分群統計'!$J$5:$J$8,MATCH(X38,'分群統計'!$A$5:$A$8,0))),""),"")</f>
        <v/>
      </c>
      <c r="AF38" s="31">
        <f>IF(ISNUMBER(AE38),IF(AE38&gt;0,MAX(-3,MIN(3,(N38-AD38)/AE38)),0),"")</f>
        <v/>
      </c>
      <c r="AG38" s="30">
        <f>IF(Y38=1,COUNTIFS($B$5:$B$404,B38,$Y$5:$Y$404,1),"")</f>
        <v/>
      </c>
      <c r="AH38" s="30">
        <f>IF(Y38=1,IFERROR(IF(ISNUMBER(INDEX('分群統計'!$G$20:$G$59,MATCH(B38,'分群統計'!$A$20:$A$59,0))),INDEX('分群統計'!$H$20:$H$59,MATCH(B38,'分群統計'!$A$20:$A$59,0))+INDEX('分群統計'!$G$20:$G$59,MATCH(B38,'分群統計'!$A$20:$A$59,0))*AU38,""),""),"")</f>
        <v/>
      </c>
      <c r="AI38" s="34">
        <f>IF(ISNUMBER(AH38),N38-AH38,"")</f>
        <v/>
      </c>
      <c r="AJ38" s="30">
        <f>IF(Y38=1,IFERROR(IF(ISNUMBER(INDEX('分群統計'!$G$5:$G$8,MATCH(X38,'分群統計'!$A$5:$A$8,0))),INDEX('分群統計'!$H$5:$H$8,MATCH(X38,'分群統計'!$A$5:$A$8,0))+INDEX('分群統計'!$G$5:$G$8,MATCH(X38,'分群統計'!$A$5:$A$8,0))*AU38,""),""),"")</f>
        <v/>
      </c>
      <c r="AK38" s="34">
        <f>IF(ISNUMBER(AJ38),N38-AJ38,"")</f>
        <v/>
      </c>
      <c r="AL38" s="21">
        <f>IF(ISNUMBER(AJ38),IF(AJ38&gt;0,AK38/AJ38,""),"")</f>
        <v/>
      </c>
      <c r="AM38" s="31">
        <f>IF(AY38&lt;&gt;1,"",IFERROR(IF(INDEX('分群統計'!$K$5:$K$8,MATCH(X38,'分群統計'!$A$5:$A$8,0))&lt;3,"",IF(INDEX('分群統計'!$M$5:$M$8,MATCH(X38,'分群統計'!$A$5:$A$8,0))&gt;0,MAX(-3,MIN(3,(AX38-INDEX('分群統計'!$L$5:$L$8,MATCH(X38,'分群統計'!$A$5:$A$8,0)))/INDEX('分群統計'!$M$5:$M$8,MATCH(X38,'分群統計'!$A$5:$A$8,0)))),0)),""))</f>
        <v/>
      </c>
      <c r="AN38" s="31">
        <f>IF(ISNUMBER(AB38),IF(Z38&gt;0,AB38/Z38*100,""),"")</f>
        <v/>
      </c>
      <c r="AO38" s="31">
        <f>IF(BA38&lt;&gt;1,"",IFERROR(IF(INDEX('分群統計'!$N$5:$N$8,MATCH(X38,'分群統計'!$A$5:$A$8,0))&lt;3,"",IF(INDEX('分群統計'!$P$5:$P$8,MATCH(X38,'分群統計'!$A$5:$A$8,0))&gt;0,MAX(-3,MIN(3,(AZ38-INDEX('分群統計'!$O$5:$O$8,MATCH(X38,'分群統計'!$A$5:$A$8,0)))/INDEX('分群統計'!$P$5:$P$8,MATCH(X38,'分群統計'!$A$5:$A$8,0)))),0)),""))</f>
        <v/>
      </c>
      <c r="AP38" s="31">
        <f>IF(BC38&lt;&gt;1,"",IFERROR(IF(INDEX('分群統計'!$Q$5:$Q$8,MATCH(X38,'分群統計'!$A$5:$A$8,0))&lt;3,"",IF(INDEX('分群統計'!$S$5:$S$8,MATCH(X38,'分群統計'!$A$5:$A$8,0))&gt;0,MAX(-3,MIN(3,(BB38-INDEX('分群統計'!$R$5:$R$8,MATCH(X38,'分群統計'!$A$5:$A$8,0)))/INDEX('分群統計'!$S$5:$S$8,MATCH(X38,'分群統計'!$A$5:$A$8,0)))),0)),""))</f>
        <v/>
      </c>
      <c r="AQ38" s="31">
        <f>IF(Y38=1,(IF(ISNUMBER(AF38),AF38,0)*'參數'!$B$13+IF(ISNUMBER(AM38),AM38,0)*'參數'!$B$14+IF(ISNUMBER(AO38),AO38,0)*'參數'!$B$15+IF(ISNUMBER(AP38),AP38,0)*'參數'!$B$16)/('參數'!$B$13+'參數'!$B$14+'參數'!$B$15+'參數'!$B$16),"")</f>
        <v/>
      </c>
      <c r="AR38" s="35">
        <f>IF(Y38=1,(SUMPRODUCT(($X$5:$X$404=X38)*($Y$5:$Y$404=1)*($BD$5:$BD$404&gt;BD38))+1)/COUNTIFS($X$5:$X$404,X38,$Y$5:$Y$404,1),"")</f>
        <v/>
      </c>
      <c r="AS38" s="8">
        <f>IF(ISNUMBER(AR38),IF(AR38&lt;='參數'!$B$18,"加碼候選",IF(AR38&gt;'參數'!$B$19,"減碼候選","")),"")</f>
        <v/>
      </c>
      <c r="AT38" s="7">
        <f>IF(Y38=1,N38,0)</f>
        <v/>
      </c>
      <c r="AU38" s="7">
        <f>IF(Y38=1,LN(O38),0)</f>
        <v/>
      </c>
      <c r="AV38" s="36">
        <f>IF(Y38=1,IF(ISNUMBER(F38),F38,0),0)</f>
        <v/>
      </c>
      <c r="AW38" s="7">
        <f>IF(Y38=1,Z38,0)</f>
        <v/>
      </c>
      <c r="AX38" s="7">
        <f>IF(Y38=1,IF(ISNUMBER(AL38),AL38,0),0)</f>
        <v/>
      </c>
      <c r="AY38" s="7">
        <f>IF(Y38=1,IF(ISNUMBER(AL38),1,0),0)</f>
        <v/>
      </c>
      <c r="AZ38" s="7">
        <f>IF(Y38=1,IF(ISNUMBER(AN38),AN38,0),0)</f>
        <v/>
      </c>
      <c r="BA38" s="7">
        <f>IF(Y38=1,IF(ISNUMBER(AN38),1,0),0)</f>
        <v/>
      </c>
      <c r="BB38" s="7">
        <f>IF(Y38=1,IF(ISNUMBER(T38),T38,0),0)</f>
        <v/>
      </c>
      <c r="BC38" s="7">
        <f>IF(Y38=1,IF(ISNUMBER(T38),1,0),0)</f>
        <v/>
      </c>
      <c r="BD38" s="7">
        <f>IF(Y38=1,AQ38+ROW()/1E9,-1E9)</f>
        <v/>
      </c>
      <c r="BE38" s="7">
        <f>IF(Y38=1,AQ38+ROW()/1E9,1E9)</f>
        <v/>
      </c>
    </row>
    <row r="39">
      <c r="A39" s="16" t="n"/>
      <c r="B39" s="8">
        <f>IF($A39="","",BDP($A39,B$3))</f>
        <v/>
      </c>
      <c r="C39" s="8">
        <f>IF($A39="","",BDP($A39,C$3))</f>
        <v/>
      </c>
      <c r="D39" s="28">
        <f>IF($A39="","",BDP($A39,D$3))</f>
        <v/>
      </c>
      <c r="E39" s="29">
        <f>IF($A39="","",BDP($A39,E$3))</f>
        <v/>
      </c>
      <c r="F39" s="17">
        <f>IF($A39="","",BDP($A39,F$3))</f>
        <v/>
      </c>
      <c r="G39" s="8">
        <f>IF($A39="","",BDP($A39,G$3))</f>
        <v/>
      </c>
      <c r="H39" s="8">
        <f>IF($A39="","",BDP($A39,H$3))</f>
        <v/>
      </c>
      <c r="I39" s="8">
        <f>IF($A39="","",BDP($A39,I$3))</f>
        <v/>
      </c>
      <c r="J39" s="8">
        <f>IF($A39="","",BDP($A39,J$3))</f>
        <v/>
      </c>
      <c r="K39" s="8">
        <f>IF($A39="","",BDP($A39,K$3))</f>
        <v/>
      </c>
      <c r="L39" s="28">
        <f>IF($A39="","",BDP($A39,L$3))</f>
        <v/>
      </c>
      <c r="M39" s="28">
        <f>IF($A39="","",BDP($A39,M$3))</f>
        <v/>
      </c>
      <c r="N39" s="30">
        <f>IF($A39="","",BDP($A39,N$3))</f>
        <v/>
      </c>
      <c r="O39" s="31">
        <f>IF($A39="","",BDP($A39,O$3))</f>
        <v/>
      </c>
      <c r="P39" s="30">
        <f>IF($A39="","",BDH($A39,$N$3,'參數'!$B$5,'參數'!$B$5,"Days=A","Fill=P","Dates=H"))</f>
        <v/>
      </c>
      <c r="Q39" s="30">
        <f>IF($A39="","",BDH($A39,$N$3,'參數'!$B$6,'參數'!$B$6,"Days=A","Fill=P","Dates=H"))</f>
        <v/>
      </c>
      <c r="R39" s="30">
        <f>IF($A39="","",BDH($A39,$N$3,'參數'!$B$7,'參數'!$B$7,"Days=A","Fill=P","Dates=H"))</f>
        <v/>
      </c>
      <c r="S39" s="32">
        <f>IF($A39="","",IFERROR(INDEX('發行人'!$A$5:$A$44,MATCH(B39,'發行人'!$D$5:$D$44,0)),"未對應"))</f>
        <v/>
      </c>
      <c r="T39" s="24">
        <f>IF($A39="","",IFERROR(INDEX('發行人'!$G$5:$G$44,MATCH(B39,'發行人'!$D$5:$D$44,0))+0,""))</f>
        <v/>
      </c>
      <c r="U39" s="18">
        <f>IF(ISNUMBER(E39),YEARFRAC('參數'!$B$4,E39),"")</f>
        <v/>
      </c>
      <c r="V39" s="8">
        <f>IF(U39="","",IF(U39&lt;3,"1-3y",IF(U39&lt;5,"3-5y",IF(U39&lt;7,"5-7y",IF(U39&lt;10,"7-10y","10y+")))))</f>
        <v/>
      </c>
      <c r="W39" s="30">
        <f>IF($A39="","",IFERROR(INDEX('參數'!$B$24:$B$45,MATCH(G39,'參數'!$A$24:$A$45,0)),""))</f>
        <v/>
      </c>
      <c r="X39" s="8">
        <f>IF($A39="","",IFERROR(INDEX('參數'!$C$24:$C$45,MATCH(G39,'參數'!$A$24:$A$45,0)),""))</f>
        <v/>
      </c>
      <c r="Y39" s="30">
        <f>IF(AND(ISNUMBER(N39),ISNUMBER(O39),ISNUMBER(U39)),IF(AND(O39&gt;0,X39&lt;&gt;""),1,0),0)</f>
        <v/>
      </c>
      <c r="Z39" s="17">
        <f>IF(Y39=1,O39*N39,"")</f>
        <v/>
      </c>
      <c r="AA39" s="33">
        <f>IF(Y39=1,IF(ISNUMBER(Q39),N39-Q39,""),"")</f>
        <v/>
      </c>
      <c r="AB39" s="33">
        <f>IF(Y39=1,IF(AND(ISNUMBER(P39),ISNUMBER(R39)),R39*5/12-O39*(P39-R39),""),"")</f>
        <v/>
      </c>
      <c r="AC39" s="30">
        <f>IF(Y39=1,COUNTIFS($X$5:$X$404,X39,$V$5:$V$404,V39,$Y$5:$Y$404,1),"")</f>
        <v/>
      </c>
      <c r="AD39" s="30">
        <f>IF(Y39=1,IFERROR(IF(AC39&gt;='參數'!$B$9,INDEX('分群統計'!$G$13:$K$16,MATCH(X39,'分群統計'!$A$13:$A$16,0),MATCH(V39,'分群統計'!$G$12:$K$12,0)),INDEX('分群統計'!$I$5:$I$8,MATCH(X39,'分群統計'!$A$5:$A$8,0))),""),"")</f>
        <v/>
      </c>
      <c r="AE39" s="18">
        <f>IF(Y39=1,IFERROR(IF(AC39&gt;='參數'!$B$9,INDEX('分群統計'!$L$13:$P$16,MATCH(X39,'分群統計'!$A$13:$A$16,0),MATCH(V39,'分群統計'!$L$12:$P$12,0)),INDEX('分群統計'!$J$5:$J$8,MATCH(X39,'分群統計'!$A$5:$A$8,0))),""),"")</f>
        <v/>
      </c>
      <c r="AF39" s="31">
        <f>IF(ISNUMBER(AE39),IF(AE39&gt;0,MAX(-3,MIN(3,(N39-AD39)/AE39)),0),"")</f>
        <v/>
      </c>
      <c r="AG39" s="30">
        <f>IF(Y39=1,COUNTIFS($B$5:$B$404,B39,$Y$5:$Y$404,1),"")</f>
        <v/>
      </c>
      <c r="AH39" s="30">
        <f>IF(Y39=1,IFERROR(IF(ISNUMBER(INDEX('分群統計'!$G$20:$G$59,MATCH(B39,'分群統計'!$A$20:$A$59,0))),INDEX('分群統計'!$H$20:$H$59,MATCH(B39,'分群統計'!$A$20:$A$59,0))+INDEX('分群統計'!$G$20:$G$59,MATCH(B39,'分群統計'!$A$20:$A$59,0))*AU39,""),""),"")</f>
        <v/>
      </c>
      <c r="AI39" s="34">
        <f>IF(ISNUMBER(AH39),N39-AH39,"")</f>
        <v/>
      </c>
      <c r="AJ39" s="30">
        <f>IF(Y39=1,IFERROR(IF(ISNUMBER(INDEX('分群統計'!$G$5:$G$8,MATCH(X39,'分群統計'!$A$5:$A$8,0))),INDEX('分群統計'!$H$5:$H$8,MATCH(X39,'分群統計'!$A$5:$A$8,0))+INDEX('分群統計'!$G$5:$G$8,MATCH(X39,'分群統計'!$A$5:$A$8,0))*AU39,""),""),"")</f>
        <v/>
      </c>
      <c r="AK39" s="34">
        <f>IF(ISNUMBER(AJ39),N39-AJ39,"")</f>
        <v/>
      </c>
      <c r="AL39" s="21">
        <f>IF(ISNUMBER(AJ39),IF(AJ39&gt;0,AK39/AJ39,""),"")</f>
        <v/>
      </c>
      <c r="AM39" s="31">
        <f>IF(AY39&lt;&gt;1,"",IFERROR(IF(INDEX('分群統計'!$K$5:$K$8,MATCH(X39,'分群統計'!$A$5:$A$8,0))&lt;3,"",IF(INDEX('分群統計'!$M$5:$M$8,MATCH(X39,'分群統計'!$A$5:$A$8,0))&gt;0,MAX(-3,MIN(3,(AX39-INDEX('分群統計'!$L$5:$L$8,MATCH(X39,'分群統計'!$A$5:$A$8,0)))/INDEX('分群統計'!$M$5:$M$8,MATCH(X39,'分群統計'!$A$5:$A$8,0)))),0)),""))</f>
        <v/>
      </c>
      <c r="AN39" s="31">
        <f>IF(ISNUMBER(AB39),IF(Z39&gt;0,AB39/Z39*100,""),"")</f>
        <v/>
      </c>
      <c r="AO39" s="31">
        <f>IF(BA39&lt;&gt;1,"",IFERROR(IF(INDEX('分群統計'!$N$5:$N$8,MATCH(X39,'分群統計'!$A$5:$A$8,0))&lt;3,"",IF(INDEX('分群統計'!$P$5:$P$8,MATCH(X39,'分群統計'!$A$5:$A$8,0))&gt;0,MAX(-3,MIN(3,(AZ39-INDEX('分群統計'!$O$5:$O$8,MATCH(X39,'分群統計'!$A$5:$A$8,0)))/INDEX('分群統計'!$P$5:$P$8,MATCH(X39,'分群統計'!$A$5:$A$8,0)))),0)),""))</f>
        <v/>
      </c>
      <c r="AP39" s="31">
        <f>IF(BC39&lt;&gt;1,"",IFERROR(IF(INDEX('分群統計'!$Q$5:$Q$8,MATCH(X39,'分群統計'!$A$5:$A$8,0))&lt;3,"",IF(INDEX('分群統計'!$S$5:$S$8,MATCH(X39,'分群統計'!$A$5:$A$8,0))&gt;0,MAX(-3,MIN(3,(BB39-INDEX('分群統計'!$R$5:$R$8,MATCH(X39,'分群統計'!$A$5:$A$8,0)))/INDEX('分群統計'!$S$5:$S$8,MATCH(X39,'分群統計'!$A$5:$A$8,0)))),0)),""))</f>
        <v/>
      </c>
      <c r="AQ39" s="31">
        <f>IF(Y39=1,(IF(ISNUMBER(AF39),AF39,0)*'參數'!$B$13+IF(ISNUMBER(AM39),AM39,0)*'參數'!$B$14+IF(ISNUMBER(AO39),AO39,0)*'參數'!$B$15+IF(ISNUMBER(AP39),AP39,0)*'參數'!$B$16)/('參數'!$B$13+'參數'!$B$14+'參數'!$B$15+'參數'!$B$16),"")</f>
        <v/>
      </c>
      <c r="AR39" s="35">
        <f>IF(Y39=1,(SUMPRODUCT(($X$5:$X$404=X39)*($Y$5:$Y$404=1)*($BD$5:$BD$404&gt;BD39))+1)/COUNTIFS($X$5:$X$404,X39,$Y$5:$Y$404,1),"")</f>
        <v/>
      </c>
      <c r="AS39" s="8">
        <f>IF(ISNUMBER(AR39),IF(AR39&lt;='參數'!$B$18,"加碼候選",IF(AR39&gt;'參數'!$B$19,"減碼候選","")),"")</f>
        <v/>
      </c>
      <c r="AT39" s="7">
        <f>IF(Y39=1,N39,0)</f>
        <v/>
      </c>
      <c r="AU39" s="7">
        <f>IF(Y39=1,LN(O39),0)</f>
        <v/>
      </c>
      <c r="AV39" s="36">
        <f>IF(Y39=1,IF(ISNUMBER(F39),F39,0),0)</f>
        <v/>
      </c>
      <c r="AW39" s="7">
        <f>IF(Y39=1,Z39,0)</f>
        <v/>
      </c>
      <c r="AX39" s="7">
        <f>IF(Y39=1,IF(ISNUMBER(AL39),AL39,0),0)</f>
        <v/>
      </c>
      <c r="AY39" s="7">
        <f>IF(Y39=1,IF(ISNUMBER(AL39),1,0),0)</f>
        <v/>
      </c>
      <c r="AZ39" s="7">
        <f>IF(Y39=1,IF(ISNUMBER(AN39),AN39,0),0)</f>
        <v/>
      </c>
      <c r="BA39" s="7">
        <f>IF(Y39=1,IF(ISNUMBER(AN39),1,0),0)</f>
        <v/>
      </c>
      <c r="BB39" s="7">
        <f>IF(Y39=1,IF(ISNUMBER(T39),T39,0),0)</f>
        <v/>
      </c>
      <c r="BC39" s="7">
        <f>IF(Y39=1,IF(ISNUMBER(T39),1,0),0)</f>
        <v/>
      </c>
      <c r="BD39" s="7">
        <f>IF(Y39=1,AQ39+ROW()/1E9,-1E9)</f>
        <v/>
      </c>
      <c r="BE39" s="7">
        <f>IF(Y39=1,AQ39+ROW()/1E9,1E9)</f>
        <v/>
      </c>
    </row>
    <row r="40">
      <c r="A40" s="16" t="n"/>
      <c r="B40" s="8">
        <f>IF($A40="","",BDP($A40,B$3))</f>
        <v/>
      </c>
      <c r="C40" s="8">
        <f>IF($A40="","",BDP($A40,C$3))</f>
        <v/>
      </c>
      <c r="D40" s="28">
        <f>IF($A40="","",BDP($A40,D$3))</f>
        <v/>
      </c>
      <c r="E40" s="29">
        <f>IF($A40="","",BDP($A40,E$3))</f>
        <v/>
      </c>
      <c r="F40" s="17">
        <f>IF($A40="","",BDP($A40,F$3))</f>
        <v/>
      </c>
      <c r="G40" s="8">
        <f>IF($A40="","",BDP($A40,G$3))</f>
        <v/>
      </c>
      <c r="H40" s="8">
        <f>IF($A40="","",BDP($A40,H$3))</f>
        <v/>
      </c>
      <c r="I40" s="8">
        <f>IF($A40="","",BDP($A40,I$3))</f>
        <v/>
      </c>
      <c r="J40" s="8">
        <f>IF($A40="","",BDP($A40,J$3))</f>
        <v/>
      </c>
      <c r="K40" s="8">
        <f>IF($A40="","",BDP($A40,K$3))</f>
        <v/>
      </c>
      <c r="L40" s="28">
        <f>IF($A40="","",BDP($A40,L$3))</f>
        <v/>
      </c>
      <c r="M40" s="28">
        <f>IF($A40="","",BDP($A40,M$3))</f>
        <v/>
      </c>
      <c r="N40" s="30">
        <f>IF($A40="","",BDP($A40,N$3))</f>
        <v/>
      </c>
      <c r="O40" s="31">
        <f>IF($A40="","",BDP($A40,O$3))</f>
        <v/>
      </c>
      <c r="P40" s="30">
        <f>IF($A40="","",BDH($A40,$N$3,'參數'!$B$5,'參數'!$B$5,"Days=A","Fill=P","Dates=H"))</f>
        <v/>
      </c>
      <c r="Q40" s="30">
        <f>IF($A40="","",BDH($A40,$N$3,'參數'!$B$6,'參數'!$B$6,"Days=A","Fill=P","Dates=H"))</f>
        <v/>
      </c>
      <c r="R40" s="30">
        <f>IF($A40="","",BDH($A40,$N$3,'參數'!$B$7,'參數'!$B$7,"Days=A","Fill=P","Dates=H"))</f>
        <v/>
      </c>
      <c r="S40" s="32">
        <f>IF($A40="","",IFERROR(INDEX('發行人'!$A$5:$A$44,MATCH(B40,'發行人'!$D$5:$D$44,0)),"未對應"))</f>
        <v/>
      </c>
      <c r="T40" s="24">
        <f>IF($A40="","",IFERROR(INDEX('發行人'!$G$5:$G$44,MATCH(B40,'發行人'!$D$5:$D$44,0))+0,""))</f>
        <v/>
      </c>
      <c r="U40" s="18">
        <f>IF(ISNUMBER(E40),YEARFRAC('參數'!$B$4,E40),"")</f>
        <v/>
      </c>
      <c r="V40" s="8">
        <f>IF(U40="","",IF(U40&lt;3,"1-3y",IF(U40&lt;5,"3-5y",IF(U40&lt;7,"5-7y",IF(U40&lt;10,"7-10y","10y+")))))</f>
        <v/>
      </c>
      <c r="W40" s="30">
        <f>IF($A40="","",IFERROR(INDEX('參數'!$B$24:$B$45,MATCH(G40,'參數'!$A$24:$A$45,0)),""))</f>
        <v/>
      </c>
      <c r="X40" s="8">
        <f>IF($A40="","",IFERROR(INDEX('參數'!$C$24:$C$45,MATCH(G40,'參數'!$A$24:$A$45,0)),""))</f>
        <v/>
      </c>
      <c r="Y40" s="30">
        <f>IF(AND(ISNUMBER(N40),ISNUMBER(O40),ISNUMBER(U40)),IF(AND(O40&gt;0,X40&lt;&gt;""),1,0),0)</f>
        <v/>
      </c>
      <c r="Z40" s="17">
        <f>IF(Y40=1,O40*N40,"")</f>
        <v/>
      </c>
      <c r="AA40" s="33">
        <f>IF(Y40=1,IF(ISNUMBER(Q40),N40-Q40,""),"")</f>
        <v/>
      </c>
      <c r="AB40" s="33">
        <f>IF(Y40=1,IF(AND(ISNUMBER(P40),ISNUMBER(R40)),R40*5/12-O40*(P40-R40),""),"")</f>
        <v/>
      </c>
      <c r="AC40" s="30">
        <f>IF(Y40=1,COUNTIFS($X$5:$X$404,X40,$V$5:$V$404,V40,$Y$5:$Y$404,1),"")</f>
        <v/>
      </c>
      <c r="AD40" s="30">
        <f>IF(Y40=1,IFERROR(IF(AC40&gt;='參數'!$B$9,INDEX('分群統計'!$G$13:$K$16,MATCH(X40,'分群統計'!$A$13:$A$16,0),MATCH(V40,'分群統計'!$G$12:$K$12,0)),INDEX('分群統計'!$I$5:$I$8,MATCH(X40,'分群統計'!$A$5:$A$8,0))),""),"")</f>
        <v/>
      </c>
      <c r="AE40" s="18">
        <f>IF(Y40=1,IFERROR(IF(AC40&gt;='參數'!$B$9,INDEX('分群統計'!$L$13:$P$16,MATCH(X40,'分群統計'!$A$13:$A$16,0),MATCH(V40,'分群統計'!$L$12:$P$12,0)),INDEX('分群統計'!$J$5:$J$8,MATCH(X40,'分群統計'!$A$5:$A$8,0))),""),"")</f>
        <v/>
      </c>
      <c r="AF40" s="31">
        <f>IF(ISNUMBER(AE40),IF(AE40&gt;0,MAX(-3,MIN(3,(N40-AD40)/AE40)),0),"")</f>
        <v/>
      </c>
      <c r="AG40" s="30">
        <f>IF(Y40=1,COUNTIFS($B$5:$B$404,B40,$Y$5:$Y$404,1),"")</f>
        <v/>
      </c>
      <c r="AH40" s="30">
        <f>IF(Y40=1,IFERROR(IF(ISNUMBER(INDEX('分群統計'!$G$20:$G$59,MATCH(B40,'分群統計'!$A$20:$A$59,0))),INDEX('分群統計'!$H$20:$H$59,MATCH(B40,'分群統計'!$A$20:$A$59,0))+INDEX('分群統計'!$G$20:$G$59,MATCH(B40,'分群統計'!$A$20:$A$59,0))*AU40,""),""),"")</f>
        <v/>
      </c>
      <c r="AI40" s="34">
        <f>IF(ISNUMBER(AH40),N40-AH40,"")</f>
        <v/>
      </c>
      <c r="AJ40" s="30">
        <f>IF(Y40=1,IFERROR(IF(ISNUMBER(INDEX('分群統計'!$G$5:$G$8,MATCH(X40,'分群統計'!$A$5:$A$8,0))),INDEX('分群統計'!$H$5:$H$8,MATCH(X40,'分群統計'!$A$5:$A$8,0))+INDEX('分群統計'!$G$5:$G$8,MATCH(X40,'分群統計'!$A$5:$A$8,0))*AU40,""),""),"")</f>
        <v/>
      </c>
      <c r="AK40" s="34">
        <f>IF(ISNUMBER(AJ40),N40-AJ40,"")</f>
        <v/>
      </c>
      <c r="AL40" s="21">
        <f>IF(ISNUMBER(AJ40),IF(AJ40&gt;0,AK40/AJ40,""),"")</f>
        <v/>
      </c>
      <c r="AM40" s="31">
        <f>IF(AY40&lt;&gt;1,"",IFERROR(IF(INDEX('分群統計'!$K$5:$K$8,MATCH(X40,'分群統計'!$A$5:$A$8,0))&lt;3,"",IF(INDEX('分群統計'!$M$5:$M$8,MATCH(X40,'分群統計'!$A$5:$A$8,0))&gt;0,MAX(-3,MIN(3,(AX40-INDEX('分群統計'!$L$5:$L$8,MATCH(X40,'分群統計'!$A$5:$A$8,0)))/INDEX('分群統計'!$M$5:$M$8,MATCH(X40,'分群統計'!$A$5:$A$8,0)))),0)),""))</f>
        <v/>
      </c>
      <c r="AN40" s="31">
        <f>IF(ISNUMBER(AB40),IF(Z40&gt;0,AB40/Z40*100,""),"")</f>
        <v/>
      </c>
      <c r="AO40" s="31">
        <f>IF(BA40&lt;&gt;1,"",IFERROR(IF(INDEX('分群統計'!$N$5:$N$8,MATCH(X40,'分群統計'!$A$5:$A$8,0))&lt;3,"",IF(INDEX('分群統計'!$P$5:$P$8,MATCH(X40,'分群統計'!$A$5:$A$8,0))&gt;0,MAX(-3,MIN(3,(AZ40-INDEX('分群統計'!$O$5:$O$8,MATCH(X40,'分群統計'!$A$5:$A$8,0)))/INDEX('分群統計'!$P$5:$P$8,MATCH(X40,'分群統計'!$A$5:$A$8,0)))),0)),""))</f>
        <v/>
      </c>
      <c r="AP40" s="31">
        <f>IF(BC40&lt;&gt;1,"",IFERROR(IF(INDEX('分群統計'!$Q$5:$Q$8,MATCH(X40,'分群統計'!$A$5:$A$8,0))&lt;3,"",IF(INDEX('分群統計'!$S$5:$S$8,MATCH(X40,'分群統計'!$A$5:$A$8,0))&gt;0,MAX(-3,MIN(3,(BB40-INDEX('分群統計'!$R$5:$R$8,MATCH(X40,'分群統計'!$A$5:$A$8,0)))/INDEX('分群統計'!$S$5:$S$8,MATCH(X40,'分群統計'!$A$5:$A$8,0)))),0)),""))</f>
        <v/>
      </c>
      <c r="AQ40" s="31">
        <f>IF(Y40=1,(IF(ISNUMBER(AF40),AF40,0)*'參數'!$B$13+IF(ISNUMBER(AM40),AM40,0)*'參數'!$B$14+IF(ISNUMBER(AO40),AO40,0)*'參數'!$B$15+IF(ISNUMBER(AP40),AP40,0)*'參數'!$B$16)/('參數'!$B$13+'參數'!$B$14+'參數'!$B$15+'參數'!$B$16),"")</f>
        <v/>
      </c>
      <c r="AR40" s="35">
        <f>IF(Y40=1,(SUMPRODUCT(($X$5:$X$404=X40)*($Y$5:$Y$404=1)*($BD$5:$BD$404&gt;BD40))+1)/COUNTIFS($X$5:$X$404,X40,$Y$5:$Y$404,1),"")</f>
        <v/>
      </c>
      <c r="AS40" s="8">
        <f>IF(ISNUMBER(AR40),IF(AR40&lt;='參數'!$B$18,"加碼候選",IF(AR40&gt;'參數'!$B$19,"減碼候選","")),"")</f>
        <v/>
      </c>
      <c r="AT40" s="7">
        <f>IF(Y40=1,N40,0)</f>
        <v/>
      </c>
      <c r="AU40" s="7">
        <f>IF(Y40=1,LN(O40),0)</f>
        <v/>
      </c>
      <c r="AV40" s="36">
        <f>IF(Y40=1,IF(ISNUMBER(F40),F40,0),0)</f>
        <v/>
      </c>
      <c r="AW40" s="7">
        <f>IF(Y40=1,Z40,0)</f>
        <v/>
      </c>
      <c r="AX40" s="7">
        <f>IF(Y40=1,IF(ISNUMBER(AL40),AL40,0),0)</f>
        <v/>
      </c>
      <c r="AY40" s="7">
        <f>IF(Y40=1,IF(ISNUMBER(AL40),1,0),0)</f>
        <v/>
      </c>
      <c r="AZ40" s="7">
        <f>IF(Y40=1,IF(ISNUMBER(AN40),AN40,0),0)</f>
        <v/>
      </c>
      <c r="BA40" s="7">
        <f>IF(Y40=1,IF(ISNUMBER(AN40),1,0),0)</f>
        <v/>
      </c>
      <c r="BB40" s="7">
        <f>IF(Y40=1,IF(ISNUMBER(T40),T40,0),0)</f>
        <v/>
      </c>
      <c r="BC40" s="7">
        <f>IF(Y40=1,IF(ISNUMBER(T40),1,0),0)</f>
        <v/>
      </c>
      <c r="BD40" s="7">
        <f>IF(Y40=1,AQ40+ROW()/1E9,-1E9)</f>
        <v/>
      </c>
      <c r="BE40" s="7">
        <f>IF(Y40=1,AQ40+ROW()/1E9,1E9)</f>
        <v/>
      </c>
    </row>
    <row r="41">
      <c r="A41" s="16" t="n"/>
      <c r="B41" s="8">
        <f>IF($A41="","",BDP($A41,B$3))</f>
        <v/>
      </c>
      <c r="C41" s="8">
        <f>IF($A41="","",BDP($A41,C$3))</f>
        <v/>
      </c>
      <c r="D41" s="28">
        <f>IF($A41="","",BDP($A41,D$3))</f>
        <v/>
      </c>
      <c r="E41" s="29">
        <f>IF($A41="","",BDP($A41,E$3))</f>
        <v/>
      </c>
      <c r="F41" s="17">
        <f>IF($A41="","",BDP($A41,F$3))</f>
        <v/>
      </c>
      <c r="G41" s="8">
        <f>IF($A41="","",BDP($A41,G$3))</f>
        <v/>
      </c>
      <c r="H41" s="8">
        <f>IF($A41="","",BDP($A41,H$3))</f>
        <v/>
      </c>
      <c r="I41" s="8">
        <f>IF($A41="","",BDP($A41,I$3))</f>
        <v/>
      </c>
      <c r="J41" s="8">
        <f>IF($A41="","",BDP($A41,J$3))</f>
        <v/>
      </c>
      <c r="K41" s="8">
        <f>IF($A41="","",BDP($A41,K$3))</f>
        <v/>
      </c>
      <c r="L41" s="28">
        <f>IF($A41="","",BDP($A41,L$3))</f>
        <v/>
      </c>
      <c r="M41" s="28">
        <f>IF($A41="","",BDP($A41,M$3))</f>
        <v/>
      </c>
      <c r="N41" s="30">
        <f>IF($A41="","",BDP($A41,N$3))</f>
        <v/>
      </c>
      <c r="O41" s="31">
        <f>IF($A41="","",BDP($A41,O$3))</f>
        <v/>
      </c>
      <c r="P41" s="30">
        <f>IF($A41="","",BDH($A41,$N$3,'參數'!$B$5,'參數'!$B$5,"Days=A","Fill=P","Dates=H"))</f>
        <v/>
      </c>
      <c r="Q41" s="30">
        <f>IF($A41="","",BDH($A41,$N$3,'參數'!$B$6,'參數'!$B$6,"Days=A","Fill=P","Dates=H"))</f>
        <v/>
      </c>
      <c r="R41" s="30">
        <f>IF($A41="","",BDH($A41,$N$3,'參數'!$B$7,'參數'!$B$7,"Days=A","Fill=P","Dates=H"))</f>
        <v/>
      </c>
      <c r="S41" s="32">
        <f>IF($A41="","",IFERROR(INDEX('發行人'!$A$5:$A$44,MATCH(B41,'發行人'!$D$5:$D$44,0)),"未對應"))</f>
        <v/>
      </c>
      <c r="T41" s="24">
        <f>IF($A41="","",IFERROR(INDEX('發行人'!$G$5:$G$44,MATCH(B41,'發行人'!$D$5:$D$44,0))+0,""))</f>
        <v/>
      </c>
      <c r="U41" s="18">
        <f>IF(ISNUMBER(E41),YEARFRAC('參數'!$B$4,E41),"")</f>
        <v/>
      </c>
      <c r="V41" s="8">
        <f>IF(U41="","",IF(U41&lt;3,"1-3y",IF(U41&lt;5,"3-5y",IF(U41&lt;7,"5-7y",IF(U41&lt;10,"7-10y","10y+")))))</f>
        <v/>
      </c>
      <c r="W41" s="30">
        <f>IF($A41="","",IFERROR(INDEX('參數'!$B$24:$B$45,MATCH(G41,'參數'!$A$24:$A$45,0)),""))</f>
        <v/>
      </c>
      <c r="X41" s="8">
        <f>IF($A41="","",IFERROR(INDEX('參數'!$C$24:$C$45,MATCH(G41,'參數'!$A$24:$A$45,0)),""))</f>
        <v/>
      </c>
      <c r="Y41" s="30">
        <f>IF(AND(ISNUMBER(N41),ISNUMBER(O41),ISNUMBER(U41)),IF(AND(O41&gt;0,X41&lt;&gt;""),1,0),0)</f>
        <v/>
      </c>
      <c r="Z41" s="17">
        <f>IF(Y41=1,O41*N41,"")</f>
        <v/>
      </c>
      <c r="AA41" s="33">
        <f>IF(Y41=1,IF(ISNUMBER(Q41),N41-Q41,""),"")</f>
        <v/>
      </c>
      <c r="AB41" s="33">
        <f>IF(Y41=1,IF(AND(ISNUMBER(P41),ISNUMBER(R41)),R41*5/12-O41*(P41-R41),""),"")</f>
        <v/>
      </c>
      <c r="AC41" s="30">
        <f>IF(Y41=1,COUNTIFS($X$5:$X$404,X41,$V$5:$V$404,V41,$Y$5:$Y$404,1),"")</f>
        <v/>
      </c>
      <c r="AD41" s="30">
        <f>IF(Y41=1,IFERROR(IF(AC41&gt;='參數'!$B$9,INDEX('分群統計'!$G$13:$K$16,MATCH(X41,'分群統計'!$A$13:$A$16,0),MATCH(V41,'分群統計'!$G$12:$K$12,0)),INDEX('分群統計'!$I$5:$I$8,MATCH(X41,'分群統計'!$A$5:$A$8,0))),""),"")</f>
        <v/>
      </c>
      <c r="AE41" s="18">
        <f>IF(Y41=1,IFERROR(IF(AC41&gt;='參數'!$B$9,INDEX('分群統計'!$L$13:$P$16,MATCH(X41,'分群統計'!$A$13:$A$16,0),MATCH(V41,'分群統計'!$L$12:$P$12,0)),INDEX('分群統計'!$J$5:$J$8,MATCH(X41,'分群統計'!$A$5:$A$8,0))),""),"")</f>
        <v/>
      </c>
      <c r="AF41" s="31">
        <f>IF(ISNUMBER(AE41),IF(AE41&gt;0,MAX(-3,MIN(3,(N41-AD41)/AE41)),0),"")</f>
        <v/>
      </c>
      <c r="AG41" s="30">
        <f>IF(Y41=1,COUNTIFS($B$5:$B$404,B41,$Y$5:$Y$404,1),"")</f>
        <v/>
      </c>
      <c r="AH41" s="30">
        <f>IF(Y41=1,IFERROR(IF(ISNUMBER(INDEX('分群統計'!$G$20:$G$59,MATCH(B41,'分群統計'!$A$20:$A$59,0))),INDEX('分群統計'!$H$20:$H$59,MATCH(B41,'分群統計'!$A$20:$A$59,0))+INDEX('分群統計'!$G$20:$G$59,MATCH(B41,'分群統計'!$A$20:$A$59,0))*AU41,""),""),"")</f>
        <v/>
      </c>
      <c r="AI41" s="34">
        <f>IF(ISNUMBER(AH41),N41-AH41,"")</f>
        <v/>
      </c>
      <c r="AJ41" s="30">
        <f>IF(Y41=1,IFERROR(IF(ISNUMBER(INDEX('分群統計'!$G$5:$G$8,MATCH(X41,'分群統計'!$A$5:$A$8,0))),INDEX('分群統計'!$H$5:$H$8,MATCH(X41,'分群統計'!$A$5:$A$8,0))+INDEX('分群統計'!$G$5:$G$8,MATCH(X41,'分群統計'!$A$5:$A$8,0))*AU41,""),""),"")</f>
        <v/>
      </c>
      <c r="AK41" s="34">
        <f>IF(ISNUMBER(AJ41),N41-AJ41,"")</f>
        <v/>
      </c>
      <c r="AL41" s="21">
        <f>IF(ISNUMBER(AJ41),IF(AJ41&gt;0,AK41/AJ41,""),"")</f>
        <v/>
      </c>
      <c r="AM41" s="31">
        <f>IF(AY41&lt;&gt;1,"",IFERROR(IF(INDEX('分群統計'!$K$5:$K$8,MATCH(X41,'分群統計'!$A$5:$A$8,0))&lt;3,"",IF(INDEX('分群統計'!$M$5:$M$8,MATCH(X41,'分群統計'!$A$5:$A$8,0))&gt;0,MAX(-3,MIN(3,(AX41-INDEX('分群統計'!$L$5:$L$8,MATCH(X41,'分群統計'!$A$5:$A$8,0)))/INDEX('分群統計'!$M$5:$M$8,MATCH(X41,'分群統計'!$A$5:$A$8,0)))),0)),""))</f>
        <v/>
      </c>
      <c r="AN41" s="31">
        <f>IF(ISNUMBER(AB41),IF(Z41&gt;0,AB41/Z41*100,""),"")</f>
        <v/>
      </c>
      <c r="AO41" s="31">
        <f>IF(BA41&lt;&gt;1,"",IFERROR(IF(INDEX('分群統計'!$N$5:$N$8,MATCH(X41,'分群統計'!$A$5:$A$8,0))&lt;3,"",IF(INDEX('分群統計'!$P$5:$P$8,MATCH(X41,'分群統計'!$A$5:$A$8,0))&gt;0,MAX(-3,MIN(3,(AZ41-INDEX('分群統計'!$O$5:$O$8,MATCH(X41,'分群統計'!$A$5:$A$8,0)))/INDEX('分群統計'!$P$5:$P$8,MATCH(X41,'分群統計'!$A$5:$A$8,0)))),0)),""))</f>
        <v/>
      </c>
      <c r="AP41" s="31">
        <f>IF(BC41&lt;&gt;1,"",IFERROR(IF(INDEX('分群統計'!$Q$5:$Q$8,MATCH(X41,'分群統計'!$A$5:$A$8,0))&lt;3,"",IF(INDEX('分群統計'!$S$5:$S$8,MATCH(X41,'分群統計'!$A$5:$A$8,0))&gt;0,MAX(-3,MIN(3,(BB41-INDEX('分群統計'!$R$5:$R$8,MATCH(X41,'分群統計'!$A$5:$A$8,0)))/INDEX('分群統計'!$S$5:$S$8,MATCH(X41,'分群統計'!$A$5:$A$8,0)))),0)),""))</f>
        <v/>
      </c>
      <c r="AQ41" s="31">
        <f>IF(Y41=1,(IF(ISNUMBER(AF41),AF41,0)*'參數'!$B$13+IF(ISNUMBER(AM41),AM41,0)*'參數'!$B$14+IF(ISNUMBER(AO41),AO41,0)*'參數'!$B$15+IF(ISNUMBER(AP41),AP41,0)*'參數'!$B$16)/('參數'!$B$13+'參數'!$B$14+'參數'!$B$15+'參數'!$B$16),"")</f>
        <v/>
      </c>
      <c r="AR41" s="35">
        <f>IF(Y41=1,(SUMPRODUCT(($X$5:$X$404=X41)*($Y$5:$Y$404=1)*($BD$5:$BD$404&gt;BD41))+1)/COUNTIFS($X$5:$X$404,X41,$Y$5:$Y$404,1),"")</f>
        <v/>
      </c>
      <c r="AS41" s="8">
        <f>IF(ISNUMBER(AR41),IF(AR41&lt;='參數'!$B$18,"加碼候選",IF(AR41&gt;'參數'!$B$19,"減碼候選","")),"")</f>
        <v/>
      </c>
      <c r="AT41" s="7">
        <f>IF(Y41=1,N41,0)</f>
        <v/>
      </c>
      <c r="AU41" s="7">
        <f>IF(Y41=1,LN(O41),0)</f>
        <v/>
      </c>
      <c r="AV41" s="36">
        <f>IF(Y41=1,IF(ISNUMBER(F41),F41,0),0)</f>
        <v/>
      </c>
      <c r="AW41" s="7">
        <f>IF(Y41=1,Z41,0)</f>
        <v/>
      </c>
      <c r="AX41" s="7">
        <f>IF(Y41=1,IF(ISNUMBER(AL41),AL41,0),0)</f>
        <v/>
      </c>
      <c r="AY41" s="7">
        <f>IF(Y41=1,IF(ISNUMBER(AL41),1,0),0)</f>
        <v/>
      </c>
      <c r="AZ41" s="7">
        <f>IF(Y41=1,IF(ISNUMBER(AN41),AN41,0),0)</f>
        <v/>
      </c>
      <c r="BA41" s="7">
        <f>IF(Y41=1,IF(ISNUMBER(AN41),1,0),0)</f>
        <v/>
      </c>
      <c r="BB41" s="7">
        <f>IF(Y41=1,IF(ISNUMBER(T41),T41,0),0)</f>
        <v/>
      </c>
      <c r="BC41" s="7">
        <f>IF(Y41=1,IF(ISNUMBER(T41),1,0),0)</f>
        <v/>
      </c>
      <c r="BD41" s="7">
        <f>IF(Y41=1,AQ41+ROW()/1E9,-1E9)</f>
        <v/>
      </c>
      <c r="BE41" s="7">
        <f>IF(Y41=1,AQ41+ROW()/1E9,1E9)</f>
        <v/>
      </c>
    </row>
    <row r="42">
      <c r="A42" s="16" t="n"/>
      <c r="B42" s="8">
        <f>IF($A42="","",BDP($A42,B$3))</f>
        <v/>
      </c>
      <c r="C42" s="8">
        <f>IF($A42="","",BDP($A42,C$3))</f>
        <v/>
      </c>
      <c r="D42" s="28">
        <f>IF($A42="","",BDP($A42,D$3))</f>
        <v/>
      </c>
      <c r="E42" s="29">
        <f>IF($A42="","",BDP($A42,E$3))</f>
        <v/>
      </c>
      <c r="F42" s="17">
        <f>IF($A42="","",BDP($A42,F$3))</f>
        <v/>
      </c>
      <c r="G42" s="8">
        <f>IF($A42="","",BDP($A42,G$3))</f>
        <v/>
      </c>
      <c r="H42" s="8">
        <f>IF($A42="","",BDP($A42,H$3))</f>
        <v/>
      </c>
      <c r="I42" s="8">
        <f>IF($A42="","",BDP($A42,I$3))</f>
        <v/>
      </c>
      <c r="J42" s="8">
        <f>IF($A42="","",BDP($A42,J$3))</f>
        <v/>
      </c>
      <c r="K42" s="8">
        <f>IF($A42="","",BDP($A42,K$3))</f>
        <v/>
      </c>
      <c r="L42" s="28">
        <f>IF($A42="","",BDP($A42,L$3))</f>
        <v/>
      </c>
      <c r="M42" s="28">
        <f>IF($A42="","",BDP($A42,M$3))</f>
        <v/>
      </c>
      <c r="N42" s="30">
        <f>IF($A42="","",BDP($A42,N$3))</f>
        <v/>
      </c>
      <c r="O42" s="31">
        <f>IF($A42="","",BDP($A42,O$3))</f>
        <v/>
      </c>
      <c r="P42" s="30">
        <f>IF($A42="","",BDH($A42,$N$3,'參數'!$B$5,'參數'!$B$5,"Days=A","Fill=P","Dates=H"))</f>
        <v/>
      </c>
      <c r="Q42" s="30">
        <f>IF($A42="","",BDH($A42,$N$3,'參數'!$B$6,'參數'!$B$6,"Days=A","Fill=P","Dates=H"))</f>
        <v/>
      </c>
      <c r="R42" s="30">
        <f>IF($A42="","",BDH($A42,$N$3,'參數'!$B$7,'參數'!$B$7,"Days=A","Fill=P","Dates=H"))</f>
        <v/>
      </c>
      <c r="S42" s="32">
        <f>IF($A42="","",IFERROR(INDEX('發行人'!$A$5:$A$44,MATCH(B42,'發行人'!$D$5:$D$44,0)),"未對應"))</f>
        <v/>
      </c>
      <c r="T42" s="24">
        <f>IF($A42="","",IFERROR(INDEX('發行人'!$G$5:$G$44,MATCH(B42,'發行人'!$D$5:$D$44,0))+0,""))</f>
        <v/>
      </c>
      <c r="U42" s="18">
        <f>IF(ISNUMBER(E42),YEARFRAC('參數'!$B$4,E42),"")</f>
        <v/>
      </c>
      <c r="V42" s="8">
        <f>IF(U42="","",IF(U42&lt;3,"1-3y",IF(U42&lt;5,"3-5y",IF(U42&lt;7,"5-7y",IF(U42&lt;10,"7-10y","10y+")))))</f>
        <v/>
      </c>
      <c r="W42" s="30">
        <f>IF($A42="","",IFERROR(INDEX('參數'!$B$24:$B$45,MATCH(G42,'參數'!$A$24:$A$45,0)),""))</f>
        <v/>
      </c>
      <c r="X42" s="8">
        <f>IF($A42="","",IFERROR(INDEX('參數'!$C$24:$C$45,MATCH(G42,'參數'!$A$24:$A$45,0)),""))</f>
        <v/>
      </c>
      <c r="Y42" s="30">
        <f>IF(AND(ISNUMBER(N42),ISNUMBER(O42),ISNUMBER(U42)),IF(AND(O42&gt;0,X42&lt;&gt;""),1,0),0)</f>
        <v/>
      </c>
      <c r="Z42" s="17">
        <f>IF(Y42=1,O42*N42,"")</f>
        <v/>
      </c>
      <c r="AA42" s="33">
        <f>IF(Y42=1,IF(ISNUMBER(Q42),N42-Q42,""),"")</f>
        <v/>
      </c>
      <c r="AB42" s="33">
        <f>IF(Y42=1,IF(AND(ISNUMBER(P42),ISNUMBER(R42)),R42*5/12-O42*(P42-R42),""),"")</f>
        <v/>
      </c>
      <c r="AC42" s="30">
        <f>IF(Y42=1,COUNTIFS($X$5:$X$404,X42,$V$5:$V$404,V42,$Y$5:$Y$404,1),"")</f>
        <v/>
      </c>
      <c r="AD42" s="30">
        <f>IF(Y42=1,IFERROR(IF(AC42&gt;='參數'!$B$9,INDEX('分群統計'!$G$13:$K$16,MATCH(X42,'分群統計'!$A$13:$A$16,0),MATCH(V42,'分群統計'!$G$12:$K$12,0)),INDEX('分群統計'!$I$5:$I$8,MATCH(X42,'分群統計'!$A$5:$A$8,0))),""),"")</f>
        <v/>
      </c>
      <c r="AE42" s="18">
        <f>IF(Y42=1,IFERROR(IF(AC42&gt;='參數'!$B$9,INDEX('分群統計'!$L$13:$P$16,MATCH(X42,'分群統計'!$A$13:$A$16,0),MATCH(V42,'分群統計'!$L$12:$P$12,0)),INDEX('分群統計'!$J$5:$J$8,MATCH(X42,'分群統計'!$A$5:$A$8,0))),""),"")</f>
        <v/>
      </c>
      <c r="AF42" s="31">
        <f>IF(ISNUMBER(AE42),IF(AE42&gt;0,MAX(-3,MIN(3,(N42-AD42)/AE42)),0),"")</f>
        <v/>
      </c>
      <c r="AG42" s="30">
        <f>IF(Y42=1,COUNTIFS($B$5:$B$404,B42,$Y$5:$Y$404,1),"")</f>
        <v/>
      </c>
      <c r="AH42" s="30">
        <f>IF(Y42=1,IFERROR(IF(ISNUMBER(INDEX('分群統計'!$G$20:$G$59,MATCH(B42,'分群統計'!$A$20:$A$59,0))),INDEX('分群統計'!$H$20:$H$59,MATCH(B42,'分群統計'!$A$20:$A$59,0))+INDEX('分群統計'!$G$20:$G$59,MATCH(B42,'分群統計'!$A$20:$A$59,0))*AU42,""),""),"")</f>
        <v/>
      </c>
      <c r="AI42" s="34">
        <f>IF(ISNUMBER(AH42),N42-AH42,"")</f>
        <v/>
      </c>
      <c r="AJ42" s="30">
        <f>IF(Y42=1,IFERROR(IF(ISNUMBER(INDEX('分群統計'!$G$5:$G$8,MATCH(X42,'分群統計'!$A$5:$A$8,0))),INDEX('分群統計'!$H$5:$H$8,MATCH(X42,'分群統計'!$A$5:$A$8,0))+INDEX('分群統計'!$G$5:$G$8,MATCH(X42,'分群統計'!$A$5:$A$8,0))*AU42,""),""),"")</f>
        <v/>
      </c>
      <c r="AK42" s="34">
        <f>IF(ISNUMBER(AJ42),N42-AJ42,"")</f>
        <v/>
      </c>
      <c r="AL42" s="21">
        <f>IF(ISNUMBER(AJ42),IF(AJ42&gt;0,AK42/AJ42,""),"")</f>
        <v/>
      </c>
      <c r="AM42" s="31">
        <f>IF(AY42&lt;&gt;1,"",IFERROR(IF(INDEX('分群統計'!$K$5:$K$8,MATCH(X42,'分群統計'!$A$5:$A$8,0))&lt;3,"",IF(INDEX('分群統計'!$M$5:$M$8,MATCH(X42,'分群統計'!$A$5:$A$8,0))&gt;0,MAX(-3,MIN(3,(AX42-INDEX('分群統計'!$L$5:$L$8,MATCH(X42,'分群統計'!$A$5:$A$8,0)))/INDEX('分群統計'!$M$5:$M$8,MATCH(X42,'分群統計'!$A$5:$A$8,0)))),0)),""))</f>
        <v/>
      </c>
      <c r="AN42" s="31">
        <f>IF(ISNUMBER(AB42),IF(Z42&gt;0,AB42/Z42*100,""),"")</f>
        <v/>
      </c>
      <c r="AO42" s="31">
        <f>IF(BA42&lt;&gt;1,"",IFERROR(IF(INDEX('分群統計'!$N$5:$N$8,MATCH(X42,'分群統計'!$A$5:$A$8,0))&lt;3,"",IF(INDEX('分群統計'!$P$5:$P$8,MATCH(X42,'分群統計'!$A$5:$A$8,0))&gt;0,MAX(-3,MIN(3,(AZ42-INDEX('分群統計'!$O$5:$O$8,MATCH(X42,'分群統計'!$A$5:$A$8,0)))/INDEX('分群統計'!$P$5:$P$8,MATCH(X42,'分群統計'!$A$5:$A$8,0)))),0)),""))</f>
        <v/>
      </c>
      <c r="AP42" s="31">
        <f>IF(BC42&lt;&gt;1,"",IFERROR(IF(INDEX('分群統計'!$Q$5:$Q$8,MATCH(X42,'分群統計'!$A$5:$A$8,0))&lt;3,"",IF(INDEX('分群統計'!$S$5:$S$8,MATCH(X42,'分群統計'!$A$5:$A$8,0))&gt;0,MAX(-3,MIN(3,(BB42-INDEX('分群統計'!$R$5:$R$8,MATCH(X42,'分群統計'!$A$5:$A$8,0)))/INDEX('分群統計'!$S$5:$S$8,MATCH(X42,'分群統計'!$A$5:$A$8,0)))),0)),""))</f>
        <v/>
      </c>
      <c r="AQ42" s="31">
        <f>IF(Y42=1,(IF(ISNUMBER(AF42),AF42,0)*'參數'!$B$13+IF(ISNUMBER(AM42),AM42,0)*'參數'!$B$14+IF(ISNUMBER(AO42),AO42,0)*'參數'!$B$15+IF(ISNUMBER(AP42),AP42,0)*'參數'!$B$16)/('參數'!$B$13+'參數'!$B$14+'參數'!$B$15+'參數'!$B$16),"")</f>
        <v/>
      </c>
      <c r="AR42" s="35">
        <f>IF(Y42=1,(SUMPRODUCT(($X$5:$X$404=X42)*($Y$5:$Y$404=1)*($BD$5:$BD$404&gt;BD42))+1)/COUNTIFS($X$5:$X$404,X42,$Y$5:$Y$404,1),"")</f>
        <v/>
      </c>
      <c r="AS42" s="8">
        <f>IF(ISNUMBER(AR42),IF(AR42&lt;='參數'!$B$18,"加碼候選",IF(AR42&gt;'參數'!$B$19,"減碼候選","")),"")</f>
        <v/>
      </c>
      <c r="AT42" s="7">
        <f>IF(Y42=1,N42,0)</f>
        <v/>
      </c>
      <c r="AU42" s="7">
        <f>IF(Y42=1,LN(O42),0)</f>
        <v/>
      </c>
      <c r="AV42" s="36">
        <f>IF(Y42=1,IF(ISNUMBER(F42),F42,0),0)</f>
        <v/>
      </c>
      <c r="AW42" s="7">
        <f>IF(Y42=1,Z42,0)</f>
        <v/>
      </c>
      <c r="AX42" s="7">
        <f>IF(Y42=1,IF(ISNUMBER(AL42),AL42,0),0)</f>
        <v/>
      </c>
      <c r="AY42" s="7">
        <f>IF(Y42=1,IF(ISNUMBER(AL42),1,0),0)</f>
        <v/>
      </c>
      <c r="AZ42" s="7">
        <f>IF(Y42=1,IF(ISNUMBER(AN42),AN42,0),0)</f>
        <v/>
      </c>
      <c r="BA42" s="7">
        <f>IF(Y42=1,IF(ISNUMBER(AN42),1,0),0)</f>
        <v/>
      </c>
      <c r="BB42" s="7">
        <f>IF(Y42=1,IF(ISNUMBER(T42),T42,0),0)</f>
        <v/>
      </c>
      <c r="BC42" s="7">
        <f>IF(Y42=1,IF(ISNUMBER(T42),1,0),0)</f>
        <v/>
      </c>
      <c r="BD42" s="7">
        <f>IF(Y42=1,AQ42+ROW()/1E9,-1E9)</f>
        <v/>
      </c>
      <c r="BE42" s="7">
        <f>IF(Y42=1,AQ42+ROW()/1E9,1E9)</f>
        <v/>
      </c>
    </row>
    <row r="43">
      <c r="A43" s="16" t="n"/>
      <c r="B43" s="8">
        <f>IF($A43="","",BDP($A43,B$3))</f>
        <v/>
      </c>
      <c r="C43" s="8">
        <f>IF($A43="","",BDP($A43,C$3))</f>
        <v/>
      </c>
      <c r="D43" s="28">
        <f>IF($A43="","",BDP($A43,D$3))</f>
        <v/>
      </c>
      <c r="E43" s="29">
        <f>IF($A43="","",BDP($A43,E$3))</f>
        <v/>
      </c>
      <c r="F43" s="17">
        <f>IF($A43="","",BDP($A43,F$3))</f>
        <v/>
      </c>
      <c r="G43" s="8">
        <f>IF($A43="","",BDP($A43,G$3))</f>
        <v/>
      </c>
      <c r="H43" s="8">
        <f>IF($A43="","",BDP($A43,H$3))</f>
        <v/>
      </c>
      <c r="I43" s="8">
        <f>IF($A43="","",BDP($A43,I$3))</f>
        <v/>
      </c>
      <c r="J43" s="8">
        <f>IF($A43="","",BDP($A43,J$3))</f>
        <v/>
      </c>
      <c r="K43" s="8">
        <f>IF($A43="","",BDP($A43,K$3))</f>
        <v/>
      </c>
      <c r="L43" s="28">
        <f>IF($A43="","",BDP($A43,L$3))</f>
        <v/>
      </c>
      <c r="M43" s="28">
        <f>IF($A43="","",BDP($A43,M$3))</f>
        <v/>
      </c>
      <c r="N43" s="30">
        <f>IF($A43="","",BDP($A43,N$3))</f>
        <v/>
      </c>
      <c r="O43" s="31">
        <f>IF($A43="","",BDP($A43,O$3))</f>
        <v/>
      </c>
      <c r="P43" s="30">
        <f>IF($A43="","",BDH($A43,$N$3,'參數'!$B$5,'參數'!$B$5,"Days=A","Fill=P","Dates=H"))</f>
        <v/>
      </c>
      <c r="Q43" s="30">
        <f>IF($A43="","",BDH($A43,$N$3,'參數'!$B$6,'參數'!$B$6,"Days=A","Fill=P","Dates=H"))</f>
        <v/>
      </c>
      <c r="R43" s="30">
        <f>IF($A43="","",BDH($A43,$N$3,'參數'!$B$7,'參數'!$B$7,"Days=A","Fill=P","Dates=H"))</f>
        <v/>
      </c>
      <c r="S43" s="32">
        <f>IF($A43="","",IFERROR(INDEX('發行人'!$A$5:$A$44,MATCH(B43,'發行人'!$D$5:$D$44,0)),"未對應"))</f>
        <v/>
      </c>
      <c r="T43" s="24">
        <f>IF($A43="","",IFERROR(INDEX('發行人'!$G$5:$G$44,MATCH(B43,'發行人'!$D$5:$D$44,0))+0,""))</f>
        <v/>
      </c>
      <c r="U43" s="18">
        <f>IF(ISNUMBER(E43),YEARFRAC('參數'!$B$4,E43),"")</f>
        <v/>
      </c>
      <c r="V43" s="8">
        <f>IF(U43="","",IF(U43&lt;3,"1-3y",IF(U43&lt;5,"3-5y",IF(U43&lt;7,"5-7y",IF(U43&lt;10,"7-10y","10y+")))))</f>
        <v/>
      </c>
      <c r="W43" s="30">
        <f>IF($A43="","",IFERROR(INDEX('參數'!$B$24:$B$45,MATCH(G43,'參數'!$A$24:$A$45,0)),""))</f>
        <v/>
      </c>
      <c r="X43" s="8">
        <f>IF($A43="","",IFERROR(INDEX('參數'!$C$24:$C$45,MATCH(G43,'參數'!$A$24:$A$45,0)),""))</f>
        <v/>
      </c>
      <c r="Y43" s="30">
        <f>IF(AND(ISNUMBER(N43),ISNUMBER(O43),ISNUMBER(U43)),IF(AND(O43&gt;0,X43&lt;&gt;""),1,0),0)</f>
        <v/>
      </c>
      <c r="Z43" s="17">
        <f>IF(Y43=1,O43*N43,"")</f>
        <v/>
      </c>
      <c r="AA43" s="33">
        <f>IF(Y43=1,IF(ISNUMBER(Q43),N43-Q43,""),"")</f>
        <v/>
      </c>
      <c r="AB43" s="33">
        <f>IF(Y43=1,IF(AND(ISNUMBER(P43),ISNUMBER(R43)),R43*5/12-O43*(P43-R43),""),"")</f>
        <v/>
      </c>
      <c r="AC43" s="30">
        <f>IF(Y43=1,COUNTIFS($X$5:$X$404,X43,$V$5:$V$404,V43,$Y$5:$Y$404,1),"")</f>
        <v/>
      </c>
      <c r="AD43" s="30">
        <f>IF(Y43=1,IFERROR(IF(AC43&gt;='參數'!$B$9,INDEX('分群統計'!$G$13:$K$16,MATCH(X43,'分群統計'!$A$13:$A$16,0),MATCH(V43,'分群統計'!$G$12:$K$12,0)),INDEX('分群統計'!$I$5:$I$8,MATCH(X43,'分群統計'!$A$5:$A$8,0))),""),"")</f>
        <v/>
      </c>
      <c r="AE43" s="18">
        <f>IF(Y43=1,IFERROR(IF(AC43&gt;='參數'!$B$9,INDEX('分群統計'!$L$13:$P$16,MATCH(X43,'分群統計'!$A$13:$A$16,0),MATCH(V43,'分群統計'!$L$12:$P$12,0)),INDEX('分群統計'!$J$5:$J$8,MATCH(X43,'分群統計'!$A$5:$A$8,0))),""),"")</f>
        <v/>
      </c>
      <c r="AF43" s="31">
        <f>IF(ISNUMBER(AE43),IF(AE43&gt;0,MAX(-3,MIN(3,(N43-AD43)/AE43)),0),"")</f>
        <v/>
      </c>
      <c r="AG43" s="30">
        <f>IF(Y43=1,COUNTIFS($B$5:$B$404,B43,$Y$5:$Y$404,1),"")</f>
        <v/>
      </c>
      <c r="AH43" s="30">
        <f>IF(Y43=1,IFERROR(IF(ISNUMBER(INDEX('分群統計'!$G$20:$G$59,MATCH(B43,'分群統計'!$A$20:$A$59,0))),INDEX('分群統計'!$H$20:$H$59,MATCH(B43,'分群統計'!$A$20:$A$59,0))+INDEX('分群統計'!$G$20:$G$59,MATCH(B43,'分群統計'!$A$20:$A$59,0))*AU43,""),""),"")</f>
        <v/>
      </c>
      <c r="AI43" s="34">
        <f>IF(ISNUMBER(AH43),N43-AH43,"")</f>
        <v/>
      </c>
      <c r="AJ43" s="30">
        <f>IF(Y43=1,IFERROR(IF(ISNUMBER(INDEX('分群統計'!$G$5:$G$8,MATCH(X43,'分群統計'!$A$5:$A$8,0))),INDEX('分群統計'!$H$5:$H$8,MATCH(X43,'分群統計'!$A$5:$A$8,0))+INDEX('分群統計'!$G$5:$G$8,MATCH(X43,'分群統計'!$A$5:$A$8,0))*AU43,""),""),"")</f>
        <v/>
      </c>
      <c r="AK43" s="34">
        <f>IF(ISNUMBER(AJ43),N43-AJ43,"")</f>
        <v/>
      </c>
      <c r="AL43" s="21">
        <f>IF(ISNUMBER(AJ43),IF(AJ43&gt;0,AK43/AJ43,""),"")</f>
        <v/>
      </c>
      <c r="AM43" s="31">
        <f>IF(AY43&lt;&gt;1,"",IFERROR(IF(INDEX('分群統計'!$K$5:$K$8,MATCH(X43,'分群統計'!$A$5:$A$8,0))&lt;3,"",IF(INDEX('分群統計'!$M$5:$M$8,MATCH(X43,'分群統計'!$A$5:$A$8,0))&gt;0,MAX(-3,MIN(3,(AX43-INDEX('分群統計'!$L$5:$L$8,MATCH(X43,'分群統計'!$A$5:$A$8,0)))/INDEX('分群統計'!$M$5:$M$8,MATCH(X43,'分群統計'!$A$5:$A$8,0)))),0)),""))</f>
        <v/>
      </c>
      <c r="AN43" s="31">
        <f>IF(ISNUMBER(AB43),IF(Z43&gt;0,AB43/Z43*100,""),"")</f>
        <v/>
      </c>
      <c r="AO43" s="31">
        <f>IF(BA43&lt;&gt;1,"",IFERROR(IF(INDEX('分群統計'!$N$5:$N$8,MATCH(X43,'分群統計'!$A$5:$A$8,0))&lt;3,"",IF(INDEX('分群統計'!$P$5:$P$8,MATCH(X43,'分群統計'!$A$5:$A$8,0))&gt;0,MAX(-3,MIN(3,(AZ43-INDEX('分群統計'!$O$5:$O$8,MATCH(X43,'分群統計'!$A$5:$A$8,0)))/INDEX('分群統計'!$P$5:$P$8,MATCH(X43,'分群統計'!$A$5:$A$8,0)))),0)),""))</f>
        <v/>
      </c>
      <c r="AP43" s="31">
        <f>IF(BC43&lt;&gt;1,"",IFERROR(IF(INDEX('分群統計'!$Q$5:$Q$8,MATCH(X43,'分群統計'!$A$5:$A$8,0))&lt;3,"",IF(INDEX('分群統計'!$S$5:$S$8,MATCH(X43,'分群統計'!$A$5:$A$8,0))&gt;0,MAX(-3,MIN(3,(BB43-INDEX('分群統計'!$R$5:$R$8,MATCH(X43,'分群統計'!$A$5:$A$8,0)))/INDEX('分群統計'!$S$5:$S$8,MATCH(X43,'分群統計'!$A$5:$A$8,0)))),0)),""))</f>
        <v/>
      </c>
      <c r="AQ43" s="31">
        <f>IF(Y43=1,(IF(ISNUMBER(AF43),AF43,0)*'參數'!$B$13+IF(ISNUMBER(AM43),AM43,0)*'參數'!$B$14+IF(ISNUMBER(AO43),AO43,0)*'參數'!$B$15+IF(ISNUMBER(AP43),AP43,0)*'參數'!$B$16)/('參數'!$B$13+'參數'!$B$14+'參數'!$B$15+'參數'!$B$16),"")</f>
        <v/>
      </c>
      <c r="AR43" s="35">
        <f>IF(Y43=1,(SUMPRODUCT(($X$5:$X$404=X43)*($Y$5:$Y$404=1)*($BD$5:$BD$404&gt;BD43))+1)/COUNTIFS($X$5:$X$404,X43,$Y$5:$Y$404,1),"")</f>
        <v/>
      </c>
      <c r="AS43" s="8">
        <f>IF(ISNUMBER(AR43),IF(AR43&lt;='參數'!$B$18,"加碼候選",IF(AR43&gt;'參數'!$B$19,"減碼候選","")),"")</f>
        <v/>
      </c>
      <c r="AT43" s="7">
        <f>IF(Y43=1,N43,0)</f>
        <v/>
      </c>
      <c r="AU43" s="7">
        <f>IF(Y43=1,LN(O43),0)</f>
        <v/>
      </c>
      <c r="AV43" s="36">
        <f>IF(Y43=1,IF(ISNUMBER(F43),F43,0),0)</f>
        <v/>
      </c>
      <c r="AW43" s="7">
        <f>IF(Y43=1,Z43,0)</f>
        <v/>
      </c>
      <c r="AX43" s="7">
        <f>IF(Y43=1,IF(ISNUMBER(AL43),AL43,0),0)</f>
        <v/>
      </c>
      <c r="AY43" s="7">
        <f>IF(Y43=1,IF(ISNUMBER(AL43),1,0),0)</f>
        <v/>
      </c>
      <c r="AZ43" s="7">
        <f>IF(Y43=1,IF(ISNUMBER(AN43),AN43,0),0)</f>
        <v/>
      </c>
      <c r="BA43" s="7">
        <f>IF(Y43=1,IF(ISNUMBER(AN43),1,0),0)</f>
        <v/>
      </c>
      <c r="BB43" s="7">
        <f>IF(Y43=1,IF(ISNUMBER(T43),T43,0),0)</f>
        <v/>
      </c>
      <c r="BC43" s="7">
        <f>IF(Y43=1,IF(ISNUMBER(T43),1,0),0)</f>
        <v/>
      </c>
      <c r="BD43" s="7">
        <f>IF(Y43=1,AQ43+ROW()/1E9,-1E9)</f>
        <v/>
      </c>
      <c r="BE43" s="7">
        <f>IF(Y43=1,AQ43+ROW()/1E9,1E9)</f>
        <v/>
      </c>
    </row>
    <row r="44">
      <c r="A44" s="16" t="n"/>
      <c r="B44" s="8">
        <f>IF($A44="","",BDP($A44,B$3))</f>
        <v/>
      </c>
      <c r="C44" s="8">
        <f>IF($A44="","",BDP($A44,C$3))</f>
        <v/>
      </c>
      <c r="D44" s="28">
        <f>IF($A44="","",BDP($A44,D$3))</f>
        <v/>
      </c>
      <c r="E44" s="29">
        <f>IF($A44="","",BDP($A44,E$3))</f>
        <v/>
      </c>
      <c r="F44" s="17">
        <f>IF($A44="","",BDP($A44,F$3))</f>
        <v/>
      </c>
      <c r="G44" s="8">
        <f>IF($A44="","",BDP($A44,G$3))</f>
        <v/>
      </c>
      <c r="H44" s="8">
        <f>IF($A44="","",BDP($A44,H$3))</f>
        <v/>
      </c>
      <c r="I44" s="8">
        <f>IF($A44="","",BDP($A44,I$3))</f>
        <v/>
      </c>
      <c r="J44" s="8">
        <f>IF($A44="","",BDP($A44,J$3))</f>
        <v/>
      </c>
      <c r="K44" s="8">
        <f>IF($A44="","",BDP($A44,K$3))</f>
        <v/>
      </c>
      <c r="L44" s="28">
        <f>IF($A44="","",BDP($A44,L$3))</f>
        <v/>
      </c>
      <c r="M44" s="28">
        <f>IF($A44="","",BDP($A44,M$3))</f>
        <v/>
      </c>
      <c r="N44" s="30">
        <f>IF($A44="","",BDP($A44,N$3))</f>
        <v/>
      </c>
      <c r="O44" s="31">
        <f>IF($A44="","",BDP($A44,O$3))</f>
        <v/>
      </c>
      <c r="P44" s="30">
        <f>IF($A44="","",BDH($A44,$N$3,'參數'!$B$5,'參數'!$B$5,"Days=A","Fill=P","Dates=H"))</f>
        <v/>
      </c>
      <c r="Q44" s="30">
        <f>IF($A44="","",BDH($A44,$N$3,'參數'!$B$6,'參數'!$B$6,"Days=A","Fill=P","Dates=H"))</f>
        <v/>
      </c>
      <c r="R44" s="30">
        <f>IF($A44="","",BDH($A44,$N$3,'參數'!$B$7,'參數'!$B$7,"Days=A","Fill=P","Dates=H"))</f>
        <v/>
      </c>
      <c r="S44" s="32">
        <f>IF($A44="","",IFERROR(INDEX('發行人'!$A$5:$A$44,MATCH(B44,'發行人'!$D$5:$D$44,0)),"未對應"))</f>
        <v/>
      </c>
      <c r="T44" s="24">
        <f>IF($A44="","",IFERROR(INDEX('發行人'!$G$5:$G$44,MATCH(B44,'發行人'!$D$5:$D$44,0))+0,""))</f>
        <v/>
      </c>
      <c r="U44" s="18">
        <f>IF(ISNUMBER(E44),YEARFRAC('參數'!$B$4,E44),"")</f>
        <v/>
      </c>
      <c r="V44" s="8">
        <f>IF(U44="","",IF(U44&lt;3,"1-3y",IF(U44&lt;5,"3-5y",IF(U44&lt;7,"5-7y",IF(U44&lt;10,"7-10y","10y+")))))</f>
        <v/>
      </c>
      <c r="W44" s="30">
        <f>IF($A44="","",IFERROR(INDEX('參數'!$B$24:$B$45,MATCH(G44,'參數'!$A$24:$A$45,0)),""))</f>
        <v/>
      </c>
      <c r="X44" s="8">
        <f>IF($A44="","",IFERROR(INDEX('參數'!$C$24:$C$45,MATCH(G44,'參數'!$A$24:$A$45,0)),""))</f>
        <v/>
      </c>
      <c r="Y44" s="30">
        <f>IF(AND(ISNUMBER(N44),ISNUMBER(O44),ISNUMBER(U44)),IF(AND(O44&gt;0,X44&lt;&gt;""),1,0),0)</f>
        <v/>
      </c>
      <c r="Z44" s="17">
        <f>IF(Y44=1,O44*N44,"")</f>
        <v/>
      </c>
      <c r="AA44" s="33">
        <f>IF(Y44=1,IF(ISNUMBER(Q44),N44-Q44,""),"")</f>
        <v/>
      </c>
      <c r="AB44" s="33">
        <f>IF(Y44=1,IF(AND(ISNUMBER(P44),ISNUMBER(R44)),R44*5/12-O44*(P44-R44),""),"")</f>
        <v/>
      </c>
      <c r="AC44" s="30">
        <f>IF(Y44=1,COUNTIFS($X$5:$X$404,X44,$V$5:$V$404,V44,$Y$5:$Y$404,1),"")</f>
        <v/>
      </c>
      <c r="AD44" s="30">
        <f>IF(Y44=1,IFERROR(IF(AC44&gt;='參數'!$B$9,INDEX('分群統計'!$G$13:$K$16,MATCH(X44,'分群統計'!$A$13:$A$16,0),MATCH(V44,'分群統計'!$G$12:$K$12,0)),INDEX('分群統計'!$I$5:$I$8,MATCH(X44,'分群統計'!$A$5:$A$8,0))),""),"")</f>
        <v/>
      </c>
      <c r="AE44" s="18">
        <f>IF(Y44=1,IFERROR(IF(AC44&gt;='參數'!$B$9,INDEX('分群統計'!$L$13:$P$16,MATCH(X44,'分群統計'!$A$13:$A$16,0),MATCH(V44,'分群統計'!$L$12:$P$12,0)),INDEX('分群統計'!$J$5:$J$8,MATCH(X44,'分群統計'!$A$5:$A$8,0))),""),"")</f>
        <v/>
      </c>
      <c r="AF44" s="31">
        <f>IF(ISNUMBER(AE44),IF(AE44&gt;0,MAX(-3,MIN(3,(N44-AD44)/AE44)),0),"")</f>
        <v/>
      </c>
      <c r="AG44" s="30">
        <f>IF(Y44=1,COUNTIFS($B$5:$B$404,B44,$Y$5:$Y$404,1),"")</f>
        <v/>
      </c>
      <c r="AH44" s="30">
        <f>IF(Y44=1,IFERROR(IF(ISNUMBER(INDEX('分群統計'!$G$20:$G$59,MATCH(B44,'分群統計'!$A$20:$A$59,0))),INDEX('分群統計'!$H$20:$H$59,MATCH(B44,'分群統計'!$A$20:$A$59,0))+INDEX('分群統計'!$G$20:$G$59,MATCH(B44,'分群統計'!$A$20:$A$59,0))*AU44,""),""),"")</f>
        <v/>
      </c>
      <c r="AI44" s="34">
        <f>IF(ISNUMBER(AH44),N44-AH44,"")</f>
        <v/>
      </c>
      <c r="AJ44" s="30">
        <f>IF(Y44=1,IFERROR(IF(ISNUMBER(INDEX('分群統計'!$G$5:$G$8,MATCH(X44,'分群統計'!$A$5:$A$8,0))),INDEX('分群統計'!$H$5:$H$8,MATCH(X44,'分群統計'!$A$5:$A$8,0))+INDEX('分群統計'!$G$5:$G$8,MATCH(X44,'分群統計'!$A$5:$A$8,0))*AU44,""),""),"")</f>
        <v/>
      </c>
      <c r="AK44" s="34">
        <f>IF(ISNUMBER(AJ44),N44-AJ44,"")</f>
        <v/>
      </c>
      <c r="AL44" s="21">
        <f>IF(ISNUMBER(AJ44),IF(AJ44&gt;0,AK44/AJ44,""),"")</f>
        <v/>
      </c>
      <c r="AM44" s="31">
        <f>IF(AY44&lt;&gt;1,"",IFERROR(IF(INDEX('分群統計'!$K$5:$K$8,MATCH(X44,'分群統計'!$A$5:$A$8,0))&lt;3,"",IF(INDEX('分群統計'!$M$5:$M$8,MATCH(X44,'分群統計'!$A$5:$A$8,0))&gt;0,MAX(-3,MIN(3,(AX44-INDEX('分群統計'!$L$5:$L$8,MATCH(X44,'分群統計'!$A$5:$A$8,0)))/INDEX('分群統計'!$M$5:$M$8,MATCH(X44,'分群統計'!$A$5:$A$8,0)))),0)),""))</f>
        <v/>
      </c>
      <c r="AN44" s="31">
        <f>IF(ISNUMBER(AB44),IF(Z44&gt;0,AB44/Z44*100,""),"")</f>
        <v/>
      </c>
      <c r="AO44" s="31">
        <f>IF(BA44&lt;&gt;1,"",IFERROR(IF(INDEX('分群統計'!$N$5:$N$8,MATCH(X44,'分群統計'!$A$5:$A$8,0))&lt;3,"",IF(INDEX('分群統計'!$P$5:$P$8,MATCH(X44,'分群統計'!$A$5:$A$8,0))&gt;0,MAX(-3,MIN(3,(AZ44-INDEX('分群統計'!$O$5:$O$8,MATCH(X44,'分群統計'!$A$5:$A$8,0)))/INDEX('分群統計'!$P$5:$P$8,MATCH(X44,'分群統計'!$A$5:$A$8,0)))),0)),""))</f>
        <v/>
      </c>
      <c r="AP44" s="31">
        <f>IF(BC44&lt;&gt;1,"",IFERROR(IF(INDEX('分群統計'!$Q$5:$Q$8,MATCH(X44,'分群統計'!$A$5:$A$8,0))&lt;3,"",IF(INDEX('分群統計'!$S$5:$S$8,MATCH(X44,'分群統計'!$A$5:$A$8,0))&gt;0,MAX(-3,MIN(3,(BB44-INDEX('分群統計'!$R$5:$R$8,MATCH(X44,'分群統計'!$A$5:$A$8,0)))/INDEX('分群統計'!$S$5:$S$8,MATCH(X44,'分群統計'!$A$5:$A$8,0)))),0)),""))</f>
        <v/>
      </c>
      <c r="AQ44" s="31">
        <f>IF(Y44=1,(IF(ISNUMBER(AF44),AF44,0)*'參數'!$B$13+IF(ISNUMBER(AM44),AM44,0)*'參數'!$B$14+IF(ISNUMBER(AO44),AO44,0)*'參數'!$B$15+IF(ISNUMBER(AP44),AP44,0)*'參數'!$B$16)/('參數'!$B$13+'參數'!$B$14+'參數'!$B$15+'參數'!$B$16),"")</f>
        <v/>
      </c>
      <c r="AR44" s="35">
        <f>IF(Y44=1,(SUMPRODUCT(($X$5:$X$404=X44)*($Y$5:$Y$404=1)*($BD$5:$BD$404&gt;BD44))+1)/COUNTIFS($X$5:$X$404,X44,$Y$5:$Y$404,1),"")</f>
        <v/>
      </c>
      <c r="AS44" s="8">
        <f>IF(ISNUMBER(AR44),IF(AR44&lt;='參數'!$B$18,"加碼候選",IF(AR44&gt;'參數'!$B$19,"減碼候選","")),"")</f>
        <v/>
      </c>
      <c r="AT44" s="7">
        <f>IF(Y44=1,N44,0)</f>
        <v/>
      </c>
      <c r="AU44" s="7">
        <f>IF(Y44=1,LN(O44),0)</f>
        <v/>
      </c>
      <c r="AV44" s="36">
        <f>IF(Y44=1,IF(ISNUMBER(F44),F44,0),0)</f>
        <v/>
      </c>
      <c r="AW44" s="7">
        <f>IF(Y44=1,Z44,0)</f>
        <v/>
      </c>
      <c r="AX44" s="7">
        <f>IF(Y44=1,IF(ISNUMBER(AL44),AL44,0),0)</f>
        <v/>
      </c>
      <c r="AY44" s="7">
        <f>IF(Y44=1,IF(ISNUMBER(AL44),1,0),0)</f>
        <v/>
      </c>
      <c r="AZ44" s="7">
        <f>IF(Y44=1,IF(ISNUMBER(AN44),AN44,0),0)</f>
        <v/>
      </c>
      <c r="BA44" s="7">
        <f>IF(Y44=1,IF(ISNUMBER(AN44),1,0),0)</f>
        <v/>
      </c>
      <c r="BB44" s="7">
        <f>IF(Y44=1,IF(ISNUMBER(T44),T44,0),0)</f>
        <v/>
      </c>
      <c r="BC44" s="7">
        <f>IF(Y44=1,IF(ISNUMBER(T44),1,0),0)</f>
        <v/>
      </c>
      <c r="BD44" s="7">
        <f>IF(Y44=1,AQ44+ROW()/1E9,-1E9)</f>
        <v/>
      </c>
      <c r="BE44" s="7">
        <f>IF(Y44=1,AQ44+ROW()/1E9,1E9)</f>
        <v/>
      </c>
    </row>
    <row r="45">
      <c r="A45" s="16" t="n"/>
      <c r="B45" s="8">
        <f>IF($A45="","",BDP($A45,B$3))</f>
        <v/>
      </c>
      <c r="C45" s="8">
        <f>IF($A45="","",BDP($A45,C$3))</f>
        <v/>
      </c>
      <c r="D45" s="28">
        <f>IF($A45="","",BDP($A45,D$3))</f>
        <v/>
      </c>
      <c r="E45" s="29">
        <f>IF($A45="","",BDP($A45,E$3))</f>
        <v/>
      </c>
      <c r="F45" s="17">
        <f>IF($A45="","",BDP($A45,F$3))</f>
        <v/>
      </c>
      <c r="G45" s="8">
        <f>IF($A45="","",BDP($A45,G$3))</f>
        <v/>
      </c>
      <c r="H45" s="8">
        <f>IF($A45="","",BDP($A45,H$3))</f>
        <v/>
      </c>
      <c r="I45" s="8">
        <f>IF($A45="","",BDP($A45,I$3))</f>
        <v/>
      </c>
      <c r="J45" s="8">
        <f>IF($A45="","",BDP($A45,J$3))</f>
        <v/>
      </c>
      <c r="K45" s="8">
        <f>IF($A45="","",BDP($A45,K$3))</f>
        <v/>
      </c>
      <c r="L45" s="28">
        <f>IF($A45="","",BDP($A45,L$3))</f>
        <v/>
      </c>
      <c r="M45" s="28">
        <f>IF($A45="","",BDP($A45,M$3))</f>
        <v/>
      </c>
      <c r="N45" s="30">
        <f>IF($A45="","",BDP($A45,N$3))</f>
        <v/>
      </c>
      <c r="O45" s="31">
        <f>IF($A45="","",BDP($A45,O$3))</f>
        <v/>
      </c>
      <c r="P45" s="30">
        <f>IF($A45="","",BDH($A45,$N$3,'參數'!$B$5,'參數'!$B$5,"Days=A","Fill=P","Dates=H"))</f>
        <v/>
      </c>
      <c r="Q45" s="30">
        <f>IF($A45="","",BDH($A45,$N$3,'參數'!$B$6,'參數'!$B$6,"Days=A","Fill=P","Dates=H"))</f>
        <v/>
      </c>
      <c r="R45" s="30">
        <f>IF($A45="","",BDH($A45,$N$3,'參數'!$B$7,'參數'!$B$7,"Days=A","Fill=P","Dates=H"))</f>
        <v/>
      </c>
      <c r="S45" s="32">
        <f>IF($A45="","",IFERROR(INDEX('發行人'!$A$5:$A$44,MATCH(B45,'發行人'!$D$5:$D$44,0)),"未對應"))</f>
        <v/>
      </c>
      <c r="T45" s="24">
        <f>IF($A45="","",IFERROR(INDEX('發行人'!$G$5:$G$44,MATCH(B45,'發行人'!$D$5:$D$44,0))+0,""))</f>
        <v/>
      </c>
      <c r="U45" s="18">
        <f>IF(ISNUMBER(E45),YEARFRAC('參數'!$B$4,E45),"")</f>
        <v/>
      </c>
      <c r="V45" s="8">
        <f>IF(U45="","",IF(U45&lt;3,"1-3y",IF(U45&lt;5,"3-5y",IF(U45&lt;7,"5-7y",IF(U45&lt;10,"7-10y","10y+")))))</f>
        <v/>
      </c>
      <c r="W45" s="30">
        <f>IF($A45="","",IFERROR(INDEX('參數'!$B$24:$B$45,MATCH(G45,'參數'!$A$24:$A$45,0)),""))</f>
        <v/>
      </c>
      <c r="X45" s="8">
        <f>IF($A45="","",IFERROR(INDEX('參數'!$C$24:$C$45,MATCH(G45,'參數'!$A$24:$A$45,0)),""))</f>
        <v/>
      </c>
      <c r="Y45" s="30">
        <f>IF(AND(ISNUMBER(N45),ISNUMBER(O45),ISNUMBER(U45)),IF(AND(O45&gt;0,X45&lt;&gt;""),1,0),0)</f>
        <v/>
      </c>
      <c r="Z45" s="17">
        <f>IF(Y45=1,O45*N45,"")</f>
        <v/>
      </c>
      <c r="AA45" s="33">
        <f>IF(Y45=1,IF(ISNUMBER(Q45),N45-Q45,""),"")</f>
        <v/>
      </c>
      <c r="AB45" s="33">
        <f>IF(Y45=1,IF(AND(ISNUMBER(P45),ISNUMBER(R45)),R45*5/12-O45*(P45-R45),""),"")</f>
        <v/>
      </c>
      <c r="AC45" s="30">
        <f>IF(Y45=1,COUNTIFS($X$5:$X$404,X45,$V$5:$V$404,V45,$Y$5:$Y$404,1),"")</f>
        <v/>
      </c>
      <c r="AD45" s="30">
        <f>IF(Y45=1,IFERROR(IF(AC45&gt;='參數'!$B$9,INDEX('分群統計'!$G$13:$K$16,MATCH(X45,'分群統計'!$A$13:$A$16,0),MATCH(V45,'分群統計'!$G$12:$K$12,0)),INDEX('分群統計'!$I$5:$I$8,MATCH(X45,'分群統計'!$A$5:$A$8,0))),""),"")</f>
        <v/>
      </c>
      <c r="AE45" s="18">
        <f>IF(Y45=1,IFERROR(IF(AC45&gt;='參數'!$B$9,INDEX('分群統計'!$L$13:$P$16,MATCH(X45,'分群統計'!$A$13:$A$16,0),MATCH(V45,'分群統計'!$L$12:$P$12,0)),INDEX('分群統計'!$J$5:$J$8,MATCH(X45,'分群統計'!$A$5:$A$8,0))),""),"")</f>
        <v/>
      </c>
      <c r="AF45" s="31">
        <f>IF(ISNUMBER(AE45),IF(AE45&gt;0,MAX(-3,MIN(3,(N45-AD45)/AE45)),0),"")</f>
        <v/>
      </c>
      <c r="AG45" s="30">
        <f>IF(Y45=1,COUNTIFS($B$5:$B$404,B45,$Y$5:$Y$404,1),"")</f>
        <v/>
      </c>
      <c r="AH45" s="30">
        <f>IF(Y45=1,IFERROR(IF(ISNUMBER(INDEX('分群統計'!$G$20:$G$59,MATCH(B45,'分群統計'!$A$20:$A$59,0))),INDEX('分群統計'!$H$20:$H$59,MATCH(B45,'分群統計'!$A$20:$A$59,0))+INDEX('分群統計'!$G$20:$G$59,MATCH(B45,'分群統計'!$A$20:$A$59,0))*AU45,""),""),"")</f>
        <v/>
      </c>
      <c r="AI45" s="34">
        <f>IF(ISNUMBER(AH45),N45-AH45,"")</f>
        <v/>
      </c>
      <c r="AJ45" s="30">
        <f>IF(Y45=1,IFERROR(IF(ISNUMBER(INDEX('分群統計'!$G$5:$G$8,MATCH(X45,'分群統計'!$A$5:$A$8,0))),INDEX('分群統計'!$H$5:$H$8,MATCH(X45,'分群統計'!$A$5:$A$8,0))+INDEX('分群統計'!$G$5:$G$8,MATCH(X45,'分群統計'!$A$5:$A$8,0))*AU45,""),""),"")</f>
        <v/>
      </c>
      <c r="AK45" s="34">
        <f>IF(ISNUMBER(AJ45),N45-AJ45,"")</f>
        <v/>
      </c>
      <c r="AL45" s="21">
        <f>IF(ISNUMBER(AJ45),IF(AJ45&gt;0,AK45/AJ45,""),"")</f>
        <v/>
      </c>
      <c r="AM45" s="31">
        <f>IF(AY45&lt;&gt;1,"",IFERROR(IF(INDEX('分群統計'!$K$5:$K$8,MATCH(X45,'分群統計'!$A$5:$A$8,0))&lt;3,"",IF(INDEX('分群統計'!$M$5:$M$8,MATCH(X45,'分群統計'!$A$5:$A$8,0))&gt;0,MAX(-3,MIN(3,(AX45-INDEX('分群統計'!$L$5:$L$8,MATCH(X45,'分群統計'!$A$5:$A$8,0)))/INDEX('分群統計'!$M$5:$M$8,MATCH(X45,'分群統計'!$A$5:$A$8,0)))),0)),""))</f>
        <v/>
      </c>
      <c r="AN45" s="31">
        <f>IF(ISNUMBER(AB45),IF(Z45&gt;0,AB45/Z45*100,""),"")</f>
        <v/>
      </c>
      <c r="AO45" s="31">
        <f>IF(BA45&lt;&gt;1,"",IFERROR(IF(INDEX('分群統計'!$N$5:$N$8,MATCH(X45,'分群統計'!$A$5:$A$8,0))&lt;3,"",IF(INDEX('分群統計'!$P$5:$P$8,MATCH(X45,'分群統計'!$A$5:$A$8,0))&gt;0,MAX(-3,MIN(3,(AZ45-INDEX('分群統計'!$O$5:$O$8,MATCH(X45,'分群統計'!$A$5:$A$8,0)))/INDEX('分群統計'!$P$5:$P$8,MATCH(X45,'分群統計'!$A$5:$A$8,0)))),0)),""))</f>
        <v/>
      </c>
      <c r="AP45" s="31">
        <f>IF(BC45&lt;&gt;1,"",IFERROR(IF(INDEX('分群統計'!$Q$5:$Q$8,MATCH(X45,'分群統計'!$A$5:$A$8,0))&lt;3,"",IF(INDEX('分群統計'!$S$5:$S$8,MATCH(X45,'分群統計'!$A$5:$A$8,0))&gt;0,MAX(-3,MIN(3,(BB45-INDEX('分群統計'!$R$5:$R$8,MATCH(X45,'分群統計'!$A$5:$A$8,0)))/INDEX('分群統計'!$S$5:$S$8,MATCH(X45,'分群統計'!$A$5:$A$8,0)))),0)),""))</f>
        <v/>
      </c>
      <c r="AQ45" s="31">
        <f>IF(Y45=1,(IF(ISNUMBER(AF45),AF45,0)*'參數'!$B$13+IF(ISNUMBER(AM45),AM45,0)*'參數'!$B$14+IF(ISNUMBER(AO45),AO45,0)*'參數'!$B$15+IF(ISNUMBER(AP45),AP45,0)*'參數'!$B$16)/('參數'!$B$13+'參數'!$B$14+'參數'!$B$15+'參數'!$B$16),"")</f>
        <v/>
      </c>
      <c r="AR45" s="35">
        <f>IF(Y45=1,(SUMPRODUCT(($X$5:$X$404=X45)*($Y$5:$Y$404=1)*($BD$5:$BD$404&gt;BD45))+1)/COUNTIFS($X$5:$X$404,X45,$Y$5:$Y$404,1),"")</f>
        <v/>
      </c>
      <c r="AS45" s="8">
        <f>IF(ISNUMBER(AR45),IF(AR45&lt;='參數'!$B$18,"加碼候選",IF(AR45&gt;'參數'!$B$19,"減碼候選","")),"")</f>
        <v/>
      </c>
      <c r="AT45" s="7">
        <f>IF(Y45=1,N45,0)</f>
        <v/>
      </c>
      <c r="AU45" s="7">
        <f>IF(Y45=1,LN(O45),0)</f>
        <v/>
      </c>
      <c r="AV45" s="36">
        <f>IF(Y45=1,IF(ISNUMBER(F45),F45,0),0)</f>
        <v/>
      </c>
      <c r="AW45" s="7">
        <f>IF(Y45=1,Z45,0)</f>
        <v/>
      </c>
      <c r="AX45" s="7">
        <f>IF(Y45=1,IF(ISNUMBER(AL45),AL45,0),0)</f>
        <v/>
      </c>
      <c r="AY45" s="7">
        <f>IF(Y45=1,IF(ISNUMBER(AL45),1,0),0)</f>
        <v/>
      </c>
      <c r="AZ45" s="7">
        <f>IF(Y45=1,IF(ISNUMBER(AN45),AN45,0),0)</f>
        <v/>
      </c>
      <c r="BA45" s="7">
        <f>IF(Y45=1,IF(ISNUMBER(AN45),1,0),0)</f>
        <v/>
      </c>
      <c r="BB45" s="7">
        <f>IF(Y45=1,IF(ISNUMBER(T45),T45,0),0)</f>
        <v/>
      </c>
      <c r="BC45" s="7">
        <f>IF(Y45=1,IF(ISNUMBER(T45),1,0),0)</f>
        <v/>
      </c>
      <c r="BD45" s="7">
        <f>IF(Y45=1,AQ45+ROW()/1E9,-1E9)</f>
        <v/>
      </c>
      <c r="BE45" s="7">
        <f>IF(Y45=1,AQ45+ROW()/1E9,1E9)</f>
        <v/>
      </c>
    </row>
    <row r="46">
      <c r="A46" s="16" t="n"/>
      <c r="B46" s="8">
        <f>IF($A46="","",BDP($A46,B$3))</f>
        <v/>
      </c>
      <c r="C46" s="8">
        <f>IF($A46="","",BDP($A46,C$3))</f>
        <v/>
      </c>
      <c r="D46" s="28">
        <f>IF($A46="","",BDP($A46,D$3))</f>
        <v/>
      </c>
      <c r="E46" s="29">
        <f>IF($A46="","",BDP($A46,E$3))</f>
        <v/>
      </c>
      <c r="F46" s="17">
        <f>IF($A46="","",BDP($A46,F$3))</f>
        <v/>
      </c>
      <c r="G46" s="8">
        <f>IF($A46="","",BDP($A46,G$3))</f>
        <v/>
      </c>
      <c r="H46" s="8">
        <f>IF($A46="","",BDP($A46,H$3))</f>
        <v/>
      </c>
      <c r="I46" s="8">
        <f>IF($A46="","",BDP($A46,I$3))</f>
        <v/>
      </c>
      <c r="J46" s="8">
        <f>IF($A46="","",BDP($A46,J$3))</f>
        <v/>
      </c>
      <c r="K46" s="8">
        <f>IF($A46="","",BDP($A46,K$3))</f>
        <v/>
      </c>
      <c r="L46" s="28">
        <f>IF($A46="","",BDP($A46,L$3))</f>
        <v/>
      </c>
      <c r="M46" s="28">
        <f>IF($A46="","",BDP($A46,M$3))</f>
        <v/>
      </c>
      <c r="N46" s="30">
        <f>IF($A46="","",BDP($A46,N$3))</f>
        <v/>
      </c>
      <c r="O46" s="31">
        <f>IF($A46="","",BDP($A46,O$3))</f>
        <v/>
      </c>
      <c r="P46" s="30">
        <f>IF($A46="","",BDH($A46,$N$3,'參數'!$B$5,'參數'!$B$5,"Days=A","Fill=P","Dates=H"))</f>
        <v/>
      </c>
      <c r="Q46" s="30">
        <f>IF($A46="","",BDH($A46,$N$3,'參數'!$B$6,'參數'!$B$6,"Days=A","Fill=P","Dates=H"))</f>
        <v/>
      </c>
      <c r="R46" s="30">
        <f>IF($A46="","",BDH($A46,$N$3,'參數'!$B$7,'參數'!$B$7,"Days=A","Fill=P","Dates=H"))</f>
        <v/>
      </c>
      <c r="S46" s="32">
        <f>IF($A46="","",IFERROR(INDEX('發行人'!$A$5:$A$44,MATCH(B46,'發行人'!$D$5:$D$44,0)),"未對應"))</f>
        <v/>
      </c>
      <c r="T46" s="24">
        <f>IF($A46="","",IFERROR(INDEX('發行人'!$G$5:$G$44,MATCH(B46,'發行人'!$D$5:$D$44,0))+0,""))</f>
        <v/>
      </c>
      <c r="U46" s="18">
        <f>IF(ISNUMBER(E46),YEARFRAC('參數'!$B$4,E46),"")</f>
        <v/>
      </c>
      <c r="V46" s="8">
        <f>IF(U46="","",IF(U46&lt;3,"1-3y",IF(U46&lt;5,"3-5y",IF(U46&lt;7,"5-7y",IF(U46&lt;10,"7-10y","10y+")))))</f>
        <v/>
      </c>
      <c r="W46" s="30">
        <f>IF($A46="","",IFERROR(INDEX('參數'!$B$24:$B$45,MATCH(G46,'參數'!$A$24:$A$45,0)),""))</f>
        <v/>
      </c>
      <c r="X46" s="8">
        <f>IF($A46="","",IFERROR(INDEX('參數'!$C$24:$C$45,MATCH(G46,'參數'!$A$24:$A$45,0)),""))</f>
        <v/>
      </c>
      <c r="Y46" s="30">
        <f>IF(AND(ISNUMBER(N46),ISNUMBER(O46),ISNUMBER(U46)),IF(AND(O46&gt;0,X46&lt;&gt;""),1,0),0)</f>
        <v/>
      </c>
      <c r="Z46" s="17">
        <f>IF(Y46=1,O46*N46,"")</f>
        <v/>
      </c>
      <c r="AA46" s="33">
        <f>IF(Y46=1,IF(ISNUMBER(Q46),N46-Q46,""),"")</f>
        <v/>
      </c>
      <c r="AB46" s="33">
        <f>IF(Y46=1,IF(AND(ISNUMBER(P46),ISNUMBER(R46)),R46*5/12-O46*(P46-R46),""),"")</f>
        <v/>
      </c>
      <c r="AC46" s="30">
        <f>IF(Y46=1,COUNTIFS($X$5:$X$404,X46,$V$5:$V$404,V46,$Y$5:$Y$404,1),"")</f>
        <v/>
      </c>
      <c r="AD46" s="30">
        <f>IF(Y46=1,IFERROR(IF(AC46&gt;='參數'!$B$9,INDEX('分群統計'!$G$13:$K$16,MATCH(X46,'分群統計'!$A$13:$A$16,0),MATCH(V46,'分群統計'!$G$12:$K$12,0)),INDEX('分群統計'!$I$5:$I$8,MATCH(X46,'分群統計'!$A$5:$A$8,0))),""),"")</f>
        <v/>
      </c>
      <c r="AE46" s="18">
        <f>IF(Y46=1,IFERROR(IF(AC46&gt;='參數'!$B$9,INDEX('分群統計'!$L$13:$P$16,MATCH(X46,'分群統計'!$A$13:$A$16,0),MATCH(V46,'分群統計'!$L$12:$P$12,0)),INDEX('分群統計'!$J$5:$J$8,MATCH(X46,'分群統計'!$A$5:$A$8,0))),""),"")</f>
        <v/>
      </c>
      <c r="AF46" s="31">
        <f>IF(ISNUMBER(AE46),IF(AE46&gt;0,MAX(-3,MIN(3,(N46-AD46)/AE46)),0),"")</f>
        <v/>
      </c>
      <c r="AG46" s="30">
        <f>IF(Y46=1,COUNTIFS($B$5:$B$404,B46,$Y$5:$Y$404,1),"")</f>
        <v/>
      </c>
      <c r="AH46" s="30">
        <f>IF(Y46=1,IFERROR(IF(ISNUMBER(INDEX('分群統計'!$G$20:$G$59,MATCH(B46,'分群統計'!$A$20:$A$59,0))),INDEX('分群統計'!$H$20:$H$59,MATCH(B46,'分群統計'!$A$20:$A$59,0))+INDEX('分群統計'!$G$20:$G$59,MATCH(B46,'分群統計'!$A$20:$A$59,0))*AU46,""),""),"")</f>
        <v/>
      </c>
      <c r="AI46" s="34">
        <f>IF(ISNUMBER(AH46),N46-AH46,"")</f>
        <v/>
      </c>
      <c r="AJ46" s="30">
        <f>IF(Y46=1,IFERROR(IF(ISNUMBER(INDEX('分群統計'!$G$5:$G$8,MATCH(X46,'分群統計'!$A$5:$A$8,0))),INDEX('分群統計'!$H$5:$H$8,MATCH(X46,'分群統計'!$A$5:$A$8,0))+INDEX('分群統計'!$G$5:$G$8,MATCH(X46,'分群統計'!$A$5:$A$8,0))*AU46,""),""),"")</f>
        <v/>
      </c>
      <c r="AK46" s="34">
        <f>IF(ISNUMBER(AJ46),N46-AJ46,"")</f>
        <v/>
      </c>
      <c r="AL46" s="21">
        <f>IF(ISNUMBER(AJ46),IF(AJ46&gt;0,AK46/AJ46,""),"")</f>
        <v/>
      </c>
      <c r="AM46" s="31">
        <f>IF(AY46&lt;&gt;1,"",IFERROR(IF(INDEX('分群統計'!$K$5:$K$8,MATCH(X46,'分群統計'!$A$5:$A$8,0))&lt;3,"",IF(INDEX('分群統計'!$M$5:$M$8,MATCH(X46,'分群統計'!$A$5:$A$8,0))&gt;0,MAX(-3,MIN(3,(AX46-INDEX('分群統計'!$L$5:$L$8,MATCH(X46,'分群統計'!$A$5:$A$8,0)))/INDEX('分群統計'!$M$5:$M$8,MATCH(X46,'分群統計'!$A$5:$A$8,0)))),0)),""))</f>
        <v/>
      </c>
      <c r="AN46" s="31">
        <f>IF(ISNUMBER(AB46),IF(Z46&gt;0,AB46/Z46*100,""),"")</f>
        <v/>
      </c>
      <c r="AO46" s="31">
        <f>IF(BA46&lt;&gt;1,"",IFERROR(IF(INDEX('分群統計'!$N$5:$N$8,MATCH(X46,'分群統計'!$A$5:$A$8,0))&lt;3,"",IF(INDEX('分群統計'!$P$5:$P$8,MATCH(X46,'分群統計'!$A$5:$A$8,0))&gt;0,MAX(-3,MIN(3,(AZ46-INDEX('分群統計'!$O$5:$O$8,MATCH(X46,'分群統計'!$A$5:$A$8,0)))/INDEX('分群統計'!$P$5:$P$8,MATCH(X46,'分群統計'!$A$5:$A$8,0)))),0)),""))</f>
        <v/>
      </c>
      <c r="AP46" s="31">
        <f>IF(BC46&lt;&gt;1,"",IFERROR(IF(INDEX('分群統計'!$Q$5:$Q$8,MATCH(X46,'分群統計'!$A$5:$A$8,0))&lt;3,"",IF(INDEX('分群統計'!$S$5:$S$8,MATCH(X46,'分群統計'!$A$5:$A$8,0))&gt;0,MAX(-3,MIN(3,(BB46-INDEX('分群統計'!$R$5:$R$8,MATCH(X46,'分群統計'!$A$5:$A$8,0)))/INDEX('分群統計'!$S$5:$S$8,MATCH(X46,'分群統計'!$A$5:$A$8,0)))),0)),""))</f>
        <v/>
      </c>
      <c r="AQ46" s="31">
        <f>IF(Y46=1,(IF(ISNUMBER(AF46),AF46,0)*'參數'!$B$13+IF(ISNUMBER(AM46),AM46,0)*'參數'!$B$14+IF(ISNUMBER(AO46),AO46,0)*'參數'!$B$15+IF(ISNUMBER(AP46),AP46,0)*'參數'!$B$16)/('參數'!$B$13+'參數'!$B$14+'參數'!$B$15+'參數'!$B$16),"")</f>
        <v/>
      </c>
      <c r="AR46" s="35">
        <f>IF(Y46=1,(SUMPRODUCT(($X$5:$X$404=X46)*($Y$5:$Y$404=1)*($BD$5:$BD$404&gt;BD46))+1)/COUNTIFS($X$5:$X$404,X46,$Y$5:$Y$404,1),"")</f>
        <v/>
      </c>
      <c r="AS46" s="8">
        <f>IF(ISNUMBER(AR46),IF(AR46&lt;='參數'!$B$18,"加碼候選",IF(AR46&gt;'參數'!$B$19,"減碼候選","")),"")</f>
        <v/>
      </c>
      <c r="AT46" s="7">
        <f>IF(Y46=1,N46,0)</f>
        <v/>
      </c>
      <c r="AU46" s="7">
        <f>IF(Y46=1,LN(O46),0)</f>
        <v/>
      </c>
      <c r="AV46" s="36">
        <f>IF(Y46=1,IF(ISNUMBER(F46),F46,0),0)</f>
        <v/>
      </c>
      <c r="AW46" s="7">
        <f>IF(Y46=1,Z46,0)</f>
        <v/>
      </c>
      <c r="AX46" s="7">
        <f>IF(Y46=1,IF(ISNUMBER(AL46),AL46,0),0)</f>
        <v/>
      </c>
      <c r="AY46" s="7">
        <f>IF(Y46=1,IF(ISNUMBER(AL46),1,0),0)</f>
        <v/>
      </c>
      <c r="AZ46" s="7">
        <f>IF(Y46=1,IF(ISNUMBER(AN46),AN46,0),0)</f>
        <v/>
      </c>
      <c r="BA46" s="7">
        <f>IF(Y46=1,IF(ISNUMBER(AN46),1,0),0)</f>
        <v/>
      </c>
      <c r="BB46" s="7">
        <f>IF(Y46=1,IF(ISNUMBER(T46),T46,0),0)</f>
        <v/>
      </c>
      <c r="BC46" s="7">
        <f>IF(Y46=1,IF(ISNUMBER(T46),1,0),0)</f>
        <v/>
      </c>
      <c r="BD46" s="7">
        <f>IF(Y46=1,AQ46+ROW()/1E9,-1E9)</f>
        <v/>
      </c>
      <c r="BE46" s="7">
        <f>IF(Y46=1,AQ46+ROW()/1E9,1E9)</f>
        <v/>
      </c>
    </row>
    <row r="47">
      <c r="A47" s="16" t="n"/>
      <c r="B47" s="8">
        <f>IF($A47="","",BDP($A47,B$3))</f>
        <v/>
      </c>
      <c r="C47" s="8">
        <f>IF($A47="","",BDP($A47,C$3))</f>
        <v/>
      </c>
      <c r="D47" s="28">
        <f>IF($A47="","",BDP($A47,D$3))</f>
        <v/>
      </c>
      <c r="E47" s="29">
        <f>IF($A47="","",BDP($A47,E$3))</f>
        <v/>
      </c>
      <c r="F47" s="17">
        <f>IF($A47="","",BDP($A47,F$3))</f>
        <v/>
      </c>
      <c r="G47" s="8">
        <f>IF($A47="","",BDP($A47,G$3))</f>
        <v/>
      </c>
      <c r="H47" s="8">
        <f>IF($A47="","",BDP($A47,H$3))</f>
        <v/>
      </c>
      <c r="I47" s="8">
        <f>IF($A47="","",BDP($A47,I$3))</f>
        <v/>
      </c>
      <c r="J47" s="8">
        <f>IF($A47="","",BDP($A47,J$3))</f>
        <v/>
      </c>
      <c r="K47" s="8">
        <f>IF($A47="","",BDP($A47,K$3))</f>
        <v/>
      </c>
      <c r="L47" s="28">
        <f>IF($A47="","",BDP($A47,L$3))</f>
        <v/>
      </c>
      <c r="M47" s="28">
        <f>IF($A47="","",BDP($A47,M$3))</f>
        <v/>
      </c>
      <c r="N47" s="30">
        <f>IF($A47="","",BDP($A47,N$3))</f>
        <v/>
      </c>
      <c r="O47" s="31">
        <f>IF($A47="","",BDP($A47,O$3))</f>
        <v/>
      </c>
      <c r="P47" s="30">
        <f>IF($A47="","",BDH($A47,$N$3,'參數'!$B$5,'參數'!$B$5,"Days=A","Fill=P","Dates=H"))</f>
        <v/>
      </c>
      <c r="Q47" s="30">
        <f>IF($A47="","",BDH($A47,$N$3,'參數'!$B$6,'參數'!$B$6,"Days=A","Fill=P","Dates=H"))</f>
        <v/>
      </c>
      <c r="R47" s="30">
        <f>IF($A47="","",BDH($A47,$N$3,'參數'!$B$7,'參數'!$B$7,"Days=A","Fill=P","Dates=H"))</f>
        <v/>
      </c>
      <c r="S47" s="32">
        <f>IF($A47="","",IFERROR(INDEX('發行人'!$A$5:$A$44,MATCH(B47,'發行人'!$D$5:$D$44,0)),"未對應"))</f>
        <v/>
      </c>
      <c r="T47" s="24">
        <f>IF($A47="","",IFERROR(INDEX('發行人'!$G$5:$G$44,MATCH(B47,'發行人'!$D$5:$D$44,0))+0,""))</f>
        <v/>
      </c>
      <c r="U47" s="18">
        <f>IF(ISNUMBER(E47),YEARFRAC('參數'!$B$4,E47),"")</f>
        <v/>
      </c>
      <c r="V47" s="8">
        <f>IF(U47="","",IF(U47&lt;3,"1-3y",IF(U47&lt;5,"3-5y",IF(U47&lt;7,"5-7y",IF(U47&lt;10,"7-10y","10y+")))))</f>
        <v/>
      </c>
      <c r="W47" s="30">
        <f>IF($A47="","",IFERROR(INDEX('參數'!$B$24:$B$45,MATCH(G47,'參數'!$A$24:$A$45,0)),""))</f>
        <v/>
      </c>
      <c r="X47" s="8">
        <f>IF($A47="","",IFERROR(INDEX('參數'!$C$24:$C$45,MATCH(G47,'參數'!$A$24:$A$45,0)),""))</f>
        <v/>
      </c>
      <c r="Y47" s="30">
        <f>IF(AND(ISNUMBER(N47),ISNUMBER(O47),ISNUMBER(U47)),IF(AND(O47&gt;0,X47&lt;&gt;""),1,0),0)</f>
        <v/>
      </c>
      <c r="Z47" s="17">
        <f>IF(Y47=1,O47*N47,"")</f>
        <v/>
      </c>
      <c r="AA47" s="33">
        <f>IF(Y47=1,IF(ISNUMBER(Q47),N47-Q47,""),"")</f>
        <v/>
      </c>
      <c r="AB47" s="33">
        <f>IF(Y47=1,IF(AND(ISNUMBER(P47),ISNUMBER(R47)),R47*5/12-O47*(P47-R47),""),"")</f>
        <v/>
      </c>
      <c r="AC47" s="30">
        <f>IF(Y47=1,COUNTIFS($X$5:$X$404,X47,$V$5:$V$404,V47,$Y$5:$Y$404,1),"")</f>
        <v/>
      </c>
      <c r="AD47" s="30">
        <f>IF(Y47=1,IFERROR(IF(AC47&gt;='參數'!$B$9,INDEX('分群統計'!$G$13:$K$16,MATCH(X47,'分群統計'!$A$13:$A$16,0),MATCH(V47,'分群統計'!$G$12:$K$12,0)),INDEX('分群統計'!$I$5:$I$8,MATCH(X47,'分群統計'!$A$5:$A$8,0))),""),"")</f>
        <v/>
      </c>
      <c r="AE47" s="18">
        <f>IF(Y47=1,IFERROR(IF(AC47&gt;='參數'!$B$9,INDEX('分群統計'!$L$13:$P$16,MATCH(X47,'分群統計'!$A$13:$A$16,0),MATCH(V47,'分群統計'!$L$12:$P$12,0)),INDEX('分群統計'!$J$5:$J$8,MATCH(X47,'分群統計'!$A$5:$A$8,0))),""),"")</f>
        <v/>
      </c>
      <c r="AF47" s="31">
        <f>IF(ISNUMBER(AE47),IF(AE47&gt;0,MAX(-3,MIN(3,(N47-AD47)/AE47)),0),"")</f>
        <v/>
      </c>
      <c r="AG47" s="30">
        <f>IF(Y47=1,COUNTIFS($B$5:$B$404,B47,$Y$5:$Y$404,1),"")</f>
        <v/>
      </c>
      <c r="AH47" s="30">
        <f>IF(Y47=1,IFERROR(IF(ISNUMBER(INDEX('分群統計'!$G$20:$G$59,MATCH(B47,'分群統計'!$A$20:$A$59,0))),INDEX('分群統計'!$H$20:$H$59,MATCH(B47,'分群統計'!$A$20:$A$59,0))+INDEX('分群統計'!$G$20:$G$59,MATCH(B47,'分群統計'!$A$20:$A$59,0))*AU47,""),""),"")</f>
        <v/>
      </c>
      <c r="AI47" s="34">
        <f>IF(ISNUMBER(AH47),N47-AH47,"")</f>
        <v/>
      </c>
      <c r="AJ47" s="30">
        <f>IF(Y47=1,IFERROR(IF(ISNUMBER(INDEX('分群統計'!$G$5:$G$8,MATCH(X47,'分群統計'!$A$5:$A$8,0))),INDEX('分群統計'!$H$5:$H$8,MATCH(X47,'分群統計'!$A$5:$A$8,0))+INDEX('分群統計'!$G$5:$G$8,MATCH(X47,'分群統計'!$A$5:$A$8,0))*AU47,""),""),"")</f>
        <v/>
      </c>
      <c r="AK47" s="34">
        <f>IF(ISNUMBER(AJ47),N47-AJ47,"")</f>
        <v/>
      </c>
      <c r="AL47" s="21">
        <f>IF(ISNUMBER(AJ47),IF(AJ47&gt;0,AK47/AJ47,""),"")</f>
        <v/>
      </c>
      <c r="AM47" s="31">
        <f>IF(AY47&lt;&gt;1,"",IFERROR(IF(INDEX('分群統計'!$K$5:$K$8,MATCH(X47,'分群統計'!$A$5:$A$8,0))&lt;3,"",IF(INDEX('分群統計'!$M$5:$M$8,MATCH(X47,'分群統計'!$A$5:$A$8,0))&gt;0,MAX(-3,MIN(3,(AX47-INDEX('分群統計'!$L$5:$L$8,MATCH(X47,'分群統計'!$A$5:$A$8,0)))/INDEX('分群統計'!$M$5:$M$8,MATCH(X47,'分群統計'!$A$5:$A$8,0)))),0)),""))</f>
        <v/>
      </c>
      <c r="AN47" s="31">
        <f>IF(ISNUMBER(AB47),IF(Z47&gt;0,AB47/Z47*100,""),"")</f>
        <v/>
      </c>
      <c r="AO47" s="31">
        <f>IF(BA47&lt;&gt;1,"",IFERROR(IF(INDEX('分群統計'!$N$5:$N$8,MATCH(X47,'分群統計'!$A$5:$A$8,0))&lt;3,"",IF(INDEX('分群統計'!$P$5:$P$8,MATCH(X47,'分群統計'!$A$5:$A$8,0))&gt;0,MAX(-3,MIN(3,(AZ47-INDEX('分群統計'!$O$5:$O$8,MATCH(X47,'分群統計'!$A$5:$A$8,0)))/INDEX('分群統計'!$P$5:$P$8,MATCH(X47,'分群統計'!$A$5:$A$8,0)))),0)),""))</f>
        <v/>
      </c>
      <c r="AP47" s="31">
        <f>IF(BC47&lt;&gt;1,"",IFERROR(IF(INDEX('分群統計'!$Q$5:$Q$8,MATCH(X47,'分群統計'!$A$5:$A$8,0))&lt;3,"",IF(INDEX('分群統計'!$S$5:$S$8,MATCH(X47,'分群統計'!$A$5:$A$8,0))&gt;0,MAX(-3,MIN(3,(BB47-INDEX('分群統計'!$R$5:$R$8,MATCH(X47,'分群統計'!$A$5:$A$8,0)))/INDEX('分群統計'!$S$5:$S$8,MATCH(X47,'分群統計'!$A$5:$A$8,0)))),0)),""))</f>
        <v/>
      </c>
      <c r="AQ47" s="31">
        <f>IF(Y47=1,(IF(ISNUMBER(AF47),AF47,0)*'參數'!$B$13+IF(ISNUMBER(AM47),AM47,0)*'參數'!$B$14+IF(ISNUMBER(AO47),AO47,0)*'參數'!$B$15+IF(ISNUMBER(AP47),AP47,0)*'參數'!$B$16)/('參數'!$B$13+'參數'!$B$14+'參數'!$B$15+'參數'!$B$16),"")</f>
        <v/>
      </c>
      <c r="AR47" s="35">
        <f>IF(Y47=1,(SUMPRODUCT(($X$5:$X$404=X47)*($Y$5:$Y$404=1)*($BD$5:$BD$404&gt;BD47))+1)/COUNTIFS($X$5:$X$404,X47,$Y$5:$Y$404,1),"")</f>
        <v/>
      </c>
      <c r="AS47" s="8">
        <f>IF(ISNUMBER(AR47),IF(AR47&lt;='參數'!$B$18,"加碼候選",IF(AR47&gt;'參數'!$B$19,"減碼候選","")),"")</f>
        <v/>
      </c>
      <c r="AT47" s="7">
        <f>IF(Y47=1,N47,0)</f>
        <v/>
      </c>
      <c r="AU47" s="7">
        <f>IF(Y47=1,LN(O47),0)</f>
        <v/>
      </c>
      <c r="AV47" s="36">
        <f>IF(Y47=1,IF(ISNUMBER(F47),F47,0),0)</f>
        <v/>
      </c>
      <c r="AW47" s="7">
        <f>IF(Y47=1,Z47,0)</f>
        <v/>
      </c>
      <c r="AX47" s="7">
        <f>IF(Y47=1,IF(ISNUMBER(AL47),AL47,0),0)</f>
        <v/>
      </c>
      <c r="AY47" s="7">
        <f>IF(Y47=1,IF(ISNUMBER(AL47),1,0),0)</f>
        <v/>
      </c>
      <c r="AZ47" s="7">
        <f>IF(Y47=1,IF(ISNUMBER(AN47),AN47,0),0)</f>
        <v/>
      </c>
      <c r="BA47" s="7">
        <f>IF(Y47=1,IF(ISNUMBER(AN47),1,0),0)</f>
        <v/>
      </c>
      <c r="BB47" s="7">
        <f>IF(Y47=1,IF(ISNUMBER(T47),T47,0),0)</f>
        <v/>
      </c>
      <c r="BC47" s="7">
        <f>IF(Y47=1,IF(ISNUMBER(T47),1,0),0)</f>
        <v/>
      </c>
      <c r="BD47" s="7">
        <f>IF(Y47=1,AQ47+ROW()/1E9,-1E9)</f>
        <v/>
      </c>
      <c r="BE47" s="7">
        <f>IF(Y47=1,AQ47+ROW()/1E9,1E9)</f>
        <v/>
      </c>
    </row>
    <row r="48">
      <c r="A48" s="16" t="n"/>
      <c r="B48" s="8">
        <f>IF($A48="","",BDP($A48,B$3))</f>
        <v/>
      </c>
      <c r="C48" s="8">
        <f>IF($A48="","",BDP($A48,C$3))</f>
        <v/>
      </c>
      <c r="D48" s="28">
        <f>IF($A48="","",BDP($A48,D$3))</f>
        <v/>
      </c>
      <c r="E48" s="29">
        <f>IF($A48="","",BDP($A48,E$3))</f>
        <v/>
      </c>
      <c r="F48" s="17">
        <f>IF($A48="","",BDP($A48,F$3))</f>
        <v/>
      </c>
      <c r="G48" s="8">
        <f>IF($A48="","",BDP($A48,G$3))</f>
        <v/>
      </c>
      <c r="H48" s="8">
        <f>IF($A48="","",BDP($A48,H$3))</f>
        <v/>
      </c>
      <c r="I48" s="8">
        <f>IF($A48="","",BDP($A48,I$3))</f>
        <v/>
      </c>
      <c r="J48" s="8">
        <f>IF($A48="","",BDP($A48,J$3))</f>
        <v/>
      </c>
      <c r="K48" s="8">
        <f>IF($A48="","",BDP($A48,K$3))</f>
        <v/>
      </c>
      <c r="L48" s="28">
        <f>IF($A48="","",BDP($A48,L$3))</f>
        <v/>
      </c>
      <c r="M48" s="28">
        <f>IF($A48="","",BDP($A48,M$3))</f>
        <v/>
      </c>
      <c r="N48" s="30">
        <f>IF($A48="","",BDP($A48,N$3))</f>
        <v/>
      </c>
      <c r="O48" s="31">
        <f>IF($A48="","",BDP($A48,O$3))</f>
        <v/>
      </c>
      <c r="P48" s="30">
        <f>IF($A48="","",BDH($A48,$N$3,'參數'!$B$5,'參數'!$B$5,"Days=A","Fill=P","Dates=H"))</f>
        <v/>
      </c>
      <c r="Q48" s="30">
        <f>IF($A48="","",BDH($A48,$N$3,'參數'!$B$6,'參數'!$B$6,"Days=A","Fill=P","Dates=H"))</f>
        <v/>
      </c>
      <c r="R48" s="30">
        <f>IF($A48="","",BDH($A48,$N$3,'參數'!$B$7,'參數'!$B$7,"Days=A","Fill=P","Dates=H"))</f>
        <v/>
      </c>
      <c r="S48" s="32">
        <f>IF($A48="","",IFERROR(INDEX('發行人'!$A$5:$A$44,MATCH(B48,'發行人'!$D$5:$D$44,0)),"未對應"))</f>
        <v/>
      </c>
      <c r="T48" s="24">
        <f>IF($A48="","",IFERROR(INDEX('發行人'!$G$5:$G$44,MATCH(B48,'發行人'!$D$5:$D$44,0))+0,""))</f>
        <v/>
      </c>
      <c r="U48" s="18">
        <f>IF(ISNUMBER(E48),YEARFRAC('參數'!$B$4,E48),"")</f>
        <v/>
      </c>
      <c r="V48" s="8">
        <f>IF(U48="","",IF(U48&lt;3,"1-3y",IF(U48&lt;5,"3-5y",IF(U48&lt;7,"5-7y",IF(U48&lt;10,"7-10y","10y+")))))</f>
        <v/>
      </c>
      <c r="W48" s="30">
        <f>IF($A48="","",IFERROR(INDEX('參數'!$B$24:$B$45,MATCH(G48,'參數'!$A$24:$A$45,0)),""))</f>
        <v/>
      </c>
      <c r="X48" s="8">
        <f>IF($A48="","",IFERROR(INDEX('參數'!$C$24:$C$45,MATCH(G48,'參數'!$A$24:$A$45,0)),""))</f>
        <v/>
      </c>
      <c r="Y48" s="30">
        <f>IF(AND(ISNUMBER(N48),ISNUMBER(O48),ISNUMBER(U48)),IF(AND(O48&gt;0,X48&lt;&gt;""),1,0),0)</f>
        <v/>
      </c>
      <c r="Z48" s="17">
        <f>IF(Y48=1,O48*N48,"")</f>
        <v/>
      </c>
      <c r="AA48" s="33">
        <f>IF(Y48=1,IF(ISNUMBER(Q48),N48-Q48,""),"")</f>
        <v/>
      </c>
      <c r="AB48" s="33">
        <f>IF(Y48=1,IF(AND(ISNUMBER(P48),ISNUMBER(R48)),R48*5/12-O48*(P48-R48),""),"")</f>
        <v/>
      </c>
      <c r="AC48" s="30">
        <f>IF(Y48=1,COUNTIFS($X$5:$X$404,X48,$V$5:$V$404,V48,$Y$5:$Y$404,1),"")</f>
        <v/>
      </c>
      <c r="AD48" s="30">
        <f>IF(Y48=1,IFERROR(IF(AC48&gt;='參數'!$B$9,INDEX('分群統計'!$G$13:$K$16,MATCH(X48,'分群統計'!$A$13:$A$16,0),MATCH(V48,'分群統計'!$G$12:$K$12,0)),INDEX('分群統計'!$I$5:$I$8,MATCH(X48,'分群統計'!$A$5:$A$8,0))),""),"")</f>
        <v/>
      </c>
      <c r="AE48" s="18">
        <f>IF(Y48=1,IFERROR(IF(AC48&gt;='參數'!$B$9,INDEX('分群統計'!$L$13:$P$16,MATCH(X48,'分群統計'!$A$13:$A$16,0),MATCH(V48,'分群統計'!$L$12:$P$12,0)),INDEX('分群統計'!$J$5:$J$8,MATCH(X48,'分群統計'!$A$5:$A$8,0))),""),"")</f>
        <v/>
      </c>
      <c r="AF48" s="31">
        <f>IF(ISNUMBER(AE48),IF(AE48&gt;0,MAX(-3,MIN(3,(N48-AD48)/AE48)),0),"")</f>
        <v/>
      </c>
      <c r="AG48" s="30">
        <f>IF(Y48=1,COUNTIFS($B$5:$B$404,B48,$Y$5:$Y$404,1),"")</f>
        <v/>
      </c>
      <c r="AH48" s="30">
        <f>IF(Y48=1,IFERROR(IF(ISNUMBER(INDEX('分群統計'!$G$20:$G$59,MATCH(B48,'分群統計'!$A$20:$A$59,0))),INDEX('分群統計'!$H$20:$H$59,MATCH(B48,'分群統計'!$A$20:$A$59,0))+INDEX('分群統計'!$G$20:$G$59,MATCH(B48,'分群統計'!$A$20:$A$59,0))*AU48,""),""),"")</f>
        <v/>
      </c>
      <c r="AI48" s="34">
        <f>IF(ISNUMBER(AH48),N48-AH48,"")</f>
        <v/>
      </c>
      <c r="AJ48" s="30">
        <f>IF(Y48=1,IFERROR(IF(ISNUMBER(INDEX('分群統計'!$G$5:$G$8,MATCH(X48,'分群統計'!$A$5:$A$8,0))),INDEX('分群統計'!$H$5:$H$8,MATCH(X48,'分群統計'!$A$5:$A$8,0))+INDEX('分群統計'!$G$5:$G$8,MATCH(X48,'分群統計'!$A$5:$A$8,0))*AU48,""),""),"")</f>
        <v/>
      </c>
      <c r="AK48" s="34">
        <f>IF(ISNUMBER(AJ48),N48-AJ48,"")</f>
        <v/>
      </c>
      <c r="AL48" s="21">
        <f>IF(ISNUMBER(AJ48),IF(AJ48&gt;0,AK48/AJ48,""),"")</f>
        <v/>
      </c>
      <c r="AM48" s="31">
        <f>IF(AY48&lt;&gt;1,"",IFERROR(IF(INDEX('分群統計'!$K$5:$K$8,MATCH(X48,'分群統計'!$A$5:$A$8,0))&lt;3,"",IF(INDEX('分群統計'!$M$5:$M$8,MATCH(X48,'分群統計'!$A$5:$A$8,0))&gt;0,MAX(-3,MIN(3,(AX48-INDEX('分群統計'!$L$5:$L$8,MATCH(X48,'分群統計'!$A$5:$A$8,0)))/INDEX('分群統計'!$M$5:$M$8,MATCH(X48,'分群統計'!$A$5:$A$8,0)))),0)),""))</f>
        <v/>
      </c>
      <c r="AN48" s="31">
        <f>IF(ISNUMBER(AB48),IF(Z48&gt;0,AB48/Z48*100,""),"")</f>
        <v/>
      </c>
      <c r="AO48" s="31">
        <f>IF(BA48&lt;&gt;1,"",IFERROR(IF(INDEX('分群統計'!$N$5:$N$8,MATCH(X48,'分群統計'!$A$5:$A$8,0))&lt;3,"",IF(INDEX('分群統計'!$P$5:$P$8,MATCH(X48,'分群統計'!$A$5:$A$8,0))&gt;0,MAX(-3,MIN(3,(AZ48-INDEX('分群統計'!$O$5:$O$8,MATCH(X48,'分群統計'!$A$5:$A$8,0)))/INDEX('分群統計'!$P$5:$P$8,MATCH(X48,'分群統計'!$A$5:$A$8,0)))),0)),""))</f>
        <v/>
      </c>
      <c r="AP48" s="31">
        <f>IF(BC48&lt;&gt;1,"",IFERROR(IF(INDEX('分群統計'!$Q$5:$Q$8,MATCH(X48,'分群統計'!$A$5:$A$8,0))&lt;3,"",IF(INDEX('分群統計'!$S$5:$S$8,MATCH(X48,'分群統計'!$A$5:$A$8,0))&gt;0,MAX(-3,MIN(3,(BB48-INDEX('分群統計'!$R$5:$R$8,MATCH(X48,'分群統計'!$A$5:$A$8,0)))/INDEX('分群統計'!$S$5:$S$8,MATCH(X48,'分群統計'!$A$5:$A$8,0)))),0)),""))</f>
        <v/>
      </c>
      <c r="AQ48" s="31">
        <f>IF(Y48=1,(IF(ISNUMBER(AF48),AF48,0)*'參數'!$B$13+IF(ISNUMBER(AM48),AM48,0)*'參數'!$B$14+IF(ISNUMBER(AO48),AO48,0)*'參數'!$B$15+IF(ISNUMBER(AP48),AP48,0)*'參數'!$B$16)/('參數'!$B$13+'參數'!$B$14+'參數'!$B$15+'參數'!$B$16),"")</f>
        <v/>
      </c>
      <c r="AR48" s="35">
        <f>IF(Y48=1,(SUMPRODUCT(($X$5:$X$404=X48)*($Y$5:$Y$404=1)*($BD$5:$BD$404&gt;BD48))+1)/COUNTIFS($X$5:$X$404,X48,$Y$5:$Y$404,1),"")</f>
        <v/>
      </c>
      <c r="AS48" s="8">
        <f>IF(ISNUMBER(AR48),IF(AR48&lt;='參數'!$B$18,"加碼候選",IF(AR48&gt;'參數'!$B$19,"減碼候選","")),"")</f>
        <v/>
      </c>
      <c r="AT48" s="7">
        <f>IF(Y48=1,N48,0)</f>
        <v/>
      </c>
      <c r="AU48" s="7">
        <f>IF(Y48=1,LN(O48),0)</f>
        <v/>
      </c>
      <c r="AV48" s="36">
        <f>IF(Y48=1,IF(ISNUMBER(F48),F48,0),0)</f>
        <v/>
      </c>
      <c r="AW48" s="7">
        <f>IF(Y48=1,Z48,0)</f>
        <v/>
      </c>
      <c r="AX48" s="7">
        <f>IF(Y48=1,IF(ISNUMBER(AL48),AL48,0),0)</f>
        <v/>
      </c>
      <c r="AY48" s="7">
        <f>IF(Y48=1,IF(ISNUMBER(AL48),1,0),0)</f>
        <v/>
      </c>
      <c r="AZ48" s="7">
        <f>IF(Y48=1,IF(ISNUMBER(AN48),AN48,0),0)</f>
        <v/>
      </c>
      <c r="BA48" s="7">
        <f>IF(Y48=1,IF(ISNUMBER(AN48),1,0),0)</f>
        <v/>
      </c>
      <c r="BB48" s="7">
        <f>IF(Y48=1,IF(ISNUMBER(T48),T48,0),0)</f>
        <v/>
      </c>
      <c r="BC48" s="7">
        <f>IF(Y48=1,IF(ISNUMBER(T48),1,0),0)</f>
        <v/>
      </c>
      <c r="BD48" s="7">
        <f>IF(Y48=1,AQ48+ROW()/1E9,-1E9)</f>
        <v/>
      </c>
      <c r="BE48" s="7">
        <f>IF(Y48=1,AQ48+ROW()/1E9,1E9)</f>
        <v/>
      </c>
    </row>
    <row r="49">
      <c r="A49" s="16" t="n"/>
      <c r="B49" s="8">
        <f>IF($A49="","",BDP($A49,B$3))</f>
        <v/>
      </c>
      <c r="C49" s="8">
        <f>IF($A49="","",BDP($A49,C$3))</f>
        <v/>
      </c>
      <c r="D49" s="28">
        <f>IF($A49="","",BDP($A49,D$3))</f>
        <v/>
      </c>
      <c r="E49" s="29">
        <f>IF($A49="","",BDP($A49,E$3))</f>
        <v/>
      </c>
      <c r="F49" s="17">
        <f>IF($A49="","",BDP($A49,F$3))</f>
        <v/>
      </c>
      <c r="G49" s="8">
        <f>IF($A49="","",BDP($A49,G$3))</f>
        <v/>
      </c>
      <c r="H49" s="8">
        <f>IF($A49="","",BDP($A49,H$3))</f>
        <v/>
      </c>
      <c r="I49" s="8">
        <f>IF($A49="","",BDP($A49,I$3))</f>
        <v/>
      </c>
      <c r="J49" s="8">
        <f>IF($A49="","",BDP($A49,J$3))</f>
        <v/>
      </c>
      <c r="K49" s="8">
        <f>IF($A49="","",BDP($A49,K$3))</f>
        <v/>
      </c>
      <c r="L49" s="28">
        <f>IF($A49="","",BDP($A49,L$3))</f>
        <v/>
      </c>
      <c r="M49" s="28">
        <f>IF($A49="","",BDP($A49,M$3))</f>
        <v/>
      </c>
      <c r="N49" s="30">
        <f>IF($A49="","",BDP($A49,N$3))</f>
        <v/>
      </c>
      <c r="O49" s="31">
        <f>IF($A49="","",BDP($A49,O$3))</f>
        <v/>
      </c>
      <c r="P49" s="30">
        <f>IF($A49="","",BDH($A49,$N$3,'參數'!$B$5,'參數'!$B$5,"Days=A","Fill=P","Dates=H"))</f>
        <v/>
      </c>
      <c r="Q49" s="30">
        <f>IF($A49="","",BDH($A49,$N$3,'參數'!$B$6,'參數'!$B$6,"Days=A","Fill=P","Dates=H"))</f>
        <v/>
      </c>
      <c r="R49" s="30">
        <f>IF($A49="","",BDH($A49,$N$3,'參數'!$B$7,'參數'!$B$7,"Days=A","Fill=P","Dates=H"))</f>
        <v/>
      </c>
      <c r="S49" s="32">
        <f>IF($A49="","",IFERROR(INDEX('發行人'!$A$5:$A$44,MATCH(B49,'發行人'!$D$5:$D$44,0)),"未對應"))</f>
        <v/>
      </c>
      <c r="T49" s="24">
        <f>IF($A49="","",IFERROR(INDEX('發行人'!$G$5:$G$44,MATCH(B49,'發行人'!$D$5:$D$44,0))+0,""))</f>
        <v/>
      </c>
      <c r="U49" s="18">
        <f>IF(ISNUMBER(E49),YEARFRAC('參數'!$B$4,E49),"")</f>
        <v/>
      </c>
      <c r="V49" s="8">
        <f>IF(U49="","",IF(U49&lt;3,"1-3y",IF(U49&lt;5,"3-5y",IF(U49&lt;7,"5-7y",IF(U49&lt;10,"7-10y","10y+")))))</f>
        <v/>
      </c>
      <c r="W49" s="30">
        <f>IF($A49="","",IFERROR(INDEX('參數'!$B$24:$B$45,MATCH(G49,'參數'!$A$24:$A$45,0)),""))</f>
        <v/>
      </c>
      <c r="X49" s="8">
        <f>IF($A49="","",IFERROR(INDEX('參數'!$C$24:$C$45,MATCH(G49,'參數'!$A$24:$A$45,0)),""))</f>
        <v/>
      </c>
      <c r="Y49" s="30">
        <f>IF(AND(ISNUMBER(N49),ISNUMBER(O49),ISNUMBER(U49)),IF(AND(O49&gt;0,X49&lt;&gt;""),1,0),0)</f>
        <v/>
      </c>
      <c r="Z49" s="17">
        <f>IF(Y49=1,O49*N49,"")</f>
        <v/>
      </c>
      <c r="AA49" s="33">
        <f>IF(Y49=1,IF(ISNUMBER(Q49),N49-Q49,""),"")</f>
        <v/>
      </c>
      <c r="AB49" s="33">
        <f>IF(Y49=1,IF(AND(ISNUMBER(P49),ISNUMBER(R49)),R49*5/12-O49*(P49-R49),""),"")</f>
        <v/>
      </c>
      <c r="AC49" s="30">
        <f>IF(Y49=1,COUNTIFS($X$5:$X$404,X49,$V$5:$V$404,V49,$Y$5:$Y$404,1),"")</f>
        <v/>
      </c>
      <c r="AD49" s="30">
        <f>IF(Y49=1,IFERROR(IF(AC49&gt;='參數'!$B$9,INDEX('分群統計'!$G$13:$K$16,MATCH(X49,'分群統計'!$A$13:$A$16,0),MATCH(V49,'分群統計'!$G$12:$K$12,0)),INDEX('分群統計'!$I$5:$I$8,MATCH(X49,'分群統計'!$A$5:$A$8,0))),""),"")</f>
        <v/>
      </c>
      <c r="AE49" s="18">
        <f>IF(Y49=1,IFERROR(IF(AC49&gt;='參數'!$B$9,INDEX('分群統計'!$L$13:$P$16,MATCH(X49,'分群統計'!$A$13:$A$16,0),MATCH(V49,'分群統計'!$L$12:$P$12,0)),INDEX('分群統計'!$J$5:$J$8,MATCH(X49,'分群統計'!$A$5:$A$8,0))),""),"")</f>
        <v/>
      </c>
      <c r="AF49" s="31">
        <f>IF(ISNUMBER(AE49),IF(AE49&gt;0,MAX(-3,MIN(3,(N49-AD49)/AE49)),0),"")</f>
        <v/>
      </c>
      <c r="AG49" s="30">
        <f>IF(Y49=1,COUNTIFS($B$5:$B$404,B49,$Y$5:$Y$404,1),"")</f>
        <v/>
      </c>
      <c r="AH49" s="30">
        <f>IF(Y49=1,IFERROR(IF(ISNUMBER(INDEX('分群統計'!$G$20:$G$59,MATCH(B49,'分群統計'!$A$20:$A$59,0))),INDEX('分群統計'!$H$20:$H$59,MATCH(B49,'分群統計'!$A$20:$A$59,0))+INDEX('分群統計'!$G$20:$G$59,MATCH(B49,'分群統計'!$A$20:$A$59,0))*AU49,""),""),"")</f>
        <v/>
      </c>
      <c r="AI49" s="34">
        <f>IF(ISNUMBER(AH49),N49-AH49,"")</f>
        <v/>
      </c>
      <c r="AJ49" s="30">
        <f>IF(Y49=1,IFERROR(IF(ISNUMBER(INDEX('分群統計'!$G$5:$G$8,MATCH(X49,'分群統計'!$A$5:$A$8,0))),INDEX('分群統計'!$H$5:$H$8,MATCH(X49,'分群統計'!$A$5:$A$8,0))+INDEX('分群統計'!$G$5:$G$8,MATCH(X49,'分群統計'!$A$5:$A$8,0))*AU49,""),""),"")</f>
        <v/>
      </c>
      <c r="AK49" s="34">
        <f>IF(ISNUMBER(AJ49),N49-AJ49,"")</f>
        <v/>
      </c>
      <c r="AL49" s="21">
        <f>IF(ISNUMBER(AJ49),IF(AJ49&gt;0,AK49/AJ49,""),"")</f>
        <v/>
      </c>
      <c r="AM49" s="31">
        <f>IF(AY49&lt;&gt;1,"",IFERROR(IF(INDEX('分群統計'!$K$5:$K$8,MATCH(X49,'分群統計'!$A$5:$A$8,0))&lt;3,"",IF(INDEX('分群統計'!$M$5:$M$8,MATCH(X49,'分群統計'!$A$5:$A$8,0))&gt;0,MAX(-3,MIN(3,(AX49-INDEX('分群統計'!$L$5:$L$8,MATCH(X49,'分群統計'!$A$5:$A$8,0)))/INDEX('分群統計'!$M$5:$M$8,MATCH(X49,'分群統計'!$A$5:$A$8,0)))),0)),""))</f>
        <v/>
      </c>
      <c r="AN49" s="31">
        <f>IF(ISNUMBER(AB49),IF(Z49&gt;0,AB49/Z49*100,""),"")</f>
        <v/>
      </c>
      <c r="AO49" s="31">
        <f>IF(BA49&lt;&gt;1,"",IFERROR(IF(INDEX('分群統計'!$N$5:$N$8,MATCH(X49,'分群統計'!$A$5:$A$8,0))&lt;3,"",IF(INDEX('分群統計'!$P$5:$P$8,MATCH(X49,'分群統計'!$A$5:$A$8,0))&gt;0,MAX(-3,MIN(3,(AZ49-INDEX('分群統計'!$O$5:$O$8,MATCH(X49,'分群統計'!$A$5:$A$8,0)))/INDEX('分群統計'!$P$5:$P$8,MATCH(X49,'分群統計'!$A$5:$A$8,0)))),0)),""))</f>
        <v/>
      </c>
      <c r="AP49" s="31">
        <f>IF(BC49&lt;&gt;1,"",IFERROR(IF(INDEX('分群統計'!$Q$5:$Q$8,MATCH(X49,'分群統計'!$A$5:$A$8,0))&lt;3,"",IF(INDEX('分群統計'!$S$5:$S$8,MATCH(X49,'分群統計'!$A$5:$A$8,0))&gt;0,MAX(-3,MIN(3,(BB49-INDEX('分群統計'!$R$5:$R$8,MATCH(X49,'分群統計'!$A$5:$A$8,0)))/INDEX('分群統計'!$S$5:$S$8,MATCH(X49,'分群統計'!$A$5:$A$8,0)))),0)),""))</f>
        <v/>
      </c>
      <c r="AQ49" s="31">
        <f>IF(Y49=1,(IF(ISNUMBER(AF49),AF49,0)*'參數'!$B$13+IF(ISNUMBER(AM49),AM49,0)*'參數'!$B$14+IF(ISNUMBER(AO49),AO49,0)*'參數'!$B$15+IF(ISNUMBER(AP49),AP49,0)*'參數'!$B$16)/('參數'!$B$13+'參數'!$B$14+'參數'!$B$15+'參數'!$B$16),"")</f>
        <v/>
      </c>
      <c r="AR49" s="35">
        <f>IF(Y49=1,(SUMPRODUCT(($X$5:$X$404=X49)*($Y$5:$Y$404=1)*($BD$5:$BD$404&gt;BD49))+1)/COUNTIFS($X$5:$X$404,X49,$Y$5:$Y$404,1),"")</f>
        <v/>
      </c>
      <c r="AS49" s="8">
        <f>IF(ISNUMBER(AR49),IF(AR49&lt;='參數'!$B$18,"加碼候選",IF(AR49&gt;'參數'!$B$19,"減碼候選","")),"")</f>
        <v/>
      </c>
      <c r="AT49" s="7">
        <f>IF(Y49=1,N49,0)</f>
        <v/>
      </c>
      <c r="AU49" s="7">
        <f>IF(Y49=1,LN(O49),0)</f>
        <v/>
      </c>
      <c r="AV49" s="36">
        <f>IF(Y49=1,IF(ISNUMBER(F49),F49,0),0)</f>
        <v/>
      </c>
      <c r="AW49" s="7">
        <f>IF(Y49=1,Z49,0)</f>
        <v/>
      </c>
      <c r="AX49" s="7">
        <f>IF(Y49=1,IF(ISNUMBER(AL49),AL49,0),0)</f>
        <v/>
      </c>
      <c r="AY49" s="7">
        <f>IF(Y49=1,IF(ISNUMBER(AL49),1,0),0)</f>
        <v/>
      </c>
      <c r="AZ49" s="7">
        <f>IF(Y49=1,IF(ISNUMBER(AN49),AN49,0),0)</f>
        <v/>
      </c>
      <c r="BA49" s="7">
        <f>IF(Y49=1,IF(ISNUMBER(AN49),1,0),0)</f>
        <v/>
      </c>
      <c r="BB49" s="7">
        <f>IF(Y49=1,IF(ISNUMBER(T49),T49,0),0)</f>
        <v/>
      </c>
      <c r="BC49" s="7">
        <f>IF(Y49=1,IF(ISNUMBER(T49),1,0),0)</f>
        <v/>
      </c>
      <c r="BD49" s="7">
        <f>IF(Y49=1,AQ49+ROW()/1E9,-1E9)</f>
        <v/>
      </c>
      <c r="BE49" s="7">
        <f>IF(Y49=1,AQ49+ROW()/1E9,1E9)</f>
        <v/>
      </c>
    </row>
    <row r="50">
      <c r="A50" s="16" t="n"/>
      <c r="B50" s="8">
        <f>IF($A50="","",BDP($A50,B$3))</f>
        <v/>
      </c>
      <c r="C50" s="8">
        <f>IF($A50="","",BDP($A50,C$3))</f>
        <v/>
      </c>
      <c r="D50" s="28">
        <f>IF($A50="","",BDP($A50,D$3))</f>
        <v/>
      </c>
      <c r="E50" s="29">
        <f>IF($A50="","",BDP($A50,E$3))</f>
        <v/>
      </c>
      <c r="F50" s="17">
        <f>IF($A50="","",BDP($A50,F$3))</f>
        <v/>
      </c>
      <c r="G50" s="8">
        <f>IF($A50="","",BDP($A50,G$3))</f>
        <v/>
      </c>
      <c r="H50" s="8">
        <f>IF($A50="","",BDP($A50,H$3))</f>
        <v/>
      </c>
      <c r="I50" s="8">
        <f>IF($A50="","",BDP($A50,I$3))</f>
        <v/>
      </c>
      <c r="J50" s="8">
        <f>IF($A50="","",BDP($A50,J$3))</f>
        <v/>
      </c>
      <c r="K50" s="8">
        <f>IF($A50="","",BDP($A50,K$3))</f>
        <v/>
      </c>
      <c r="L50" s="28">
        <f>IF($A50="","",BDP($A50,L$3))</f>
        <v/>
      </c>
      <c r="M50" s="28">
        <f>IF($A50="","",BDP($A50,M$3))</f>
        <v/>
      </c>
      <c r="N50" s="30">
        <f>IF($A50="","",BDP($A50,N$3))</f>
        <v/>
      </c>
      <c r="O50" s="31">
        <f>IF($A50="","",BDP($A50,O$3))</f>
        <v/>
      </c>
      <c r="P50" s="30">
        <f>IF($A50="","",BDH($A50,$N$3,'參數'!$B$5,'參數'!$B$5,"Days=A","Fill=P","Dates=H"))</f>
        <v/>
      </c>
      <c r="Q50" s="30">
        <f>IF($A50="","",BDH($A50,$N$3,'參數'!$B$6,'參數'!$B$6,"Days=A","Fill=P","Dates=H"))</f>
        <v/>
      </c>
      <c r="R50" s="30">
        <f>IF($A50="","",BDH($A50,$N$3,'參數'!$B$7,'參數'!$B$7,"Days=A","Fill=P","Dates=H"))</f>
        <v/>
      </c>
      <c r="S50" s="32">
        <f>IF($A50="","",IFERROR(INDEX('發行人'!$A$5:$A$44,MATCH(B50,'發行人'!$D$5:$D$44,0)),"未對應"))</f>
        <v/>
      </c>
      <c r="T50" s="24">
        <f>IF($A50="","",IFERROR(INDEX('發行人'!$G$5:$G$44,MATCH(B50,'發行人'!$D$5:$D$44,0))+0,""))</f>
        <v/>
      </c>
      <c r="U50" s="18">
        <f>IF(ISNUMBER(E50),YEARFRAC('參數'!$B$4,E50),"")</f>
        <v/>
      </c>
      <c r="V50" s="8">
        <f>IF(U50="","",IF(U50&lt;3,"1-3y",IF(U50&lt;5,"3-5y",IF(U50&lt;7,"5-7y",IF(U50&lt;10,"7-10y","10y+")))))</f>
        <v/>
      </c>
      <c r="W50" s="30">
        <f>IF($A50="","",IFERROR(INDEX('參數'!$B$24:$B$45,MATCH(G50,'參數'!$A$24:$A$45,0)),""))</f>
        <v/>
      </c>
      <c r="X50" s="8">
        <f>IF($A50="","",IFERROR(INDEX('參數'!$C$24:$C$45,MATCH(G50,'參數'!$A$24:$A$45,0)),""))</f>
        <v/>
      </c>
      <c r="Y50" s="30">
        <f>IF(AND(ISNUMBER(N50),ISNUMBER(O50),ISNUMBER(U50)),IF(AND(O50&gt;0,X50&lt;&gt;""),1,0),0)</f>
        <v/>
      </c>
      <c r="Z50" s="17">
        <f>IF(Y50=1,O50*N50,"")</f>
        <v/>
      </c>
      <c r="AA50" s="33">
        <f>IF(Y50=1,IF(ISNUMBER(Q50),N50-Q50,""),"")</f>
        <v/>
      </c>
      <c r="AB50" s="33">
        <f>IF(Y50=1,IF(AND(ISNUMBER(P50),ISNUMBER(R50)),R50*5/12-O50*(P50-R50),""),"")</f>
        <v/>
      </c>
      <c r="AC50" s="30">
        <f>IF(Y50=1,COUNTIFS($X$5:$X$404,X50,$V$5:$V$404,V50,$Y$5:$Y$404,1),"")</f>
        <v/>
      </c>
      <c r="AD50" s="30">
        <f>IF(Y50=1,IFERROR(IF(AC50&gt;='參數'!$B$9,INDEX('分群統計'!$G$13:$K$16,MATCH(X50,'分群統計'!$A$13:$A$16,0),MATCH(V50,'分群統計'!$G$12:$K$12,0)),INDEX('分群統計'!$I$5:$I$8,MATCH(X50,'分群統計'!$A$5:$A$8,0))),""),"")</f>
        <v/>
      </c>
      <c r="AE50" s="18">
        <f>IF(Y50=1,IFERROR(IF(AC50&gt;='參數'!$B$9,INDEX('分群統計'!$L$13:$P$16,MATCH(X50,'分群統計'!$A$13:$A$16,0),MATCH(V50,'分群統計'!$L$12:$P$12,0)),INDEX('分群統計'!$J$5:$J$8,MATCH(X50,'分群統計'!$A$5:$A$8,0))),""),"")</f>
        <v/>
      </c>
      <c r="AF50" s="31">
        <f>IF(ISNUMBER(AE50),IF(AE50&gt;0,MAX(-3,MIN(3,(N50-AD50)/AE50)),0),"")</f>
        <v/>
      </c>
      <c r="AG50" s="30">
        <f>IF(Y50=1,COUNTIFS($B$5:$B$404,B50,$Y$5:$Y$404,1),"")</f>
        <v/>
      </c>
      <c r="AH50" s="30">
        <f>IF(Y50=1,IFERROR(IF(ISNUMBER(INDEX('分群統計'!$G$20:$G$59,MATCH(B50,'分群統計'!$A$20:$A$59,0))),INDEX('分群統計'!$H$20:$H$59,MATCH(B50,'分群統計'!$A$20:$A$59,0))+INDEX('分群統計'!$G$20:$G$59,MATCH(B50,'分群統計'!$A$20:$A$59,0))*AU50,""),""),"")</f>
        <v/>
      </c>
      <c r="AI50" s="34">
        <f>IF(ISNUMBER(AH50),N50-AH50,"")</f>
        <v/>
      </c>
      <c r="AJ50" s="30">
        <f>IF(Y50=1,IFERROR(IF(ISNUMBER(INDEX('分群統計'!$G$5:$G$8,MATCH(X50,'分群統計'!$A$5:$A$8,0))),INDEX('分群統計'!$H$5:$H$8,MATCH(X50,'分群統計'!$A$5:$A$8,0))+INDEX('分群統計'!$G$5:$G$8,MATCH(X50,'分群統計'!$A$5:$A$8,0))*AU50,""),""),"")</f>
        <v/>
      </c>
      <c r="AK50" s="34">
        <f>IF(ISNUMBER(AJ50),N50-AJ50,"")</f>
        <v/>
      </c>
      <c r="AL50" s="21">
        <f>IF(ISNUMBER(AJ50),IF(AJ50&gt;0,AK50/AJ50,""),"")</f>
        <v/>
      </c>
      <c r="AM50" s="31">
        <f>IF(AY50&lt;&gt;1,"",IFERROR(IF(INDEX('分群統計'!$K$5:$K$8,MATCH(X50,'分群統計'!$A$5:$A$8,0))&lt;3,"",IF(INDEX('分群統計'!$M$5:$M$8,MATCH(X50,'分群統計'!$A$5:$A$8,0))&gt;0,MAX(-3,MIN(3,(AX50-INDEX('分群統計'!$L$5:$L$8,MATCH(X50,'分群統計'!$A$5:$A$8,0)))/INDEX('分群統計'!$M$5:$M$8,MATCH(X50,'分群統計'!$A$5:$A$8,0)))),0)),""))</f>
        <v/>
      </c>
      <c r="AN50" s="31">
        <f>IF(ISNUMBER(AB50),IF(Z50&gt;0,AB50/Z50*100,""),"")</f>
        <v/>
      </c>
      <c r="AO50" s="31">
        <f>IF(BA50&lt;&gt;1,"",IFERROR(IF(INDEX('分群統計'!$N$5:$N$8,MATCH(X50,'分群統計'!$A$5:$A$8,0))&lt;3,"",IF(INDEX('分群統計'!$P$5:$P$8,MATCH(X50,'分群統計'!$A$5:$A$8,0))&gt;0,MAX(-3,MIN(3,(AZ50-INDEX('分群統計'!$O$5:$O$8,MATCH(X50,'分群統計'!$A$5:$A$8,0)))/INDEX('分群統計'!$P$5:$P$8,MATCH(X50,'分群統計'!$A$5:$A$8,0)))),0)),""))</f>
        <v/>
      </c>
      <c r="AP50" s="31">
        <f>IF(BC50&lt;&gt;1,"",IFERROR(IF(INDEX('分群統計'!$Q$5:$Q$8,MATCH(X50,'分群統計'!$A$5:$A$8,0))&lt;3,"",IF(INDEX('分群統計'!$S$5:$S$8,MATCH(X50,'分群統計'!$A$5:$A$8,0))&gt;0,MAX(-3,MIN(3,(BB50-INDEX('分群統計'!$R$5:$R$8,MATCH(X50,'分群統計'!$A$5:$A$8,0)))/INDEX('分群統計'!$S$5:$S$8,MATCH(X50,'分群統計'!$A$5:$A$8,0)))),0)),""))</f>
        <v/>
      </c>
      <c r="AQ50" s="31">
        <f>IF(Y50=1,(IF(ISNUMBER(AF50),AF50,0)*'參數'!$B$13+IF(ISNUMBER(AM50),AM50,0)*'參數'!$B$14+IF(ISNUMBER(AO50),AO50,0)*'參數'!$B$15+IF(ISNUMBER(AP50),AP50,0)*'參數'!$B$16)/('參數'!$B$13+'參數'!$B$14+'參數'!$B$15+'參數'!$B$16),"")</f>
        <v/>
      </c>
      <c r="AR50" s="35">
        <f>IF(Y50=1,(SUMPRODUCT(($X$5:$X$404=X50)*($Y$5:$Y$404=1)*($BD$5:$BD$404&gt;BD50))+1)/COUNTIFS($X$5:$X$404,X50,$Y$5:$Y$404,1),"")</f>
        <v/>
      </c>
      <c r="AS50" s="8">
        <f>IF(ISNUMBER(AR50),IF(AR50&lt;='參數'!$B$18,"加碼候選",IF(AR50&gt;'參數'!$B$19,"減碼候選","")),"")</f>
        <v/>
      </c>
      <c r="AT50" s="7">
        <f>IF(Y50=1,N50,0)</f>
        <v/>
      </c>
      <c r="AU50" s="7">
        <f>IF(Y50=1,LN(O50),0)</f>
        <v/>
      </c>
      <c r="AV50" s="36">
        <f>IF(Y50=1,IF(ISNUMBER(F50),F50,0),0)</f>
        <v/>
      </c>
      <c r="AW50" s="7">
        <f>IF(Y50=1,Z50,0)</f>
        <v/>
      </c>
      <c r="AX50" s="7">
        <f>IF(Y50=1,IF(ISNUMBER(AL50),AL50,0),0)</f>
        <v/>
      </c>
      <c r="AY50" s="7">
        <f>IF(Y50=1,IF(ISNUMBER(AL50),1,0),0)</f>
        <v/>
      </c>
      <c r="AZ50" s="7">
        <f>IF(Y50=1,IF(ISNUMBER(AN50),AN50,0),0)</f>
        <v/>
      </c>
      <c r="BA50" s="7">
        <f>IF(Y50=1,IF(ISNUMBER(AN50),1,0),0)</f>
        <v/>
      </c>
      <c r="BB50" s="7">
        <f>IF(Y50=1,IF(ISNUMBER(T50),T50,0),0)</f>
        <v/>
      </c>
      <c r="BC50" s="7">
        <f>IF(Y50=1,IF(ISNUMBER(T50),1,0),0)</f>
        <v/>
      </c>
      <c r="BD50" s="7">
        <f>IF(Y50=1,AQ50+ROW()/1E9,-1E9)</f>
        <v/>
      </c>
      <c r="BE50" s="7">
        <f>IF(Y50=1,AQ50+ROW()/1E9,1E9)</f>
        <v/>
      </c>
    </row>
    <row r="51">
      <c r="A51" s="16" t="n"/>
      <c r="B51" s="8">
        <f>IF($A51="","",BDP($A51,B$3))</f>
        <v/>
      </c>
      <c r="C51" s="8">
        <f>IF($A51="","",BDP($A51,C$3))</f>
        <v/>
      </c>
      <c r="D51" s="28">
        <f>IF($A51="","",BDP($A51,D$3))</f>
        <v/>
      </c>
      <c r="E51" s="29">
        <f>IF($A51="","",BDP($A51,E$3))</f>
        <v/>
      </c>
      <c r="F51" s="17">
        <f>IF($A51="","",BDP($A51,F$3))</f>
        <v/>
      </c>
      <c r="G51" s="8">
        <f>IF($A51="","",BDP($A51,G$3))</f>
        <v/>
      </c>
      <c r="H51" s="8">
        <f>IF($A51="","",BDP($A51,H$3))</f>
        <v/>
      </c>
      <c r="I51" s="8">
        <f>IF($A51="","",BDP($A51,I$3))</f>
        <v/>
      </c>
      <c r="J51" s="8">
        <f>IF($A51="","",BDP($A51,J$3))</f>
        <v/>
      </c>
      <c r="K51" s="8">
        <f>IF($A51="","",BDP($A51,K$3))</f>
        <v/>
      </c>
      <c r="L51" s="28">
        <f>IF($A51="","",BDP($A51,L$3))</f>
        <v/>
      </c>
      <c r="M51" s="28">
        <f>IF($A51="","",BDP($A51,M$3))</f>
        <v/>
      </c>
      <c r="N51" s="30">
        <f>IF($A51="","",BDP($A51,N$3))</f>
        <v/>
      </c>
      <c r="O51" s="31">
        <f>IF($A51="","",BDP($A51,O$3))</f>
        <v/>
      </c>
      <c r="P51" s="30">
        <f>IF($A51="","",BDH($A51,$N$3,'參數'!$B$5,'參數'!$B$5,"Days=A","Fill=P","Dates=H"))</f>
        <v/>
      </c>
      <c r="Q51" s="30">
        <f>IF($A51="","",BDH($A51,$N$3,'參數'!$B$6,'參數'!$B$6,"Days=A","Fill=P","Dates=H"))</f>
        <v/>
      </c>
      <c r="R51" s="30">
        <f>IF($A51="","",BDH($A51,$N$3,'參數'!$B$7,'參數'!$B$7,"Days=A","Fill=P","Dates=H"))</f>
        <v/>
      </c>
      <c r="S51" s="32">
        <f>IF($A51="","",IFERROR(INDEX('發行人'!$A$5:$A$44,MATCH(B51,'發行人'!$D$5:$D$44,0)),"未對應"))</f>
        <v/>
      </c>
      <c r="T51" s="24">
        <f>IF($A51="","",IFERROR(INDEX('發行人'!$G$5:$G$44,MATCH(B51,'發行人'!$D$5:$D$44,0))+0,""))</f>
        <v/>
      </c>
      <c r="U51" s="18">
        <f>IF(ISNUMBER(E51),YEARFRAC('參數'!$B$4,E51),"")</f>
        <v/>
      </c>
      <c r="V51" s="8">
        <f>IF(U51="","",IF(U51&lt;3,"1-3y",IF(U51&lt;5,"3-5y",IF(U51&lt;7,"5-7y",IF(U51&lt;10,"7-10y","10y+")))))</f>
        <v/>
      </c>
      <c r="W51" s="30">
        <f>IF($A51="","",IFERROR(INDEX('參數'!$B$24:$B$45,MATCH(G51,'參數'!$A$24:$A$45,0)),""))</f>
        <v/>
      </c>
      <c r="X51" s="8">
        <f>IF($A51="","",IFERROR(INDEX('參數'!$C$24:$C$45,MATCH(G51,'參數'!$A$24:$A$45,0)),""))</f>
        <v/>
      </c>
      <c r="Y51" s="30">
        <f>IF(AND(ISNUMBER(N51),ISNUMBER(O51),ISNUMBER(U51)),IF(AND(O51&gt;0,X51&lt;&gt;""),1,0),0)</f>
        <v/>
      </c>
      <c r="Z51" s="17">
        <f>IF(Y51=1,O51*N51,"")</f>
        <v/>
      </c>
      <c r="AA51" s="33">
        <f>IF(Y51=1,IF(ISNUMBER(Q51),N51-Q51,""),"")</f>
        <v/>
      </c>
      <c r="AB51" s="33">
        <f>IF(Y51=1,IF(AND(ISNUMBER(P51),ISNUMBER(R51)),R51*5/12-O51*(P51-R51),""),"")</f>
        <v/>
      </c>
      <c r="AC51" s="30">
        <f>IF(Y51=1,COUNTIFS($X$5:$X$404,X51,$V$5:$V$404,V51,$Y$5:$Y$404,1),"")</f>
        <v/>
      </c>
      <c r="AD51" s="30">
        <f>IF(Y51=1,IFERROR(IF(AC51&gt;='參數'!$B$9,INDEX('分群統計'!$G$13:$K$16,MATCH(X51,'分群統計'!$A$13:$A$16,0),MATCH(V51,'分群統計'!$G$12:$K$12,0)),INDEX('分群統計'!$I$5:$I$8,MATCH(X51,'分群統計'!$A$5:$A$8,0))),""),"")</f>
        <v/>
      </c>
      <c r="AE51" s="18">
        <f>IF(Y51=1,IFERROR(IF(AC51&gt;='參數'!$B$9,INDEX('分群統計'!$L$13:$P$16,MATCH(X51,'分群統計'!$A$13:$A$16,0),MATCH(V51,'分群統計'!$L$12:$P$12,0)),INDEX('分群統計'!$J$5:$J$8,MATCH(X51,'分群統計'!$A$5:$A$8,0))),""),"")</f>
        <v/>
      </c>
      <c r="AF51" s="31">
        <f>IF(ISNUMBER(AE51),IF(AE51&gt;0,MAX(-3,MIN(3,(N51-AD51)/AE51)),0),"")</f>
        <v/>
      </c>
      <c r="AG51" s="30">
        <f>IF(Y51=1,COUNTIFS($B$5:$B$404,B51,$Y$5:$Y$404,1),"")</f>
        <v/>
      </c>
      <c r="AH51" s="30">
        <f>IF(Y51=1,IFERROR(IF(ISNUMBER(INDEX('分群統計'!$G$20:$G$59,MATCH(B51,'分群統計'!$A$20:$A$59,0))),INDEX('分群統計'!$H$20:$H$59,MATCH(B51,'分群統計'!$A$20:$A$59,0))+INDEX('分群統計'!$G$20:$G$59,MATCH(B51,'分群統計'!$A$20:$A$59,0))*AU51,""),""),"")</f>
        <v/>
      </c>
      <c r="AI51" s="34">
        <f>IF(ISNUMBER(AH51),N51-AH51,"")</f>
        <v/>
      </c>
      <c r="AJ51" s="30">
        <f>IF(Y51=1,IFERROR(IF(ISNUMBER(INDEX('分群統計'!$G$5:$G$8,MATCH(X51,'分群統計'!$A$5:$A$8,0))),INDEX('分群統計'!$H$5:$H$8,MATCH(X51,'分群統計'!$A$5:$A$8,0))+INDEX('分群統計'!$G$5:$G$8,MATCH(X51,'分群統計'!$A$5:$A$8,0))*AU51,""),""),"")</f>
        <v/>
      </c>
      <c r="AK51" s="34">
        <f>IF(ISNUMBER(AJ51),N51-AJ51,"")</f>
        <v/>
      </c>
      <c r="AL51" s="21">
        <f>IF(ISNUMBER(AJ51),IF(AJ51&gt;0,AK51/AJ51,""),"")</f>
        <v/>
      </c>
      <c r="AM51" s="31">
        <f>IF(AY51&lt;&gt;1,"",IFERROR(IF(INDEX('分群統計'!$K$5:$K$8,MATCH(X51,'分群統計'!$A$5:$A$8,0))&lt;3,"",IF(INDEX('分群統計'!$M$5:$M$8,MATCH(X51,'分群統計'!$A$5:$A$8,0))&gt;0,MAX(-3,MIN(3,(AX51-INDEX('分群統計'!$L$5:$L$8,MATCH(X51,'分群統計'!$A$5:$A$8,0)))/INDEX('分群統計'!$M$5:$M$8,MATCH(X51,'分群統計'!$A$5:$A$8,0)))),0)),""))</f>
        <v/>
      </c>
      <c r="AN51" s="31">
        <f>IF(ISNUMBER(AB51),IF(Z51&gt;0,AB51/Z51*100,""),"")</f>
        <v/>
      </c>
      <c r="AO51" s="31">
        <f>IF(BA51&lt;&gt;1,"",IFERROR(IF(INDEX('分群統計'!$N$5:$N$8,MATCH(X51,'分群統計'!$A$5:$A$8,0))&lt;3,"",IF(INDEX('分群統計'!$P$5:$P$8,MATCH(X51,'分群統計'!$A$5:$A$8,0))&gt;0,MAX(-3,MIN(3,(AZ51-INDEX('分群統計'!$O$5:$O$8,MATCH(X51,'分群統計'!$A$5:$A$8,0)))/INDEX('分群統計'!$P$5:$P$8,MATCH(X51,'分群統計'!$A$5:$A$8,0)))),0)),""))</f>
        <v/>
      </c>
      <c r="AP51" s="31">
        <f>IF(BC51&lt;&gt;1,"",IFERROR(IF(INDEX('分群統計'!$Q$5:$Q$8,MATCH(X51,'分群統計'!$A$5:$A$8,0))&lt;3,"",IF(INDEX('分群統計'!$S$5:$S$8,MATCH(X51,'分群統計'!$A$5:$A$8,0))&gt;0,MAX(-3,MIN(3,(BB51-INDEX('分群統計'!$R$5:$R$8,MATCH(X51,'分群統計'!$A$5:$A$8,0)))/INDEX('分群統計'!$S$5:$S$8,MATCH(X51,'分群統計'!$A$5:$A$8,0)))),0)),""))</f>
        <v/>
      </c>
      <c r="AQ51" s="31">
        <f>IF(Y51=1,(IF(ISNUMBER(AF51),AF51,0)*'參數'!$B$13+IF(ISNUMBER(AM51),AM51,0)*'參數'!$B$14+IF(ISNUMBER(AO51),AO51,0)*'參數'!$B$15+IF(ISNUMBER(AP51),AP51,0)*'參數'!$B$16)/('參數'!$B$13+'參數'!$B$14+'參數'!$B$15+'參數'!$B$16),"")</f>
        <v/>
      </c>
      <c r="AR51" s="35">
        <f>IF(Y51=1,(SUMPRODUCT(($X$5:$X$404=X51)*($Y$5:$Y$404=1)*($BD$5:$BD$404&gt;BD51))+1)/COUNTIFS($X$5:$X$404,X51,$Y$5:$Y$404,1),"")</f>
        <v/>
      </c>
      <c r="AS51" s="8">
        <f>IF(ISNUMBER(AR51),IF(AR51&lt;='參數'!$B$18,"加碼候選",IF(AR51&gt;'參數'!$B$19,"減碼候選","")),"")</f>
        <v/>
      </c>
      <c r="AT51" s="7">
        <f>IF(Y51=1,N51,0)</f>
        <v/>
      </c>
      <c r="AU51" s="7">
        <f>IF(Y51=1,LN(O51),0)</f>
        <v/>
      </c>
      <c r="AV51" s="36">
        <f>IF(Y51=1,IF(ISNUMBER(F51),F51,0),0)</f>
        <v/>
      </c>
      <c r="AW51" s="7">
        <f>IF(Y51=1,Z51,0)</f>
        <v/>
      </c>
      <c r="AX51" s="7">
        <f>IF(Y51=1,IF(ISNUMBER(AL51),AL51,0),0)</f>
        <v/>
      </c>
      <c r="AY51" s="7">
        <f>IF(Y51=1,IF(ISNUMBER(AL51),1,0),0)</f>
        <v/>
      </c>
      <c r="AZ51" s="7">
        <f>IF(Y51=1,IF(ISNUMBER(AN51),AN51,0),0)</f>
        <v/>
      </c>
      <c r="BA51" s="7">
        <f>IF(Y51=1,IF(ISNUMBER(AN51),1,0),0)</f>
        <v/>
      </c>
      <c r="BB51" s="7">
        <f>IF(Y51=1,IF(ISNUMBER(T51),T51,0),0)</f>
        <v/>
      </c>
      <c r="BC51" s="7">
        <f>IF(Y51=1,IF(ISNUMBER(T51),1,0),0)</f>
        <v/>
      </c>
      <c r="BD51" s="7">
        <f>IF(Y51=1,AQ51+ROW()/1E9,-1E9)</f>
        <v/>
      </c>
      <c r="BE51" s="7">
        <f>IF(Y51=1,AQ51+ROW()/1E9,1E9)</f>
        <v/>
      </c>
    </row>
    <row r="52">
      <c r="A52" s="16" t="n"/>
      <c r="B52" s="8">
        <f>IF($A52="","",BDP($A52,B$3))</f>
        <v/>
      </c>
      <c r="C52" s="8">
        <f>IF($A52="","",BDP($A52,C$3))</f>
        <v/>
      </c>
      <c r="D52" s="28">
        <f>IF($A52="","",BDP($A52,D$3))</f>
        <v/>
      </c>
      <c r="E52" s="29">
        <f>IF($A52="","",BDP($A52,E$3))</f>
        <v/>
      </c>
      <c r="F52" s="17">
        <f>IF($A52="","",BDP($A52,F$3))</f>
        <v/>
      </c>
      <c r="G52" s="8">
        <f>IF($A52="","",BDP($A52,G$3))</f>
        <v/>
      </c>
      <c r="H52" s="8">
        <f>IF($A52="","",BDP($A52,H$3))</f>
        <v/>
      </c>
      <c r="I52" s="8">
        <f>IF($A52="","",BDP($A52,I$3))</f>
        <v/>
      </c>
      <c r="J52" s="8">
        <f>IF($A52="","",BDP($A52,J$3))</f>
        <v/>
      </c>
      <c r="K52" s="8">
        <f>IF($A52="","",BDP($A52,K$3))</f>
        <v/>
      </c>
      <c r="L52" s="28">
        <f>IF($A52="","",BDP($A52,L$3))</f>
        <v/>
      </c>
      <c r="M52" s="28">
        <f>IF($A52="","",BDP($A52,M$3))</f>
        <v/>
      </c>
      <c r="N52" s="30">
        <f>IF($A52="","",BDP($A52,N$3))</f>
        <v/>
      </c>
      <c r="O52" s="31">
        <f>IF($A52="","",BDP($A52,O$3))</f>
        <v/>
      </c>
      <c r="P52" s="30">
        <f>IF($A52="","",BDH($A52,$N$3,'參數'!$B$5,'參數'!$B$5,"Days=A","Fill=P","Dates=H"))</f>
        <v/>
      </c>
      <c r="Q52" s="30">
        <f>IF($A52="","",BDH($A52,$N$3,'參數'!$B$6,'參數'!$B$6,"Days=A","Fill=P","Dates=H"))</f>
        <v/>
      </c>
      <c r="R52" s="30">
        <f>IF($A52="","",BDH($A52,$N$3,'參數'!$B$7,'參數'!$B$7,"Days=A","Fill=P","Dates=H"))</f>
        <v/>
      </c>
      <c r="S52" s="32">
        <f>IF($A52="","",IFERROR(INDEX('發行人'!$A$5:$A$44,MATCH(B52,'發行人'!$D$5:$D$44,0)),"未對應"))</f>
        <v/>
      </c>
      <c r="T52" s="24">
        <f>IF($A52="","",IFERROR(INDEX('發行人'!$G$5:$G$44,MATCH(B52,'發行人'!$D$5:$D$44,0))+0,""))</f>
        <v/>
      </c>
      <c r="U52" s="18">
        <f>IF(ISNUMBER(E52),YEARFRAC('參數'!$B$4,E52),"")</f>
        <v/>
      </c>
      <c r="V52" s="8">
        <f>IF(U52="","",IF(U52&lt;3,"1-3y",IF(U52&lt;5,"3-5y",IF(U52&lt;7,"5-7y",IF(U52&lt;10,"7-10y","10y+")))))</f>
        <v/>
      </c>
      <c r="W52" s="30">
        <f>IF($A52="","",IFERROR(INDEX('參數'!$B$24:$B$45,MATCH(G52,'參數'!$A$24:$A$45,0)),""))</f>
        <v/>
      </c>
      <c r="X52" s="8">
        <f>IF($A52="","",IFERROR(INDEX('參數'!$C$24:$C$45,MATCH(G52,'參數'!$A$24:$A$45,0)),""))</f>
        <v/>
      </c>
      <c r="Y52" s="30">
        <f>IF(AND(ISNUMBER(N52),ISNUMBER(O52),ISNUMBER(U52)),IF(AND(O52&gt;0,X52&lt;&gt;""),1,0),0)</f>
        <v/>
      </c>
      <c r="Z52" s="17">
        <f>IF(Y52=1,O52*N52,"")</f>
        <v/>
      </c>
      <c r="AA52" s="33">
        <f>IF(Y52=1,IF(ISNUMBER(Q52),N52-Q52,""),"")</f>
        <v/>
      </c>
      <c r="AB52" s="33">
        <f>IF(Y52=1,IF(AND(ISNUMBER(P52),ISNUMBER(R52)),R52*5/12-O52*(P52-R52),""),"")</f>
        <v/>
      </c>
      <c r="AC52" s="30">
        <f>IF(Y52=1,COUNTIFS($X$5:$X$404,X52,$V$5:$V$404,V52,$Y$5:$Y$404,1),"")</f>
        <v/>
      </c>
      <c r="AD52" s="30">
        <f>IF(Y52=1,IFERROR(IF(AC52&gt;='參數'!$B$9,INDEX('分群統計'!$G$13:$K$16,MATCH(X52,'分群統計'!$A$13:$A$16,0),MATCH(V52,'分群統計'!$G$12:$K$12,0)),INDEX('分群統計'!$I$5:$I$8,MATCH(X52,'分群統計'!$A$5:$A$8,0))),""),"")</f>
        <v/>
      </c>
      <c r="AE52" s="18">
        <f>IF(Y52=1,IFERROR(IF(AC52&gt;='參數'!$B$9,INDEX('分群統計'!$L$13:$P$16,MATCH(X52,'分群統計'!$A$13:$A$16,0),MATCH(V52,'分群統計'!$L$12:$P$12,0)),INDEX('分群統計'!$J$5:$J$8,MATCH(X52,'分群統計'!$A$5:$A$8,0))),""),"")</f>
        <v/>
      </c>
      <c r="AF52" s="31">
        <f>IF(ISNUMBER(AE52),IF(AE52&gt;0,MAX(-3,MIN(3,(N52-AD52)/AE52)),0),"")</f>
        <v/>
      </c>
      <c r="AG52" s="30">
        <f>IF(Y52=1,COUNTIFS($B$5:$B$404,B52,$Y$5:$Y$404,1),"")</f>
        <v/>
      </c>
      <c r="AH52" s="30">
        <f>IF(Y52=1,IFERROR(IF(ISNUMBER(INDEX('分群統計'!$G$20:$G$59,MATCH(B52,'分群統計'!$A$20:$A$59,0))),INDEX('分群統計'!$H$20:$H$59,MATCH(B52,'分群統計'!$A$20:$A$59,0))+INDEX('分群統計'!$G$20:$G$59,MATCH(B52,'分群統計'!$A$20:$A$59,0))*AU52,""),""),"")</f>
        <v/>
      </c>
      <c r="AI52" s="34">
        <f>IF(ISNUMBER(AH52),N52-AH52,"")</f>
        <v/>
      </c>
      <c r="AJ52" s="30">
        <f>IF(Y52=1,IFERROR(IF(ISNUMBER(INDEX('分群統計'!$G$5:$G$8,MATCH(X52,'分群統計'!$A$5:$A$8,0))),INDEX('分群統計'!$H$5:$H$8,MATCH(X52,'分群統計'!$A$5:$A$8,0))+INDEX('分群統計'!$G$5:$G$8,MATCH(X52,'分群統計'!$A$5:$A$8,0))*AU52,""),""),"")</f>
        <v/>
      </c>
      <c r="AK52" s="34">
        <f>IF(ISNUMBER(AJ52),N52-AJ52,"")</f>
        <v/>
      </c>
      <c r="AL52" s="21">
        <f>IF(ISNUMBER(AJ52),IF(AJ52&gt;0,AK52/AJ52,""),"")</f>
        <v/>
      </c>
      <c r="AM52" s="31">
        <f>IF(AY52&lt;&gt;1,"",IFERROR(IF(INDEX('分群統計'!$K$5:$K$8,MATCH(X52,'分群統計'!$A$5:$A$8,0))&lt;3,"",IF(INDEX('分群統計'!$M$5:$M$8,MATCH(X52,'分群統計'!$A$5:$A$8,0))&gt;0,MAX(-3,MIN(3,(AX52-INDEX('分群統計'!$L$5:$L$8,MATCH(X52,'分群統計'!$A$5:$A$8,0)))/INDEX('分群統計'!$M$5:$M$8,MATCH(X52,'分群統計'!$A$5:$A$8,0)))),0)),""))</f>
        <v/>
      </c>
      <c r="AN52" s="31">
        <f>IF(ISNUMBER(AB52),IF(Z52&gt;0,AB52/Z52*100,""),"")</f>
        <v/>
      </c>
      <c r="AO52" s="31">
        <f>IF(BA52&lt;&gt;1,"",IFERROR(IF(INDEX('分群統計'!$N$5:$N$8,MATCH(X52,'分群統計'!$A$5:$A$8,0))&lt;3,"",IF(INDEX('分群統計'!$P$5:$P$8,MATCH(X52,'分群統計'!$A$5:$A$8,0))&gt;0,MAX(-3,MIN(3,(AZ52-INDEX('分群統計'!$O$5:$O$8,MATCH(X52,'分群統計'!$A$5:$A$8,0)))/INDEX('分群統計'!$P$5:$P$8,MATCH(X52,'分群統計'!$A$5:$A$8,0)))),0)),""))</f>
        <v/>
      </c>
      <c r="AP52" s="31">
        <f>IF(BC52&lt;&gt;1,"",IFERROR(IF(INDEX('分群統計'!$Q$5:$Q$8,MATCH(X52,'分群統計'!$A$5:$A$8,0))&lt;3,"",IF(INDEX('分群統計'!$S$5:$S$8,MATCH(X52,'分群統計'!$A$5:$A$8,0))&gt;0,MAX(-3,MIN(3,(BB52-INDEX('分群統計'!$R$5:$R$8,MATCH(X52,'分群統計'!$A$5:$A$8,0)))/INDEX('分群統計'!$S$5:$S$8,MATCH(X52,'分群統計'!$A$5:$A$8,0)))),0)),""))</f>
        <v/>
      </c>
      <c r="AQ52" s="31">
        <f>IF(Y52=1,(IF(ISNUMBER(AF52),AF52,0)*'參數'!$B$13+IF(ISNUMBER(AM52),AM52,0)*'參數'!$B$14+IF(ISNUMBER(AO52),AO52,0)*'參數'!$B$15+IF(ISNUMBER(AP52),AP52,0)*'參數'!$B$16)/('參數'!$B$13+'參數'!$B$14+'參數'!$B$15+'參數'!$B$16),"")</f>
        <v/>
      </c>
      <c r="AR52" s="35">
        <f>IF(Y52=1,(SUMPRODUCT(($X$5:$X$404=X52)*($Y$5:$Y$404=1)*($BD$5:$BD$404&gt;BD52))+1)/COUNTIFS($X$5:$X$404,X52,$Y$5:$Y$404,1),"")</f>
        <v/>
      </c>
      <c r="AS52" s="8">
        <f>IF(ISNUMBER(AR52),IF(AR52&lt;='參數'!$B$18,"加碼候選",IF(AR52&gt;'參數'!$B$19,"減碼候選","")),"")</f>
        <v/>
      </c>
      <c r="AT52" s="7">
        <f>IF(Y52=1,N52,0)</f>
        <v/>
      </c>
      <c r="AU52" s="7">
        <f>IF(Y52=1,LN(O52),0)</f>
        <v/>
      </c>
      <c r="AV52" s="36">
        <f>IF(Y52=1,IF(ISNUMBER(F52),F52,0),0)</f>
        <v/>
      </c>
      <c r="AW52" s="7">
        <f>IF(Y52=1,Z52,0)</f>
        <v/>
      </c>
      <c r="AX52" s="7">
        <f>IF(Y52=1,IF(ISNUMBER(AL52),AL52,0),0)</f>
        <v/>
      </c>
      <c r="AY52" s="7">
        <f>IF(Y52=1,IF(ISNUMBER(AL52),1,0),0)</f>
        <v/>
      </c>
      <c r="AZ52" s="7">
        <f>IF(Y52=1,IF(ISNUMBER(AN52),AN52,0),0)</f>
        <v/>
      </c>
      <c r="BA52" s="7">
        <f>IF(Y52=1,IF(ISNUMBER(AN52),1,0),0)</f>
        <v/>
      </c>
      <c r="BB52" s="7">
        <f>IF(Y52=1,IF(ISNUMBER(T52),T52,0),0)</f>
        <v/>
      </c>
      <c r="BC52" s="7">
        <f>IF(Y52=1,IF(ISNUMBER(T52),1,0),0)</f>
        <v/>
      </c>
      <c r="BD52" s="7">
        <f>IF(Y52=1,AQ52+ROW()/1E9,-1E9)</f>
        <v/>
      </c>
      <c r="BE52" s="7">
        <f>IF(Y52=1,AQ52+ROW()/1E9,1E9)</f>
        <v/>
      </c>
    </row>
    <row r="53">
      <c r="A53" s="16" t="n"/>
      <c r="B53" s="8">
        <f>IF($A53="","",BDP($A53,B$3))</f>
        <v/>
      </c>
      <c r="C53" s="8">
        <f>IF($A53="","",BDP($A53,C$3))</f>
        <v/>
      </c>
      <c r="D53" s="28">
        <f>IF($A53="","",BDP($A53,D$3))</f>
        <v/>
      </c>
      <c r="E53" s="29">
        <f>IF($A53="","",BDP($A53,E$3))</f>
        <v/>
      </c>
      <c r="F53" s="17">
        <f>IF($A53="","",BDP($A53,F$3))</f>
        <v/>
      </c>
      <c r="G53" s="8">
        <f>IF($A53="","",BDP($A53,G$3))</f>
        <v/>
      </c>
      <c r="H53" s="8">
        <f>IF($A53="","",BDP($A53,H$3))</f>
        <v/>
      </c>
      <c r="I53" s="8">
        <f>IF($A53="","",BDP($A53,I$3))</f>
        <v/>
      </c>
      <c r="J53" s="8">
        <f>IF($A53="","",BDP($A53,J$3))</f>
        <v/>
      </c>
      <c r="K53" s="8">
        <f>IF($A53="","",BDP($A53,K$3))</f>
        <v/>
      </c>
      <c r="L53" s="28">
        <f>IF($A53="","",BDP($A53,L$3))</f>
        <v/>
      </c>
      <c r="M53" s="28">
        <f>IF($A53="","",BDP($A53,M$3))</f>
        <v/>
      </c>
      <c r="N53" s="30">
        <f>IF($A53="","",BDP($A53,N$3))</f>
        <v/>
      </c>
      <c r="O53" s="31">
        <f>IF($A53="","",BDP($A53,O$3))</f>
        <v/>
      </c>
      <c r="P53" s="30">
        <f>IF($A53="","",BDH($A53,$N$3,'參數'!$B$5,'參數'!$B$5,"Days=A","Fill=P","Dates=H"))</f>
        <v/>
      </c>
      <c r="Q53" s="30">
        <f>IF($A53="","",BDH($A53,$N$3,'參數'!$B$6,'參數'!$B$6,"Days=A","Fill=P","Dates=H"))</f>
        <v/>
      </c>
      <c r="R53" s="30">
        <f>IF($A53="","",BDH($A53,$N$3,'參數'!$B$7,'參數'!$B$7,"Days=A","Fill=P","Dates=H"))</f>
        <v/>
      </c>
      <c r="S53" s="32">
        <f>IF($A53="","",IFERROR(INDEX('發行人'!$A$5:$A$44,MATCH(B53,'發行人'!$D$5:$D$44,0)),"未對應"))</f>
        <v/>
      </c>
      <c r="T53" s="24">
        <f>IF($A53="","",IFERROR(INDEX('發行人'!$G$5:$G$44,MATCH(B53,'發行人'!$D$5:$D$44,0))+0,""))</f>
        <v/>
      </c>
      <c r="U53" s="18">
        <f>IF(ISNUMBER(E53),YEARFRAC('參數'!$B$4,E53),"")</f>
        <v/>
      </c>
      <c r="V53" s="8">
        <f>IF(U53="","",IF(U53&lt;3,"1-3y",IF(U53&lt;5,"3-5y",IF(U53&lt;7,"5-7y",IF(U53&lt;10,"7-10y","10y+")))))</f>
        <v/>
      </c>
      <c r="W53" s="30">
        <f>IF($A53="","",IFERROR(INDEX('參數'!$B$24:$B$45,MATCH(G53,'參數'!$A$24:$A$45,0)),""))</f>
        <v/>
      </c>
      <c r="X53" s="8">
        <f>IF($A53="","",IFERROR(INDEX('參數'!$C$24:$C$45,MATCH(G53,'參數'!$A$24:$A$45,0)),""))</f>
        <v/>
      </c>
      <c r="Y53" s="30">
        <f>IF(AND(ISNUMBER(N53),ISNUMBER(O53),ISNUMBER(U53)),IF(AND(O53&gt;0,X53&lt;&gt;""),1,0),0)</f>
        <v/>
      </c>
      <c r="Z53" s="17">
        <f>IF(Y53=1,O53*N53,"")</f>
        <v/>
      </c>
      <c r="AA53" s="33">
        <f>IF(Y53=1,IF(ISNUMBER(Q53),N53-Q53,""),"")</f>
        <v/>
      </c>
      <c r="AB53" s="33">
        <f>IF(Y53=1,IF(AND(ISNUMBER(P53),ISNUMBER(R53)),R53*5/12-O53*(P53-R53),""),"")</f>
        <v/>
      </c>
      <c r="AC53" s="30">
        <f>IF(Y53=1,COUNTIFS($X$5:$X$404,X53,$V$5:$V$404,V53,$Y$5:$Y$404,1),"")</f>
        <v/>
      </c>
      <c r="AD53" s="30">
        <f>IF(Y53=1,IFERROR(IF(AC53&gt;='參數'!$B$9,INDEX('分群統計'!$G$13:$K$16,MATCH(X53,'分群統計'!$A$13:$A$16,0),MATCH(V53,'分群統計'!$G$12:$K$12,0)),INDEX('分群統計'!$I$5:$I$8,MATCH(X53,'分群統計'!$A$5:$A$8,0))),""),"")</f>
        <v/>
      </c>
      <c r="AE53" s="18">
        <f>IF(Y53=1,IFERROR(IF(AC53&gt;='參數'!$B$9,INDEX('分群統計'!$L$13:$P$16,MATCH(X53,'分群統計'!$A$13:$A$16,0),MATCH(V53,'分群統計'!$L$12:$P$12,0)),INDEX('分群統計'!$J$5:$J$8,MATCH(X53,'分群統計'!$A$5:$A$8,0))),""),"")</f>
        <v/>
      </c>
      <c r="AF53" s="31">
        <f>IF(ISNUMBER(AE53),IF(AE53&gt;0,MAX(-3,MIN(3,(N53-AD53)/AE53)),0),"")</f>
        <v/>
      </c>
      <c r="AG53" s="30">
        <f>IF(Y53=1,COUNTIFS($B$5:$B$404,B53,$Y$5:$Y$404,1),"")</f>
        <v/>
      </c>
      <c r="AH53" s="30">
        <f>IF(Y53=1,IFERROR(IF(ISNUMBER(INDEX('分群統計'!$G$20:$G$59,MATCH(B53,'分群統計'!$A$20:$A$59,0))),INDEX('分群統計'!$H$20:$H$59,MATCH(B53,'分群統計'!$A$20:$A$59,0))+INDEX('分群統計'!$G$20:$G$59,MATCH(B53,'分群統計'!$A$20:$A$59,0))*AU53,""),""),"")</f>
        <v/>
      </c>
      <c r="AI53" s="34">
        <f>IF(ISNUMBER(AH53),N53-AH53,"")</f>
        <v/>
      </c>
      <c r="AJ53" s="30">
        <f>IF(Y53=1,IFERROR(IF(ISNUMBER(INDEX('分群統計'!$G$5:$G$8,MATCH(X53,'分群統計'!$A$5:$A$8,0))),INDEX('分群統計'!$H$5:$H$8,MATCH(X53,'分群統計'!$A$5:$A$8,0))+INDEX('分群統計'!$G$5:$G$8,MATCH(X53,'分群統計'!$A$5:$A$8,0))*AU53,""),""),"")</f>
        <v/>
      </c>
      <c r="AK53" s="34">
        <f>IF(ISNUMBER(AJ53),N53-AJ53,"")</f>
        <v/>
      </c>
      <c r="AL53" s="21">
        <f>IF(ISNUMBER(AJ53),IF(AJ53&gt;0,AK53/AJ53,""),"")</f>
        <v/>
      </c>
      <c r="AM53" s="31">
        <f>IF(AY53&lt;&gt;1,"",IFERROR(IF(INDEX('分群統計'!$K$5:$K$8,MATCH(X53,'分群統計'!$A$5:$A$8,0))&lt;3,"",IF(INDEX('分群統計'!$M$5:$M$8,MATCH(X53,'分群統計'!$A$5:$A$8,0))&gt;0,MAX(-3,MIN(3,(AX53-INDEX('分群統計'!$L$5:$L$8,MATCH(X53,'分群統計'!$A$5:$A$8,0)))/INDEX('分群統計'!$M$5:$M$8,MATCH(X53,'分群統計'!$A$5:$A$8,0)))),0)),""))</f>
        <v/>
      </c>
      <c r="AN53" s="31">
        <f>IF(ISNUMBER(AB53),IF(Z53&gt;0,AB53/Z53*100,""),"")</f>
        <v/>
      </c>
      <c r="AO53" s="31">
        <f>IF(BA53&lt;&gt;1,"",IFERROR(IF(INDEX('分群統計'!$N$5:$N$8,MATCH(X53,'分群統計'!$A$5:$A$8,0))&lt;3,"",IF(INDEX('分群統計'!$P$5:$P$8,MATCH(X53,'分群統計'!$A$5:$A$8,0))&gt;0,MAX(-3,MIN(3,(AZ53-INDEX('分群統計'!$O$5:$O$8,MATCH(X53,'分群統計'!$A$5:$A$8,0)))/INDEX('分群統計'!$P$5:$P$8,MATCH(X53,'分群統計'!$A$5:$A$8,0)))),0)),""))</f>
        <v/>
      </c>
      <c r="AP53" s="31">
        <f>IF(BC53&lt;&gt;1,"",IFERROR(IF(INDEX('分群統計'!$Q$5:$Q$8,MATCH(X53,'分群統計'!$A$5:$A$8,0))&lt;3,"",IF(INDEX('分群統計'!$S$5:$S$8,MATCH(X53,'分群統計'!$A$5:$A$8,0))&gt;0,MAX(-3,MIN(3,(BB53-INDEX('分群統計'!$R$5:$R$8,MATCH(X53,'分群統計'!$A$5:$A$8,0)))/INDEX('分群統計'!$S$5:$S$8,MATCH(X53,'分群統計'!$A$5:$A$8,0)))),0)),""))</f>
        <v/>
      </c>
      <c r="AQ53" s="31">
        <f>IF(Y53=1,(IF(ISNUMBER(AF53),AF53,0)*'參數'!$B$13+IF(ISNUMBER(AM53),AM53,0)*'參數'!$B$14+IF(ISNUMBER(AO53),AO53,0)*'參數'!$B$15+IF(ISNUMBER(AP53),AP53,0)*'參數'!$B$16)/('參數'!$B$13+'參數'!$B$14+'參數'!$B$15+'參數'!$B$16),"")</f>
        <v/>
      </c>
      <c r="AR53" s="35">
        <f>IF(Y53=1,(SUMPRODUCT(($X$5:$X$404=X53)*($Y$5:$Y$404=1)*($BD$5:$BD$404&gt;BD53))+1)/COUNTIFS($X$5:$X$404,X53,$Y$5:$Y$404,1),"")</f>
        <v/>
      </c>
      <c r="AS53" s="8">
        <f>IF(ISNUMBER(AR53),IF(AR53&lt;='參數'!$B$18,"加碼候選",IF(AR53&gt;'參數'!$B$19,"減碼候選","")),"")</f>
        <v/>
      </c>
      <c r="AT53" s="7">
        <f>IF(Y53=1,N53,0)</f>
        <v/>
      </c>
      <c r="AU53" s="7">
        <f>IF(Y53=1,LN(O53),0)</f>
        <v/>
      </c>
      <c r="AV53" s="36">
        <f>IF(Y53=1,IF(ISNUMBER(F53),F53,0),0)</f>
        <v/>
      </c>
      <c r="AW53" s="7">
        <f>IF(Y53=1,Z53,0)</f>
        <v/>
      </c>
      <c r="AX53" s="7">
        <f>IF(Y53=1,IF(ISNUMBER(AL53),AL53,0),0)</f>
        <v/>
      </c>
      <c r="AY53" s="7">
        <f>IF(Y53=1,IF(ISNUMBER(AL53),1,0),0)</f>
        <v/>
      </c>
      <c r="AZ53" s="7">
        <f>IF(Y53=1,IF(ISNUMBER(AN53),AN53,0),0)</f>
        <v/>
      </c>
      <c r="BA53" s="7">
        <f>IF(Y53=1,IF(ISNUMBER(AN53),1,0),0)</f>
        <v/>
      </c>
      <c r="BB53" s="7">
        <f>IF(Y53=1,IF(ISNUMBER(T53),T53,0),0)</f>
        <v/>
      </c>
      <c r="BC53" s="7">
        <f>IF(Y53=1,IF(ISNUMBER(T53),1,0),0)</f>
        <v/>
      </c>
      <c r="BD53" s="7">
        <f>IF(Y53=1,AQ53+ROW()/1E9,-1E9)</f>
        <v/>
      </c>
      <c r="BE53" s="7">
        <f>IF(Y53=1,AQ53+ROW()/1E9,1E9)</f>
        <v/>
      </c>
    </row>
    <row r="54">
      <c r="A54" s="16" t="n"/>
      <c r="B54" s="8">
        <f>IF($A54="","",BDP($A54,B$3))</f>
        <v/>
      </c>
      <c r="C54" s="8">
        <f>IF($A54="","",BDP($A54,C$3))</f>
        <v/>
      </c>
      <c r="D54" s="28">
        <f>IF($A54="","",BDP($A54,D$3))</f>
        <v/>
      </c>
      <c r="E54" s="29">
        <f>IF($A54="","",BDP($A54,E$3))</f>
        <v/>
      </c>
      <c r="F54" s="17">
        <f>IF($A54="","",BDP($A54,F$3))</f>
        <v/>
      </c>
      <c r="G54" s="8">
        <f>IF($A54="","",BDP($A54,G$3))</f>
        <v/>
      </c>
      <c r="H54" s="8">
        <f>IF($A54="","",BDP($A54,H$3))</f>
        <v/>
      </c>
      <c r="I54" s="8">
        <f>IF($A54="","",BDP($A54,I$3))</f>
        <v/>
      </c>
      <c r="J54" s="8">
        <f>IF($A54="","",BDP($A54,J$3))</f>
        <v/>
      </c>
      <c r="K54" s="8">
        <f>IF($A54="","",BDP($A54,K$3))</f>
        <v/>
      </c>
      <c r="L54" s="28">
        <f>IF($A54="","",BDP($A54,L$3))</f>
        <v/>
      </c>
      <c r="M54" s="28">
        <f>IF($A54="","",BDP($A54,M$3))</f>
        <v/>
      </c>
      <c r="N54" s="30">
        <f>IF($A54="","",BDP($A54,N$3))</f>
        <v/>
      </c>
      <c r="O54" s="31">
        <f>IF($A54="","",BDP($A54,O$3))</f>
        <v/>
      </c>
      <c r="P54" s="30">
        <f>IF($A54="","",BDH($A54,$N$3,'參數'!$B$5,'參數'!$B$5,"Days=A","Fill=P","Dates=H"))</f>
        <v/>
      </c>
      <c r="Q54" s="30">
        <f>IF($A54="","",BDH($A54,$N$3,'參數'!$B$6,'參數'!$B$6,"Days=A","Fill=P","Dates=H"))</f>
        <v/>
      </c>
      <c r="R54" s="30">
        <f>IF($A54="","",BDH($A54,$N$3,'參數'!$B$7,'參數'!$B$7,"Days=A","Fill=P","Dates=H"))</f>
        <v/>
      </c>
      <c r="S54" s="32">
        <f>IF($A54="","",IFERROR(INDEX('發行人'!$A$5:$A$44,MATCH(B54,'發行人'!$D$5:$D$44,0)),"未對應"))</f>
        <v/>
      </c>
      <c r="T54" s="24">
        <f>IF($A54="","",IFERROR(INDEX('發行人'!$G$5:$G$44,MATCH(B54,'發行人'!$D$5:$D$44,0))+0,""))</f>
        <v/>
      </c>
      <c r="U54" s="18">
        <f>IF(ISNUMBER(E54),YEARFRAC('參數'!$B$4,E54),"")</f>
        <v/>
      </c>
      <c r="V54" s="8">
        <f>IF(U54="","",IF(U54&lt;3,"1-3y",IF(U54&lt;5,"3-5y",IF(U54&lt;7,"5-7y",IF(U54&lt;10,"7-10y","10y+")))))</f>
        <v/>
      </c>
      <c r="W54" s="30">
        <f>IF($A54="","",IFERROR(INDEX('參數'!$B$24:$B$45,MATCH(G54,'參數'!$A$24:$A$45,0)),""))</f>
        <v/>
      </c>
      <c r="X54" s="8">
        <f>IF($A54="","",IFERROR(INDEX('參數'!$C$24:$C$45,MATCH(G54,'參數'!$A$24:$A$45,0)),""))</f>
        <v/>
      </c>
      <c r="Y54" s="30">
        <f>IF(AND(ISNUMBER(N54),ISNUMBER(O54),ISNUMBER(U54)),IF(AND(O54&gt;0,X54&lt;&gt;""),1,0),0)</f>
        <v/>
      </c>
      <c r="Z54" s="17">
        <f>IF(Y54=1,O54*N54,"")</f>
        <v/>
      </c>
      <c r="AA54" s="33">
        <f>IF(Y54=1,IF(ISNUMBER(Q54),N54-Q54,""),"")</f>
        <v/>
      </c>
      <c r="AB54" s="33">
        <f>IF(Y54=1,IF(AND(ISNUMBER(P54),ISNUMBER(R54)),R54*5/12-O54*(P54-R54),""),"")</f>
        <v/>
      </c>
      <c r="AC54" s="30">
        <f>IF(Y54=1,COUNTIFS($X$5:$X$404,X54,$V$5:$V$404,V54,$Y$5:$Y$404,1),"")</f>
        <v/>
      </c>
      <c r="AD54" s="30">
        <f>IF(Y54=1,IFERROR(IF(AC54&gt;='參數'!$B$9,INDEX('分群統計'!$G$13:$K$16,MATCH(X54,'分群統計'!$A$13:$A$16,0),MATCH(V54,'分群統計'!$G$12:$K$12,0)),INDEX('分群統計'!$I$5:$I$8,MATCH(X54,'分群統計'!$A$5:$A$8,0))),""),"")</f>
        <v/>
      </c>
      <c r="AE54" s="18">
        <f>IF(Y54=1,IFERROR(IF(AC54&gt;='參數'!$B$9,INDEX('分群統計'!$L$13:$P$16,MATCH(X54,'分群統計'!$A$13:$A$16,0),MATCH(V54,'分群統計'!$L$12:$P$12,0)),INDEX('分群統計'!$J$5:$J$8,MATCH(X54,'分群統計'!$A$5:$A$8,0))),""),"")</f>
        <v/>
      </c>
      <c r="AF54" s="31">
        <f>IF(ISNUMBER(AE54),IF(AE54&gt;0,MAX(-3,MIN(3,(N54-AD54)/AE54)),0),"")</f>
        <v/>
      </c>
      <c r="AG54" s="30">
        <f>IF(Y54=1,COUNTIFS($B$5:$B$404,B54,$Y$5:$Y$404,1),"")</f>
        <v/>
      </c>
      <c r="AH54" s="30">
        <f>IF(Y54=1,IFERROR(IF(ISNUMBER(INDEX('分群統計'!$G$20:$G$59,MATCH(B54,'分群統計'!$A$20:$A$59,0))),INDEX('分群統計'!$H$20:$H$59,MATCH(B54,'分群統計'!$A$20:$A$59,0))+INDEX('分群統計'!$G$20:$G$59,MATCH(B54,'分群統計'!$A$20:$A$59,0))*AU54,""),""),"")</f>
        <v/>
      </c>
      <c r="AI54" s="34">
        <f>IF(ISNUMBER(AH54),N54-AH54,"")</f>
        <v/>
      </c>
      <c r="AJ54" s="30">
        <f>IF(Y54=1,IFERROR(IF(ISNUMBER(INDEX('分群統計'!$G$5:$G$8,MATCH(X54,'分群統計'!$A$5:$A$8,0))),INDEX('分群統計'!$H$5:$H$8,MATCH(X54,'分群統計'!$A$5:$A$8,0))+INDEX('分群統計'!$G$5:$G$8,MATCH(X54,'分群統計'!$A$5:$A$8,0))*AU54,""),""),"")</f>
        <v/>
      </c>
      <c r="AK54" s="34">
        <f>IF(ISNUMBER(AJ54),N54-AJ54,"")</f>
        <v/>
      </c>
      <c r="AL54" s="21">
        <f>IF(ISNUMBER(AJ54),IF(AJ54&gt;0,AK54/AJ54,""),"")</f>
        <v/>
      </c>
      <c r="AM54" s="31">
        <f>IF(AY54&lt;&gt;1,"",IFERROR(IF(INDEX('分群統計'!$K$5:$K$8,MATCH(X54,'分群統計'!$A$5:$A$8,0))&lt;3,"",IF(INDEX('分群統計'!$M$5:$M$8,MATCH(X54,'分群統計'!$A$5:$A$8,0))&gt;0,MAX(-3,MIN(3,(AX54-INDEX('分群統計'!$L$5:$L$8,MATCH(X54,'分群統計'!$A$5:$A$8,0)))/INDEX('分群統計'!$M$5:$M$8,MATCH(X54,'分群統計'!$A$5:$A$8,0)))),0)),""))</f>
        <v/>
      </c>
      <c r="AN54" s="31">
        <f>IF(ISNUMBER(AB54),IF(Z54&gt;0,AB54/Z54*100,""),"")</f>
        <v/>
      </c>
      <c r="AO54" s="31">
        <f>IF(BA54&lt;&gt;1,"",IFERROR(IF(INDEX('分群統計'!$N$5:$N$8,MATCH(X54,'分群統計'!$A$5:$A$8,0))&lt;3,"",IF(INDEX('分群統計'!$P$5:$P$8,MATCH(X54,'分群統計'!$A$5:$A$8,0))&gt;0,MAX(-3,MIN(3,(AZ54-INDEX('分群統計'!$O$5:$O$8,MATCH(X54,'分群統計'!$A$5:$A$8,0)))/INDEX('分群統計'!$P$5:$P$8,MATCH(X54,'分群統計'!$A$5:$A$8,0)))),0)),""))</f>
        <v/>
      </c>
      <c r="AP54" s="31">
        <f>IF(BC54&lt;&gt;1,"",IFERROR(IF(INDEX('分群統計'!$Q$5:$Q$8,MATCH(X54,'分群統計'!$A$5:$A$8,0))&lt;3,"",IF(INDEX('分群統計'!$S$5:$S$8,MATCH(X54,'分群統計'!$A$5:$A$8,0))&gt;0,MAX(-3,MIN(3,(BB54-INDEX('分群統計'!$R$5:$R$8,MATCH(X54,'分群統計'!$A$5:$A$8,0)))/INDEX('分群統計'!$S$5:$S$8,MATCH(X54,'分群統計'!$A$5:$A$8,0)))),0)),""))</f>
        <v/>
      </c>
      <c r="AQ54" s="31">
        <f>IF(Y54=1,(IF(ISNUMBER(AF54),AF54,0)*'參數'!$B$13+IF(ISNUMBER(AM54),AM54,0)*'參數'!$B$14+IF(ISNUMBER(AO54),AO54,0)*'參數'!$B$15+IF(ISNUMBER(AP54),AP54,0)*'參數'!$B$16)/('參數'!$B$13+'參數'!$B$14+'參數'!$B$15+'參數'!$B$16),"")</f>
        <v/>
      </c>
      <c r="AR54" s="35">
        <f>IF(Y54=1,(SUMPRODUCT(($X$5:$X$404=X54)*($Y$5:$Y$404=1)*($BD$5:$BD$404&gt;BD54))+1)/COUNTIFS($X$5:$X$404,X54,$Y$5:$Y$404,1),"")</f>
        <v/>
      </c>
      <c r="AS54" s="8">
        <f>IF(ISNUMBER(AR54),IF(AR54&lt;='參數'!$B$18,"加碼候選",IF(AR54&gt;'參數'!$B$19,"減碼候選","")),"")</f>
        <v/>
      </c>
      <c r="AT54" s="7">
        <f>IF(Y54=1,N54,0)</f>
        <v/>
      </c>
      <c r="AU54" s="7">
        <f>IF(Y54=1,LN(O54),0)</f>
        <v/>
      </c>
      <c r="AV54" s="36">
        <f>IF(Y54=1,IF(ISNUMBER(F54),F54,0),0)</f>
        <v/>
      </c>
      <c r="AW54" s="7">
        <f>IF(Y54=1,Z54,0)</f>
        <v/>
      </c>
      <c r="AX54" s="7">
        <f>IF(Y54=1,IF(ISNUMBER(AL54),AL54,0),0)</f>
        <v/>
      </c>
      <c r="AY54" s="7">
        <f>IF(Y54=1,IF(ISNUMBER(AL54),1,0),0)</f>
        <v/>
      </c>
      <c r="AZ54" s="7">
        <f>IF(Y54=1,IF(ISNUMBER(AN54),AN54,0),0)</f>
        <v/>
      </c>
      <c r="BA54" s="7">
        <f>IF(Y54=1,IF(ISNUMBER(AN54),1,0),0)</f>
        <v/>
      </c>
      <c r="BB54" s="7">
        <f>IF(Y54=1,IF(ISNUMBER(T54),T54,0),0)</f>
        <v/>
      </c>
      <c r="BC54" s="7">
        <f>IF(Y54=1,IF(ISNUMBER(T54),1,0),0)</f>
        <v/>
      </c>
      <c r="BD54" s="7">
        <f>IF(Y54=1,AQ54+ROW()/1E9,-1E9)</f>
        <v/>
      </c>
      <c r="BE54" s="7">
        <f>IF(Y54=1,AQ54+ROW()/1E9,1E9)</f>
        <v/>
      </c>
    </row>
    <row r="55">
      <c r="A55" s="16" t="n"/>
      <c r="B55" s="8">
        <f>IF($A55="","",BDP($A55,B$3))</f>
        <v/>
      </c>
      <c r="C55" s="8">
        <f>IF($A55="","",BDP($A55,C$3))</f>
        <v/>
      </c>
      <c r="D55" s="28">
        <f>IF($A55="","",BDP($A55,D$3))</f>
        <v/>
      </c>
      <c r="E55" s="29">
        <f>IF($A55="","",BDP($A55,E$3))</f>
        <v/>
      </c>
      <c r="F55" s="17">
        <f>IF($A55="","",BDP($A55,F$3))</f>
        <v/>
      </c>
      <c r="G55" s="8">
        <f>IF($A55="","",BDP($A55,G$3))</f>
        <v/>
      </c>
      <c r="H55" s="8">
        <f>IF($A55="","",BDP($A55,H$3))</f>
        <v/>
      </c>
      <c r="I55" s="8">
        <f>IF($A55="","",BDP($A55,I$3))</f>
        <v/>
      </c>
      <c r="J55" s="8">
        <f>IF($A55="","",BDP($A55,J$3))</f>
        <v/>
      </c>
      <c r="K55" s="8">
        <f>IF($A55="","",BDP($A55,K$3))</f>
        <v/>
      </c>
      <c r="L55" s="28">
        <f>IF($A55="","",BDP($A55,L$3))</f>
        <v/>
      </c>
      <c r="M55" s="28">
        <f>IF($A55="","",BDP($A55,M$3))</f>
        <v/>
      </c>
      <c r="N55" s="30">
        <f>IF($A55="","",BDP($A55,N$3))</f>
        <v/>
      </c>
      <c r="O55" s="31">
        <f>IF($A55="","",BDP($A55,O$3))</f>
        <v/>
      </c>
      <c r="P55" s="30">
        <f>IF($A55="","",BDH($A55,$N$3,'參數'!$B$5,'參數'!$B$5,"Days=A","Fill=P","Dates=H"))</f>
        <v/>
      </c>
      <c r="Q55" s="30">
        <f>IF($A55="","",BDH($A55,$N$3,'參數'!$B$6,'參數'!$B$6,"Days=A","Fill=P","Dates=H"))</f>
        <v/>
      </c>
      <c r="R55" s="30">
        <f>IF($A55="","",BDH($A55,$N$3,'參數'!$B$7,'參數'!$B$7,"Days=A","Fill=P","Dates=H"))</f>
        <v/>
      </c>
      <c r="S55" s="32">
        <f>IF($A55="","",IFERROR(INDEX('發行人'!$A$5:$A$44,MATCH(B55,'發行人'!$D$5:$D$44,0)),"未對應"))</f>
        <v/>
      </c>
      <c r="T55" s="24">
        <f>IF($A55="","",IFERROR(INDEX('發行人'!$G$5:$G$44,MATCH(B55,'發行人'!$D$5:$D$44,0))+0,""))</f>
        <v/>
      </c>
      <c r="U55" s="18">
        <f>IF(ISNUMBER(E55),YEARFRAC('參數'!$B$4,E55),"")</f>
        <v/>
      </c>
      <c r="V55" s="8">
        <f>IF(U55="","",IF(U55&lt;3,"1-3y",IF(U55&lt;5,"3-5y",IF(U55&lt;7,"5-7y",IF(U55&lt;10,"7-10y","10y+")))))</f>
        <v/>
      </c>
      <c r="W55" s="30">
        <f>IF($A55="","",IFERROR(INDEX('參數'!$B$24:$B$45,MATCH(G55,'參數'!$A$24:$A$45,0)),""))</f>
        <v/>
      </c>
      <c r="X55" s="8">
        <f>IF($A55="","",IFERROR(INDEX('參數'!$C$24:$C$45,MATCH(G55,'參數'!$A$24:$A$45,0)),""))</f>
        <v/>
      </c>
      <c r="Y55" s="30">
        <f>IF(AND(ISNUMBER(N55),ISNUMBER(O55),ISNUMBER(U55)),IF(AND(O55&gt;0,X55&lt;&gt;""),1,0),0)</f>
        <v/>
      </c>
      <c r="Z55" s="17">
        <f>IF(Y55=1,O55*N55,"")</f>
        <v/>
      </c>
      <c r="AA55" s="33">
        <f>IF(Y55=1,IF(ISNUMBER(Q55),N55-Q55,""),"")</f>
        <v/>
      </c>
      <c r="AB55" s="33">
        <f>IF(Y55=1,IF(AND(ISNUMBER(P55),ISNUMBER(R55)),R55*5/12-O55*(P55-R55),""),"")</f>
        <v/>
      </c>
      <c r="AC55" s="30">
        <f>IF(Y55=1,COUNTIFS($X$5:$X$404,X55,$V$5:$V$404,V55,$Y$5:$Y$404,1),"")</f>
        <v/>
      </c>
      <c r="AD55" s="30">
        <f>IF(Y55=1,IFERROR(IF(AC55&gt;='參數'!$B$9,INDEX('分群統計'!$G$13:$K$16,MATCH(X55,'分群統計'!$A$13:$A$16,0),MATCH(V55,'分群統計'!$G$12:$K$12,0)),INDEX('分群統計'!$I$5:$I$8,MATCH(X55,'分群統計'!$A$5:$A$8,0))),""),"")</f>
        <v/>
      </c>
      <c r="AE55" s="18">
        <f>IF(Y55=1,IFERROR(IF(AC55&gt;='參數'!$B$9,INDEX('分群統計'!$L$13:$P$16,MATCH(X55,'分群統計'!$A$13:$A$16,0),MATCH(V55,'分群統計'!$L$12:$P$12,0)),INDEX('分群統計'!$J$5:$J$8,MATCH(X55,'分群統計'!$A$5:$A$8,0))),""),"")</f>
        <v/>
      </c>
      <c r="AF55" s="31">
        <f>IF(ISNUMBER(AE55),IF(AE55&gt;0,MAX(-3,MIN(3,(N55-AD55)/AE55)),0),"")</f>
        <v/>
      </c>
      <c r="AG55" s="30">
        <f>IF(Y55=1,COUNTIFS($B$5:$B$404,B55,$Y$5:$Y$404,1),"")</f>
        <v/>
      </c>
      <c r="AH55" s="30">
        <f>IF(Y55=1,IFERROR(IF(ISNUMBER(INDEX('分群統計'!$G$20:$G$59,MATCH(B55,'分群統計'!$A$20:$A$59,0))),INDEX('分群統計'!$H$20:$H$59,MATCH(B55,'分群統計'!$A$20:$A$59,0))+INDEX('分群統計'!$G$20:$G$59,MATCH(B55,'分群統計'!$A$20:$A$59,0))*AU55,""),""),"")</f>
        <v/>
      </c>
      <c r="AI55" s="34">
        <f>IF(ISNUMBER(AH55),N55-AH55,"")</f>
        <v/>
      </c>
      <c r="AJ55" s="30">
        <f>IF(Y55=1,IFERROR(IF(ISNUMBER(INDEX('分群統計'!$G$5:$G$8,MATCH(X55,'分群統計'!$A$5:$A$8,0))),INDEX('分群統計'!$H$5:$H$8,MATCH(X55,'分群統計'!$A$5:$A$8,0))+INDEX('分群統計'!$G$5:$G$8,MATCH(X55,'分群統計'!$A$5:$A$8,0))*AU55,""),""),"")</f>
        <v/>
      </c>
      <c r="AK55" s="34">
        <f>IF(ISNUMBER(AJ55),N55-AJ55,"")</f>
        <v/>
      </c>
      <c r="AL55" s="21">
        <f>IF(ISNUMBER(AJ55),IF(AJ55&gt;0,AK55/AJ55,""),"")</f>
        <v/>
      </c>
      <c r="AM55" s="31">
        <f>IF(AY55&lt;&gt;1,"",IFERROR(IF(INDEX('分群統計'!$K$5:$K$8,MATCH(X55,'分群統計'!$A$5:$A$8,0))&lt;3,"",IF(INDEX('分群統計'!$M$5:$M$8,MATCH(X55,'分群統計'!$A$5:$A$8,0))&gt;0,MAX(-3,MIN(3,(AX55-INDEX('分群統計'!$L$5:$L$8,MATCH(X55,'分群統計'!$A$5:$A$8,0)))/INDEX('分群統計'!$M$5:$M$8,MATCH(X55,'分群統計'!$A$5:$A$8,0)))),0)),""))</f>
        <v/>
      </c>
      <c r="AN55" s="31">
        <f>IF(ISNUMBER(AB55),IF(Z55&gt;0,AB55/Z55*100,""),"")</f>
        <v/>
      </c>
      <c r="AO55" s="31">
        <f>IF(BA55&lt;&gt;1,"",IFERROR(IF(INDEX('分群統計'!$N$5:$N$8,MATCH(X55,'分群統計'!$A$5:$A$8,0))&lt;3,"",IF(INDEX('分群統計'!$P$5:$P$8,MATCH(X55,'分群統計'!$A$5:$A$8,0))&gt;0,MAX(-3,MIN(3,(AZ55-INDEX('分群統計'!$O$5:$O$8,MATCH(X55,'分群統計'!$A$5:$A$8,0)))/INDEX('分群統計'!$P$5:$P$8,MATCH(X55,'分群統計'!$A$5:$A$8,0)))),0)),""))</f>
        <v/>
      </c>
      <c r="AP55" s="31">
        <f>IF(BC55&lt;&gt;1,"",IFERROR(IF(INDEX('分群統計'!$Q$5:$Q$8,MATCH(X55,'分群統計'!$A$5:$A$8,0))&lt;3,"",IF(INDEX('分群統計'!$S$5:$S$8,MATCH(X55,'分群統計'!$A$5:$A$8,0))&gt;0,MAX(-3,MIN(3,(BB55-INDEX('分群統計'!$R$5:$R$8,MATCH(X55,'分群統計'!$A$5:$A$8,0)))/INDEX('分群統計'!$S$5:$S$8,MATCH(X55,'分群統計'!$A$5:$A$8,0)))),0)),""))</f>
        <v/>
      </c>
      <c r="AQ55" s="31">
        <f>IF(Y55=1,(IF(ISNUMBER(AF55),AF55,0)*'參數'!$B$13+IF(ISNUMBER(AM55),AM55,0)*'參數'!$B$14+IF(ISNUMBER(AO55),AO55,0)*'參數'!$B$15+IF(ISNUMBER(AP55),AP55,0)*'參數'!$B$16)/('參數'!$B$13+'參數'!$B$14+'參數'!$B$15+'參數'!$B$16),"")</f>
        <v/>
      </c>
      <c r="AR55" s="35">
        <f>IF(Y55=1,(SUMPRODUCT(($X$5:$X$404=X55)*($Y$5:$Y$404=1)*($BD$5:$BD$404&gt;BD55))+1)/COUNTIFS($X$5:$X$404,X55,$Y$5:$Y$404,1),"")</f>
        <v/>
      </c>
      <c r="AS55" s="8">
        <f>IF(ISNUMBER(AR55),IF(AR55&lt;='參數'!$B$18,"加碼候選",IF(AR55&gt;'參數'!$B$19,"減碼候選","")),"")</f>
        <v/>
      </c>
      <c r="AT55" s="7">
        <f>IF(Y55=1,N55,0)</f>
        <v/>
      </c>
      <c r="AU55" s="7">
        <f>IF(Y55=1,LN(O55),0)</f>
        <v/>
      </c>
      <c r="AV55" s="36">
        <f>IF(Y55=1,IF(ISNUMBER(F55),F55,0),0)</f>
        <v/>
      </c>
      <c r="AW55" s="7">
        <f>IF(Y55=1,Z55,0)</f>
        <v/>
      </c>
      <c r="AX55" s="7">
        <f>IF(Y55=1,IF(ISNUMBER(AL55),AL55,0),0)</f>
        <v/>
      </c>
      <c r="AY55" s="7">
        <f>IF(Y55=1,IF(ISNUMBER(AL55),1,0),0)</f>
        <v/>
      </c>
      <c r="AZ55" s="7">
        <f>IF(Y55=1,IF(ISNUMBER(AN55),AN55,0),0)</f>
        <v/>
      </c>
      <c r="BA55" s="7">
        <f>IF(Y55=1,IF(ISNUMBER(AN55),1,0),0)</f>
        <v/>
      </c>
      <c r="BB55" s="7">
        <f>IF(Y55=1,IF(ISNUMBER(T55),T55,0),0)</f>
        <v/>
      </c>
      <c r="BC55" s="7">
        <f>IF(Y55=1,IF(ISNUMBER(T55),1,0),0)</f>
        <v/>
      </c>
      <c r="BD55" s="7">
        <f>IF(Y55=1,AQ55+ROW()/1E9,-1E9)</f>
        <v/>
      </c>
      <c r="BE55" s="7">
        <f>IF(Y55=1,AQ55+ROW()/1E9,1E9)</f>
        <v/>
      </c>
    </row>
    <row r="56">
      <c r="A56" s="16" t="n"/>
      <c r="B56" s="8">
        <f>IF($A56="","",BDP($A56,B$3))</f>
        <v/>
      </c>
      <c r="C56" s="8">
        <f>IF($A56="","",BDP($A56,C$3))</f>
        <v/>
      </c>
      <c r="D56" s="28">
        <f>IF($A56="","",BDP($A56,D$3))</f>
        <v/>
      </c>
      <c r="E56" s="29">
        <f>IF($A56="","",BDP($A56,E$3))</f>
        <v/>
      </c>
      <c r="F56" s="17">
        <f>IF($A56="","",BDP($A56,F$3))</f>
        <v/>
      </c>
      <c r="G56" s="8">
        <f>IF($A56="","",BDP($A56,G$3))</f>
        <v/>
      </c>
      <c r="H56" s="8">
        <f>IF($A56="","",BDP($A56,H$3))</f>
        <v/>
      </c>
      <c r="I56" s="8">
        <f>IF($A56="","",BDP($A56,I$3))</f>
        <v/>
      </c>
      <c r="J56" s="8">
        <f>IF($A56="","",BDP($A56,J$3))</f>
        <v/>
      </c>
      <c r="K56" s="8">
        <f>IF($A56="","",BDP($A56,K$3))</f>
        <v/>
      </c>
      <c r="L56" s="28">
        <f>IF($A56="","",BDP($A56,L$3))</f>
        <v/>
      </c>
      <c r="M56" s="28">
        <f>IF($A56="","",BDP($A56,M$3))</f>
        <v/>
      </c>
      <c r="N56" s="30">
        <f>IF($A56="","",BDP($A56,N$3))</f>
        <v/>
      </c>
      <c r="O56" s="31">
        <f>IF($A56="","",BDP($A56,O$3))</f>
        <v/>
      </c>
      <c r="P56" s="30">
        <f>IF($A56="","",BDH($A56,$N$3,'參數'!$B$5,'參數'!$B$5,"Days=A","Fill=P","Dates=H"))</f>
        <v/>
      </c>
      <c r="Q56" s="30">
        <f>IF($A56="","",BDH($A56,$N$3,'參數'!$B$6,'參數'!$B$6,"Days=A","Fill=P","Dates=H"))</f>
        <v/>
      </c>
      <c r="R56" s="30">
        <f>IF($A56="","",BDH($A56,$N$3,'參數'!$B$7,'參數'!$B$7,"Days=A","Fill=P","Dates=H"))</f>
        <v/>
      </c>
      <c r="S56" s="32">
        <f>IF($A56="","",IFERROR(INDEX('發行人'!$A$5:$A$44,MATCH(B56,'發行人'!$D$5:$D$44,0)),"未對應"))</f>
        <v/>
      </c>
      <c r="T56" s="24">
        <f>IF($A56="","",IFERROR(INDEX('發行人'!$G$5:$G$44,MATCH(B56,'發行人'!$D$5:$D$44,0))+0,""))</f>
        <v/>
      </c>
      <c r="U56" s="18">
        <f>IF(ISNUMBER(E56),YEARFRAC('參數'!$B$4,E56),"")</f>
        <v/>
      </c>
      <c r="V56" s="8">
        <f>IF(U56="","",IF(U56&lt;3,"1-3y",IF(U56&lt;5,"3-5y",IF(U56&lt;7,"5-7y",IF(U56&lt;10,"7-10y","10y+")))))</f>
        <v/>
      </c>
      <c r="W56" s="30">
        <f>IF($A56="","",IFERROR(INDEX('參數'!$B$24:$B$45,MATCH(G56,'參數'!$A$24:$A$45,0)),""))</f>
        <v/>
      </c>
      <c r="X56" s="8">
        <f>IF($A56="","",IFERROR(INDEX('參數'!$C$24:$C$45,MATCH(G56,'參數'!$A$24:$A$45,0)),""))</f>
        <v/>
      </c>
      <c r="Y56" s="30">
        <f>IF(AND(ISNUMBER(N56),ISNUMBER(O56),ISNUMBER(U56)),IF(AND(O56&gt;0,X56&lt;&gt;""),1,0),0)</f>
        <v/>
      </c>
      <c r="Z56" s="17">
        <f>IF(Y56=1,O56*N56,"")</f>
        <v/>
      </c>
      <c r="AA56" s="33">
        <f>IF(Y56=1,IF(ISNUMBER(Q56),N56-Q56,""),"")</f>
        <v/>
      </c>
      <c r="AB56" s="33">
        <f>IF(Y56=1,IF(AND(ISNUMBER(P56),ISNUMBER(R56)),R56*5/12-O56*(P56-R56),""),"")</f>
        <v/>
      </c>
      <c r="AC56" s="30">
        <f>IF(Y56=1,COUNTIFS($X$5:$X$404,X56,$V$5:$V$404,V56,$Y$5:$Y$404,1),"")</f>
        <v/>
      </c>
      <c r="AD56" s="30">
        <f>IF(Y56=1,IFERROR(IF(AC56&gt;='參數'!$B$9,INDEX('分群統計'!$G$13:$K$16,MATCH(X56,'分群統計'!$A$13:$A$16,0),MATCH(V56,'分群統計'!$G$12:$K$12,0)),INDEX('分群統計'!$I$5:$I$8,MATCH(X56,'分群統計'!$A$5:$A$8,0))),""),"")</f>
        <v/>
      </c>
      <c r="AE56" s="18">
        <f>IF(Y56=1,IFERROR(IF(AC56&gt;='參數'!$B$9,INDEX('分群統計'!$L$13:$P$16,MATCH(X56,'分群統計'!$A$13:$A$16,0),MATCH(V56,'分群統計'!$L$12:$P$12,0)),INDEX('分群統計'!$J$5:$J$8,MATCH(X56,'分群統計'!$A$5:$A$8,0))),""),"")</f>
        <v/>
      </c>
      <c r="AF56" s="31">
        <f>IF(ISNUMBER(AE56),IF(AE56&gt;0,MAX(-3,MIN(3,(N56-AD56)/AE56)),0),"")</f>
        <v/>
      </c>
      <c r="AG56" s="30">
        <f>IF(Y56=1,COUNTIFS($B$5:$B$404,B56,$Y$5:$Y$404,1),"")</f>
        <v/>
      </c>
      <c r="AH56" s="30">
        <f>IF(Y56=1,IFERROR(IF(ISNUMBER(INDEX('分群統計'!$G$20:$G$59,MATCH(B56,'分群統計'!$A$20:$A$59,0))),INDEX('分群統計'!$H$20:$H$59,MATCH(B56,'分群統計'!$A$20:$A$59,0))+INDEX('分群統計'!$G$20:$G$59,MATCH(B56,'分群統計'!$A$20:$A$59,0))*AU56,""),""),"")</f>
        <v/>
      </c>
      <c r="AI56" s="34">
        <f>IF(ISNUMBER(AH56),N56-AH56,"")</f>
        <v/>
      </c>
      <c r="AJ56" s="30">
        <f>IF(Y56=1,IFERROR(IF(ISNUMBER(INDEX('分群統計'!$G$5:$G$8,MATCH(X56,'分群統計'!$A$5:$A$8,0))),INDEX('分群統計'!$H$5:$H$8,MATCH(X56,'分群統計'!$A$5:$A$8,0))+INDEX('分群統計'!$G$5:$G$8,MATCH(X56,'分群統計'!$A$5:$A$8,0))*AU56,""),""),"")</f>
        <v/>
      </c>
      <c r="AK56" s="34">
        <f>IF(ISNUMBER(AJ56),N56-AJ56,"")</f>
        <v/>
      </c>
      <c r="AL56" s="21">
        <f>IF(ISNUMBER(AJ56),IF(AJ56&gt;0,AK56/AJ56,""),"")</f>
        <v/>
      </c>
      <c r="AM56" s="31">
        <f>IF(AY56&lt;&gt;1,"",IFERROR(IF(INDEX('分群統計'!$K$5:$K$8,MATCH(X56,'分群統計'!$A$5:$A$8,0))&lt;3,"",IF(INDEX('分群統計'!$M$5:$M$8,MATCH(X56,'分群統計'!$A$5:$A$8,0))&gt;0,MAX(-3,MIN(3,(AX56-INDEX('分群統計'!$L$5:$L$8,MATCH(X56,'分群統計'!$A$5:$A$8,0)))/INDEX('分群統計'!$M$5:$M$8,MATCH(X56,'分群統計'!$A$5:$A$8,0)))),0)),""))</f>
        <v/>
      </c>
      <c r="AN56" s="31">
        <f>IF(ISNUMBER(AB56),IF(Z56&gt;0,AB56/Z56*100,""),"")</f>
        <v/>
      </c>
      <c r="AO56" s="31">
        <f>IF(BA56&lt;&gt;1,"",IFERROR(IF(INDEX('分群統計'!$N$5:$N$8,MATCH(X56,'分群統計'!$A$5:$A$8,0))&lt;3,"",IF(INDEX('分群統計'!$P$5:$P$8,MATCH(X56,'分群統計'!$A$5:$A$8,0))&gt;0,MAX(-3,MIN(3,(AZ56-INDEX('分群統計'!$O$5:$O$8,MATCH(X56,'分群統計'!$A$5:$A$8,0)))/INDEX('分群統計'!$P$5:$P$8,MATCH(X56,'分群統計'!$A$5:$A$8,0)))),0)),""))</f>
        <v/>
      </c>
      <c r="AP56" s="31">
        <f>IF(BC56&lt;&gt;1,"",IFERROR(IF(INDEX('分群統計'!$Q$5:$Q$8,MATCH(X56,'分群統計'!$A$5:$A$8,0))&lt;3,"",IF(INDEX('分群統計'!$S$5:$S$8,MATCH(X56,'分群統計'!$A$5:$A$8,0))&gt;0,MAX(-3,MIN(3,(BB56-INDEX('分群統計'!$R$5:$R$8,MATCH(X56,'分群統計'!$A$5:$A$8,0)))/INDEX('分群統計'!$S$5:$S$8,MATCH(X56,'分群統計'!$A$5:$A$8,0)))),0)),""))</f>
        <v/>
      </c>
      <c r="AQ56" s="31">
        <f>IF(Y56=1,(IF(ISNUMBER(AF56),AF56,0)*'參數'!$B$13+IF(ISNUMBER(AM56),AM56,0)*'參數'!$B$14+IF(ISNUMBER(AO56),AO56,0)*'參數'!$B$15+IF(ISNUMBER(AP56),AP56,0)*'參數'!$B$16)/('參數'!$B$13+'參數'!$B$14+'參數'!$B$15+'參數'!$B$16),"")</f>
        <v/>
      </c>
      <c r="AR56" s="35">
        <f>IF(Y56=1,(SUMPRODUCT(($X$5:$X$404=X56)*($Y$5:$Y$404=1)*($BD$5:$BD$404&gt;BD56))+1)/COUNTIFS($X$5:$X$404,X56,$Y$5:$Y$404,1),"")</f>
        <v/>
      </c>
      <c r="AS56" s="8">
        <f>IF(ISNUMBER(AR56),IF(AR56&lt;='參數'!$B$18,"加碼候選",IF(AR56&gt;'參數'!$B$19,"減碼候選","")),"")</f>
        <v/>
      </c>
      <c r="AT56" s="7">
        <f>IF(Y56=1,N56,0)</f>
        <v/>
      </c>
      <c r="AU56" s="7">
        <f>IF(Y56=1,LN(O56),0)</f>
        <v/>
      </c>
      <c r="AV56" s="36">
        <f>IF(Y56=1,IF(ISNUMBER(F56),F56,0),0)</f>
        <v/>
      </c>
      <c r="AW56" s="7">
        <f>IF(Y56=1,Z56,0)</f>
        <v/>
      </c>
      <c r="AX56" s="7">
        <f>IF(Y56=1,IF(ISNUMBER(AL56),AL56,0),0)</f>
        <v/>
      </c>
      <c r="AY56" s="7">
        <f>IF(Y56=1,IF(ISNUMBER(AL56),1,0),0)</f>
        <v/>
      </c>
      <c r="AZ56" s="7">
        <f>IF(Y56=1,IF(ISNUMBER(AN56),AN56,0),0)</f>
        <v/>
      </c>
      <c r="BA56" s="7">
        <f>IF(Y56=1,IF(ISNUMBER(AN56),1,0),0)</f>
        <v/>
      </c>
      <c r="BB56" s="7">
        <f>IF(Y56=1,IF(ISNUMBER(T56),T56,0),0)</f>
        <v/>
      </c>
      <c r="BC56" s="7">
        <f>IF(Y56=1,IF(ISNUMBER(T56),1,0),0)</f>
        <v/>
      </c>
      <c r="BD56" s="7">
        <f>IF(Y56=1,AQ56+ROW()/1E9,-1E9)</f>
        <v/>
      </c>
      <c r="BE56" s="7">
        <f>IF(Y56=1,AQ56+ROW()/1E9,1E9)</f>
        <v/>
      </c>
    </row>
    <row r="57">
      <c r="A57" s="16" t="n"/>
      <c r="B57" s="8">
        <f>IF($A57="","",BDP($A57,B$3))</f>
        <v/>
      </c>
      <c r="C57" s="8">
        <f>IF($A57="","",BDP($A57,C$3))</f>
        <v/>
      </c>
      <c r="D57" s="28">
        <f>IF($A57="","",BDP($A57,D$3))</f>
        <v/>
      </c>
      <c r="E57" s="29">
        <f>IF($A57="","",BDP($A57,E$3))</f>
        <v/>
      </c>
      <c r="F57" s="17">
        <f>IF($A57="","",BDP($A57,F$3))</f>
        <v/>
      </c>
      <c r="G57" s="8">
        <f>IF($A57="","",BDP($A57,G$3))</f>
        <v/>
      </c>
      <c r="H57" s="8">
        <f>IF($A57="","",BDP($A57,H$3))</f>
        <v/>
      </c>
      <c r="I57" s="8">
        <f>IF($A57="","",BDP($A57,I$3))</f>
        <v/>
      </c>
      <c r="J57" s="8">
        <f>IF($A57="","",BDP($A57,J$3))</f>
        <v/>
      </c>
      <c r="K57" s="8">
        <f>IF($A57="","",BDP($A57,K$3))</f>
        <v/>
      </c>
      <c r="L57" s="28">
        <f>IF($A57="","",BDP($A57,L$3))</f>
        <v/>
      </c>
      <c r="M57" s="28">
        <f>IF($A57="","",BDP($A57,M$3))</f>
        <v/>
      </c>
      <c r="N57" s="30">
        <f>IF($A57="","",BDP($A57,N$3))</f>
        <v/>
      </c>
      <c r="O57" s="31">
        <f>IF($A57="","",BDP($A57,O$3))</f>
        <v/>
      </c>
      <c r="P57" s="30">
        <f>IF($A57="","",BDH($A57,$N$3,'參數'!$B$5,'參數'!$B$5,"Days=A","Fill=P","Dates=H"))</f>
        <v/>
      </c>
      <c r="Q57" s="30">
        <f>IF($A57="","",BDH($A57,$N$3,'參數'!$B$6,'參數'!$B$6,"Days=A","Fill=P","Dates=H"))</f>
        <v/>
      </c>
      <c r="R57" s="30">
        <f>IF($A57="","",BDH($A57,$N$3,'參數'!$B$7,'參數'!$B$7,"Days=A","Fill=P","Dates=H"))</f>
        <v/>
      </c>
      <c r="S57" s="32">
        <f>IF($A57="","",IFERROR(INDEX('發行人'!$A$5:$A$44,MATCH(B57,'發行人'!$D$5:$D$44,0)),"未對應"))</f>
        <v/>
      </c>
      <c r="T57" s="24">
        <f>IF($A57="","",IFERROR(INDEX('發行人'!$G$5:$G$44,MATCH(B57,'發行人'!$D$5:$D$44,0))+0,""))</f>
        <v/>
      </c>
      <c r="U57" s="18">
        <f>IF(ISNUMBER(E57),YEARFRAC('參數'!$B$4,E57),"")</f>
        <v/>
      </c>
      <c r="V57" s="8">
        <f>IF(U57="","",IF(U57&lt;3,"1-3y",IF(U57&lt;5,"3-5y",IF(U57&lt;7,"5-7y",IF(U57&lt;10,"7-10y","10y+")))))</f>
        <v/>
      </c>
      <c r="W57" s="30">
        <f>IF($A57="","",IFERROR(INDEX('參數'!$B$24:$B$45,MATCH(G57,'參數'!$A$24:$A$45,0)),""))</f>
        <v/>
      </c>
      <c r="X57" s="8">
        <f>IF($A57="","",IFERROR(INDEX('參數'!$C$24:$C$45,MATCH(G57,'參數'!$A$24:$A$45,0)),""))</f>
        <v/>
      </c>
      <c r="Y57" s="30">
        <f>IF(AND(ISNUMBER(N57),ISNUMBER(O57),ISNUMBER(U57)),IF(AND(O57&gt;0,X57&lt;&gt;""),1,0),0)</f>
        <v/>
      </c>
      <c r="Z57" s="17">
        <f>IF(Y57=1,O57*N57,"")</f>
        <v/>
      </c>
      <c r="AA57" s="33">
        <f>IF(Y57=1,IF(ISNUMBER(Q57),N57-Q57,""),"")</f>
        <v/>
      </c>
      <c r="AB57" s="33">
        <f>IF(Y57=1,IF(AND(ISNUMBER(P57),ISNUMBER(R57)),R57*5/12-O57*(P57-R57),""),"")</f>
        <v/>
      </c>
      <c r="AC57" s="30">
        <f>IF(Y57=1,COUNTIFS($X$5:$X$404,X57,$V$5:$V$404,V57,$Y$5:$Y$404,1),"")</f>
        <v/>
      </c>
      <c r="AD57" s="30">
        <f>IF(Y57=1,IFERROR(IF(AC57&gt;='參數'!$B$9,INDEX('分群統計'!$G$13:$K$16,MATCH(X57,'分群統計'!$A$13:$A$16,0),MATCH(V57,'分群統計'!$G$12:$K$12,0)),INDEX('分群統計'!$I$5:$I$8,MATCH(X57,'分群統計'!$A$5:$A$8,0))),""),"")</f>
        <v/>
      </c>
      <c r="AE57" s="18">
        <f>IF(Y57=1,IFERROR(IF(AC57&gt;='參數'!$B$9,INDEX('分群統計'!$L$13:$P$16,MATCH(X57,'分群統計'!$A$13:$A$16,0),MATCH(V57,'分群統計'!$L$12:$P$12,0)),INDEX('分群統計'!$J$5:$J$8,MATCH(X57,'分群統計'!$A$5:$A$8,0))),""),"")</f>
        <v/>
      </c>
      <c r="AF57" s="31">
        <f>IF(ISNUMBER(AE57),IF(AE57&gt;0,MAX(-3,MIN(3,(N57-AD57)/AE57)),0),"")</f>
        <v/>
      </c>
      <c r="AG57" s="30">
        <f>IF(Y57=1,COUNTIFS($B$5:$B$404,B57,$Y$5:$Y$404,1),"")</f>
        <v/>
      </c>
      <c r="AH57" s="30">
        <f>IF(Y57=1,IFERROR(IF(ISNUMBER(INDEX('分群統計'!$G$20:$G$59,MATCH(B57,'分群統計'!$A$20:$A$59,0))),INDEX('分群統計'!$H$20:$H$59,MATCH(B57,'分群統計'!$A$20:$A$59,0))+INDEX('分群統計'!$G$20:$G$59,MATCH(B57,'分群統計'!$A$20:$A$59,0))*AU57,""),""),"")</f>
        <v/>
      </c>
      <c r="AI57" s="34">
        <f>IF(ISNUMBER(AH57),N57-AH57,"")</f>
        <v/>
      </c>
      <c r="AJ57" s="30">
        <f>IF(Y57=1,IFERROR(IF(ISNUMBER(INDEX('分群統計'!$G$5:$G$8,MATCH(X57,'分群統計'!$A$5:$A$8,0))),INDEX('分群統計'!$H$5:$H$8,MATCH(X57,'分群統計'!$A$5:$A$8,0))+INDEX('分群統計'!$G$5:$G$8,MATCH(X57,'分群統計'!$A$5:$A$8,0))*AU57,""),""),"")</f>
        <v/>
      </c>
      <c r="AK57" s="34">
        <f>IF(ISNUMBER(AJ57),N57-AJ57,"")</f>
        <v/>
      </c>
      <c r="AL57" s="21">
        <f>IF(ISNUMBER(AJ57),IF(AJ57&gt;0,AK57/AJ57,""),"")</f>
        <v/>
      </c>
      <c r="AM57" s="31">
        <f>IF(AY57&lt;&gt;1,"",IFERROR(IF(INDEX('分群統計'!$K$5:$K$8,MATCH(X57,'分群統計'!$A$5:$A$8,0))&lt;3,"",IF(INDEX('分群統計'!$M$5:$M$8,MATCH(X57,'分群統計'!$A$5:$A$8,0))&gt;0,MAX(-3,MIN(3,(AX57-INDEX('分群統計'!$L$5:$L$8,MATCH(X57,'分群統計'!$A$5:$A$8,0)))/INDEX('分群統計'!$M$5:$M$8,MATCH(X57,'分群統計'!$A$5:$A$8,0)))),0)),""))</f>
        <v/>
      </c>
      <c r="AN57" s="31">
        <f>IF(ISNUMBER(AB57),IF(Z57&gt;0,AB57/Z57*100,""),"")</f>
        <v/>
      </c>
      <c r="AO57" s="31">
        <f>IF(BA57&lt;&gt;1,"",IFERROR(IF(INDEX('分群統計'!$N$5:$N$8,MATCH(X57,'分群統計'!$A$5:$A$8,0))&lt;3,"",IF(INDEX('分群統計'!$P$5:$P$8,MATCH(X57,'分群統計'!$A$5:$A$8,0))&gt;0,MAX(-3,MIN(3,(AZ57-INDEX('分群統計'!$O$5:$O$8,MATCH(X57,'分群統計'!$A$5:$A$8,0)))/INDEX('分群統計'!$P$5:$P$8,MATCH(X57,'分群統計'!$A$5:$A$8,0)))),0)),""))</f>
        <v/>
      </c>
      <c r="AP57" s="31">
        <f>IF(BC57&lt;&gt;1,"",IFERROR(IF(INDEX('分群統計'!$Q$5:$Q$8,MATCH(X57,'分群統計'!$A$5:$A$8,0))&lt;3,"",IF(INDEX('分群統計'!$S$5:$S$8,MATCH(X57,'分群統計'!$A$5:$A$8,0))&gt;0,MAX(-3,MIN(3,(BB57-INDEX('分群統計'!$R$5:$R$8,MATCH(X57,'分群統計'!$A$5:$A$8,0)))/INDEX('分群統計'!$S$5:$S$8,MATCH(X57,'分群統計'!$A$5:$A$8,0)))),0)),""))</f>
        <v/>
      </c>
      <c r="AQ57" s="31">
        <f>IF(Y57=1,(IF(ISNUMBER(AF57),AF57,0)*'參數'!$B$13+IF(ISNUMBER(AM57),AM57,0)*'參數'!$B$14+IF(ISNUMBER(AO57),AO57,0)*'參數'!$B$15+IF(ISNUMBER(AP57),AP57,0)*'參數'!$B$16)/('參數'!$B$13+'參數'!$B$14+'參數'!$B$15+'參數'!$B$16),"")</f>
        <v/>
      </c>
      <c r="AR57" s="35">
        <f>IF(Y57=1,(SUMPRODUCT(($X$5:$X$404=X57)*($Y$5:$Y$404=1)*($BD$5:$BD$404&gt;BD57))+1)/COUNTIFS($X$5:$X$404,X57,$Y$5:$Y$404,1),"")</f>
        <v/>
      </c>
      <c r="AS57" s="8">
        <f>IF(ISNUMBER(AR57),IF(AR57&lt;='參數'!$B$18,"加碼候選",IF(AR57&gt;'參數'!$B$19,"減碼候選","")),"")</f>
        <v/>
      </c>
      <c r="AT57" s="7">
        <f>IF(Y57=1,N57,0)</f>
        <v/>
      </c>
      <c r="AU57" s="7">
        <f>IF(Y57=1,LN(O57),0)</f>
        <v/>
      </c>
      <c r="AV57" s="36">
        <f>IF(Y57=1,IF(ISNUMBER(F57),F57,0),0)</f>
        <v/>
      </c>
      <c r="AW57" s="7">
        <f>IF(Y57=1,Z57,0)</f>
        <v/>
      </c>
      <c r="AX57" s="7">
        <f>IF(Y57=1,IF(ISNUMBER(AL57),AL57,0),0)</f>
        <v/>
      </c>
      <c r="AY57" s="7">
        <f>IF(Y57=1,IF(ISNUMBER(AL57),1,0),0)</f>
        <v/>
      </c>
      <c r="AZ57" s="7">
        <f>IF(Y57=1,IF(ISNUMBER(AN57),AN57,0),0)</f>
        <v/>
      </c>
      <c r="BA57" s="7">
        <f>IF(Y57=1,IF(ISNUMBER(AN57),1,0),0)</f>
        <v/>
      </c>
      <c r="BB57" s="7">
        <f>IF(Y57=1,IF(ISNUMBER(T57),T57,0),0)</f>
        <v/>
      </c>
      <c r="BC57" s="7">
        <f>IF(Y57=1,IF(ISNUMBER(T57),1,0),0)</f>
        <v/>
      </c>
      <c r="BD57" s="7">
        <f>IF(Y57=1,AQ57+ROW()/1E9,-1E9)</f>
        <v/>
      </c>
      <c r="BE57" s="7">
        <f>IF(Y57=1,AQ57+ROW()/1E9,1E9)</f>
        <v/>
      </c>
    </row>
    <row r="58">
      <c r="A58" s="16" t="n"/>
      <c r="B58" s="8">
        <f>IF($A58="","",BDP($A58,B$3))</f>
        <v/>
      </c>
      <c r="C58" s="8">
        <f>IF($A58="","",BDP($A58,C$3))</f>
        <v/>
      </c>
      <c r="D58" s="28">
        <f>IF($A58="","",BDP($A58,D$3))</f>
        <v/>
      </c>
      <c r="E58" s="29">
        <f>IF($A58="","",BDP($A58,E$3))</f>
        <v/>
      </c>
      <c r="F58" s="17">
        <f>IF($A58="","",BDP($A58,F$3))</f>
        <v/>
      </c>
      <c r="G58" s="8">
        <f>IF($A58="","",BDP($A58,G$3))</f>
        <v/>
      </c>
      <c r="H58" s="8">
        <f>IF($A58="","",BDP($A58,H$3))</f>
        <v/>
      </c>
      <c r="I58" s="8">
        <f>IF($A58="","",BDP($A58,I$3))</f>
        <v/>
      </c>
      <c r="J58" s="8">
        <f>IF($A58="","",BDP($A58,J$3))</f>
        <v/>
      </c>
      <c r="K58" s="8">
        <f>IF($A58="","",BDP($A58,K$3))</f>
        <v/>
      </c>
      <c r="L58" s="28">
        <f>IF($A58="","",BDP($A58,L$3))</f>
        <v/>
      </c>
      <c r="M58" s="28">
        <f>IF($A58="","",BDP($A58,M$3))</f>
        <v/>
      </c>
      <c r="N58" s="30">
        <f>IF($A58="","",BDP($A58,N$3))</f>
        <v/>
      </c>
      <c r="O58" s="31">
        <f>IF($A58="","",BDP($A58,O$3))</f>
        <v/>
      </c>
      <c r="P58" s="30">
        <f>IF($A58="","",BDH($A58,$N$3,'參數'!$B$5,'參數'!$B$5,"Days=A","Fill=P","Dates=H"))</f>
        <v/>
      </c>
      <c r="Q58" s="30">
        <f>IF($A58="","",BDH($A58,$N$3,'參數'!$B$6,'參數'!$B$6,"Days=A","Fill=P","Dates=H"))</f>
        <v/>
      </c>
      <c r="R58" s="30">
        <f>IF($A58="","",BDH($A58,$N$3,'參數'!$B$7,'參數'!$B$7,"Days=A","Fill=P","Dates=H"))</f>
        <v/>
      </c>
      <c r="S58" s="32">
        <f>IF($A58="","",IFERROR(INDEX('發行人'!$A$5:$A$44,MATCH(B58,'發行人'!$D$5:$D$44,0)),"未對應"))</f>
        <v/>
      </c>
      <c r="T58" s="24">
        <f>IF($A58="","",IFERROR(INDEX('發行人'!$G$5:$G$44,MATCH(B58,'發行人'!$D$5:$D$44,0))+0,""))</f>
        <v/>
      </c>
      <c r="U58" s="18">
        <f>IF(ISNUMBER(E58),YEARFRAC('參數'!$B$4,E58),"")</f>
        <v/>
      </c>
      <c r="V58" s="8">
        <f>IF(U58="","",IF(U58&lt;3,"1-3y",IF(U58&lt;5,"3-5y",IF(U58&lt;7,"5-7y",IF(U58&lt;10,"7-10y","10y+")))))</f>
        <v/>
      </c>
      <c r="W58" s="30">
        <f>IF($A58="","",IFERROR(INDEX('參數'!$B$24:$B$45,MATCH(G58,'參數'!$A$24:$A$45,0)),""))</f>
        <v/>
      </c>
      <c r="X58" s="8">
        <f>IF($A58="","",IFERROR(INDEX('參數'!$C$24:$C$45,MATCH(G58,'參數'!$A$24:$A$45,0)),""))</f>
        <v/>
      </c>
      <c r="Y58" s="30">
        <f>IF(AND(ISNUMBER(N58),ISNUMBER(O58),ISNUMBER(U58)),IF(AND(O58&gt;0,X58&lt;&gt;""),1,0),0)</f>
        <v/>
      </c>
      <c r="Z58" s="17">
        <f>IF(Y58=1,O58*N58,"")</f>
        <v/>
      </c>
      <c r="AA58" s="33">
        <f>IF(Y58=1,IF(ISNUMBER(Q58),N58-Q58,""),"")</f>
        <v/>
      </c>
      <c r="AB58" s="33">
        <f>IF(Y58=1,IF(AND(ISNUMBER(P58),ISNUMBER(R58)),R58*5/12-O58*(P58-R58),""),"")</f>
        <v/>
      </c>
      <c r="AC58" s="30">
        <f>IF(Y58=1,COUNTIFS($X$5:$X$404,X58,$V$5:$V$404,V58,$Y$5:$Y$404,1),"")</f>
        <v/>
      </c>
      <c r="AD58" s="30">
        <f>IF(Y58=1,IFERROR(IF(AC58&gt;='參數'!$B$9,INDEX('分群統計'!$G$13:$K$16,MATCH(X58,'分群統計'!$A$13:$A$16,0),MATCH(V58,'分群統計'!$G$12:$K$12,0)),INDEX('分群統計'!$I$5:$I$8,MATCH(X58,'分群統計'!$A$5:$A$8,0))),""),"")</f>
        <v/>
      </c>
      <c r="AE58" s="18">
        <f>IF(Y58=1,IFERROR(IF(AC58&gt;='參數'!$B$9,INDEX('分群統計'!$L$13:$P$16,MATCH(X58,'分群統計'!$A$13:$A$16,0),MATCH(V58,'分群統計'!$L$12:$P$12,0)),INDEX('分群統計'!$J$5:$J$8,MATCH(X58,'分群統計'!$A$5:$A$8,0))),""),"")</f>
        <v/>
      </c>
      <c r="AF58" s="31">
        <f>IF(ISNUMBER(AE58),IF(AE58&gt;0,MAX(-3,MIN(3,(N58-AD58)/AE58)),0),"")</f>
        <v/>
      </c>
      <c r="AG58" s="30">
        <f>IF(Y58=1,COUNTIFS($B$5:$B$404,B58,$Y$5:$Y$404,1),"")</f>
        <v/>
      </c>
      <c r="AH58" s="30">
        <f>IF(Y58=1,IFERROR(IF(ISNUMBER(INDEX('分群統計'!$G$20:$G$59,MATCH(B58,'分群統計'!$A$20:$A$59,0))),INDEX('分群統計'!$H$20:$H$59,MATCH(B58,'分群統計'!$A$20:$A$59,0))+INDEX('分群統計'!$G$20:$G$59,MATCH(B58,'分群統計'!$A$20:$A$59,0))*AU58,""),""),"")</f>
        <v/>
      </c>
      <c r="AI58" s="34">
        <f>IF(ISNUMBER(AH58),N58-AH58,"")</f>
        <v/>
      </c>
      <c r="AJ58" s="30">
        <f>IF(Y58=1,IFERROR(IF(ISNUMBER(INDEX('分群統計'!$G$5:$G$8,MATCH(X58,'分群統計'!$A$5:$A$8,0))),INDEX('分群統計'!$H$5:$H$8,MATCH(X58,'分群統計'!$A$5:$A$8,0))+INDEX('分群統計'!$G$5:$G$8,MATCH(X58,'分群統計'!$A$5:$A$8,0))*AU58,""),""),"")</f>
        <v/>
      </c>
      <c r="AK58" s="34">
        <f>IF(ISNUMBER(AJ58),N58-AJ58,"")</f>
        <v/>
      </c>
      <c r="AL58" s="21">
        <f>IF(ISNUMBER(AJ58),IF(AJ58&gt;0,AK58/AJ58,""),"")</f>
        <v/>
      </c>
      <c r="AM58" s="31">
        <f>IF(AY58&lt;&gt;1,"",IFERROR(IF(INDEX('分群統計'!$K$5:$K$8,MATCH(X58,'分群統計'!$A$5:$A$8,0))&lt;3,"",IF(INDEX('分群統計'!$M$5:$M$8,MATCH(X58,'分群統計'!$A$5:$A$8,0))&gt;0,MAX(-3,MIN(3,(AX58-INDEX('分群統計'!$L$5:$L$8,MATCH(X58,'分群統計'!$A$5:$A$8,0)))/INDEX('分群統計'!$M$5:$M$8,MATCH(X58,'分群統計'!$A$5:$A$8,0)))),0)),""))</f>
        <v/>
      </c>
      <c r="AN58" s="31">
        <f>IF(ISNUMBER(AB58),IF(Z58&gt;0,AB58/Z58*100,""),"")</f>
        <v/>
      </c>
      <c r="AO58" s="31">
        <f>IF(BA58&lt;&gt;1,"",IFERROR(IF(INDEX('分群統計'!$N$5:$N$8,MATCH(X58,'分群統計'!$A$5:$A$8,0))&lt;3,"",IF(INDEX('分群統計'!$P$5:$P$8,MATCH(X58,'分群統計'!$A$5:$A$8,0))&gt;0,MAX(-3,MIN(3,(AZ58-INDEX('分群統計'!$O$5:$O$8,MATCH(X58,'分群統計'!$A$5:$A$8,0)))/INDEX('分群統計'!$P$5:$P$8,MATCH(X58,'分群統計'!$A$5:$A$8,0)))),0)),""))</f>
        <v/>
      </c>
      <c r="AP58" s="31">
        <f>IF(BC58&lt;&gt;1,"",IFERROR(IF(INDEX('分群統計'!$Q$5:$Q$8,MATCH(X58,'分群統計'!$A$5:$A$8,0))&lt;3,"",IF(INDEX('分群統計'!$S$5:$S$8,MATCH(X58,'分群統計'!$A$5:$A$8,0))&gt;0,MAX(-3,MIN(3,(BB58-INDEX('分群統計'!$R$5:$R$8,MATCH(X58,'分群統計'!$A$5:$A$8,0)))/INDEX('分群統計'!$S$5:$S$8,MATCH(X58,'分群統計'!$A$5:$A$8,0)))),0)),""))</f>
        <v/>
      </c>
      <c r="AQ58" s="31">
        <f>IF(Y58=1,(IF(ISNUMBER(AF58),AF58,0)*'參數'!$B$13+IF(ISNUMBER(AM58),AM58,0)*'參數'!$B$14+IF(ISNUMBER(AO58),AO58,0)*'參數'!$B$15+IF(ISNUMBER(AP58),AP58,0)*'參數'!$B$16)/('參數'!$B$13+'參數'!$B$14+'參數'!$B$15+'參數'!$B$16),"")</f>
        <v/>
      </c>
      <c r="AR58" s="35">
        <f>IF(Y58=1,(SUMPRODUCT(($X$5:$X$404=X58)*($Y$5:$Y$404=1)*($BD$5:$BD$404&gt;BD58))+1)/COUNTIFS($X$5:$X$404,X58,$Y$5:$Y$404,1),"")</f>
        <v/>
      </c>
      <c r="AS58" s="8">
        <f>IF(ISNUMBER(AR58),IF(AR58&lt;='參數'!$B$18,"加碼候選",IF(AR58&gt;'參數'!$B$19,"減碼候選","")),"")</f>
        <v/>
      </c>
      <c r="AT58" s="7">
        <f>IF(Y58=1,N58,0)</f>
        <v/>
      </c>
      <c r="AU58" s="7">
        <f>IF(Y58=1,LN(O58),0)</f>
        <v/>
      </c>
      <c r="AV58" s="36">
        <f>IF(Y58=1,IF(ISNUMBER(F58),F58,0),0)</f>
        <v/>
      </c>
      <c r="AW58" s="7">
        <f>IF(Y58=1,Z58,0)</f>
        <v/>
      </c>
      <c r="AX58" s="7">
        <f>IF(Y58=1,IF(ISNUMBER(AL58),AL58,0),0)</f>
        <v/>
      </c>
      <c r="AY58" s="7">
        <f>IF(Y58=1,IF(ISNUMBER(AL58),1,0),0)</f>
        <v/>
      </c>
      <c r="AZ58" s="7">
        <f>IF(Y58=1,IF(ISNUMBER(AN58),AN58,0),0)</f>
        <v/>
      </c>
      <c r="BA58" s="7">
        <f>IF(Y58=1,IF(ISNUMBER(AN58),1,0),0)</f>
        <v/>
      </c>
      <c r="BB58" s="7">
        <f>IF(Y58=1,IF(ISNUMBER(T58),T58,0),0)</f>
        <v/>
      </c>
      <c r="BC58" s="7">
        <f>IF(Y58=1,IF(ISNUMBER(T58),1,0),0)</f>
        <v/>
      </c>
      <c r="BD58" s="7">
        <f>IF(Y58=1,AQ58+ROW()/1E9,-1E9)</f>
        <v/>
      </c>
      <c r="BE58" s="7">
        <f>IF(Y58=1,AQ58+ROW()/1E9,1E9)</f>
        <v/>
      </c>
    </row>
    <row r="59">
      <c r="A59" s="16" t="n"/>
      <c r="B59" s="8">
        <f>IF($A59="","",BDP($A59,B$3))</f>
        <v/>
      </c>
      <c r="C59" s="8">
        <f>IF($A59="","",BDP($A59,C$3))</f>
        <v/>
      </c>
      <c r="D59" s="28">
        <f>IF($A59="","",BDP($A59,D$3))</f>
        <v/>
      </c>
      <c r="E59" s="29">
        <f>IF($A59="","",BDP($A59,E$3))</f>
        <v/>
      </c>
      <c r="F59" s="17">
        <f>IF($A59="","",BDP($A59,F$3))</f>
        <v/>
      </c>
      <c r="G59" s="8">
        <f>IF($A59="","",BDP($A59,G$3))</f>
        <v/>
      </c>
      <c r="H59" s="8">
        <f>IF($A59="","",BDP($A59,H$3))</f>
        <v/>
      </c>
      <c r="I59" s="8">
        <f>IF($A59="","",BDP($A59,I$3))</f>
        <v/>
      </c>
      <c r="J59" s="8">
        <f>IF($A59="","",BDP($A59,J$3))</f>
        <v/>
      </c>
      <c r="K59" s="8">
        <f>IF($A59="","",BDP($A59,K$3))</f>
        <v/>
      </c>
      <c r="L59" s="28">
        <f>IF($A59="","",BDP($A59,L$3))</f>
        <v/>
      </c>
      <c r="M59" s="28">
        <f>IF($A59="","",BDP($A59,M$3))</f>
        <v/>
      </c>
      <c r="N59" s="30">
        <f>IF($A59="","",BDP($A59,N$3))</f>
        <v/>
      </c>
      <c r="O59" s="31">
        <f>IF($A59="","",BDP($A59,O$3))</f>
        <v/>
      </c>
      <c r="P59" s="30">
        <f>IF($A59="","",BDH($A59,$N$3,'參數'!$B$5,'參數'!$B$5,"Days=A","Fill=P","Dates=H"))</f>
        <v/>
      </c>
      <c r="Q59" s="30">
        <f>IF($A59="","",BDH($A59,$N$3,'參數'!$B$6,'參數'!$B$6,"Days=A","Fill=P","Dates=H"))</f>
        <v/>
      </c>
      <c r="R59" s="30">
        <f>IF($A59="","",BDH($A59,$N$3,'參數'!$B$7,'參數'!$B$7,"Days=A","Fill=P","Dates=H"))</f>
        <v/>
      </c>
      <c r="S59" s="32">
        <f>IF($A59="","",IFERROR(INDEX('發行人'!$A$5:$A$44,MATCH(B59,'發行人'!$D$5:$D$44,0)),"未對應"))</f>
        <v/>
      </c>
      <c r="T59" s="24">
        <f>IF($A59="","",IFERROR(INDEX('發行人'!$G$5:$G$44,MATCH(B59,'發行人'!$D$5:$D$44,0))+0,""))</f>
        <v/>
      </c>
      <c r="U59" s="18">
        <f>IF(ISNUMBER(E59),YEARFRAC('參數'!$B$4,E59),"")</f>
        <v/>
      </c>
      <c r="V59" s="8">
        <f>IF(U59="","",IF(U59&lt;3,"1-3y",IF(U59&lt;5,"3-5y",IF(U59&lt;7,"5-7y",IF(U59&lt;10,"7-10y","10y+")))))</f>
        <v/>
      </c>
      <c r="W59" s="30">
        <f>IF($A59="","",IFERROR(INDEX('參數'!$B$24:$B$45,MATCH(G59,'參數'!$A$24:$A$45,0)),""))</f>
        <v/>
      </c>
      <c r="X59" s="8">
        <f>IF($A59="","",IFERROR(INDEX('參數'!$C$24:$C$45,MATCH(G59,'參數'!$A$24:$A$45,0)),""))</f>
        <v/>
      </c>
      <c r="Y59" s="30">
        <f>IF(AND(ISNUMBER(N59),ISNUMBER(O59),ISNUMBER(U59)),IF(AND(O59&gt;0,X59&lt;&gt;""),1,0),0)</f>
        <v/>
      </c>
      <c r="Z59" s="17">
        <f>IF(Y59=1,O59*N59,"")</f>
        <v/>
      </c>
      <c r="AA59" s="33">
        <f>IF(Y59=1,IF(ISNUMBER(Q59),N59-Q59,""),"")</f>
        <v/>
      </c>
      <c r="AB59" s="33">
        <f>IF(Y59=1,IF(AND(ISNUMBER(P59),ISNUMBER(R59)),R59*5/12-O59*(P59-R59),""),"")</f>
        <v/>
      </c>
      <c r="AC59" s="30">
        <f>IF(Y59=1,COUNTIFS($X$5:$X$404,X59,$V$5:$V$404,V59,$Y$5:$Y$404,1),"")</f>
        <v/>
      </c>
      <c r="AD59" s="30">
        <f>IF(Y59=1,IFERROR(IF(AC59&gt;='參數'!$B$9,INDEX('分群統計'!$G$13:$K$16,MATCH(X59,'分群統計'!$A$13:$A$16,0),MATCH(V59,'分群統計'!$G$12:$K$12,0)),INDEX('分群統計'!$I$5:$I$8,MATCH(X59,'分群統計'!$A$5:$A$8,0))),""),"")</f>
        <v/>
      </c>
      <c r="AE59" s="18">
        <f>IF(Y59=1,IFERROR(IF(AC59&gt;='參數'!$B$9,INDEX('分群統計'!$L$13:$P$16,MATCH(X59,'分群統計'!$A$13:$A$16,0),MATCH(V59,'分群統計'!$L$12:$P$12,0)),INDEX('分群統計'!$J$5:$J$8,MATCH(X59,'分群統計'!$A$5:$A$8,0))),""),"")</f>
        <v/>
      </c>
      <c r="AF59" s="31">
        <f>IF(ISNUMBER(AE59),IF(AE59&gt;0,MAX(-3,MIN(3,(N59-AD59)/AE59)),0),"")</f>
        <v/>
      </c>
      <c r="AG59" s="30">
        <f>IF(Y59=1,COUNTIFS($B$5:$B$404,B59,$Y$5:$Y$404,1),"")</f>
        <v/>
      </c>
      <c r="AH59" s="30">
        <f>IF(Y59=1,IFERROR(IF(ISNUMBER(INDEX('分群統計'!$G$20:$G$59,MATCH(B59,'分群統計'!$A$20:$A$59,0))),INDEX('分群統計'!$H$20:$H$59,MATCH(B59,'分群統計'!$A$20:$A$59,0))+INDEX('分群統計'!$G$20:$G$59,MATCH(B59,'分群統計'!$A$20:$A$59,0))*AU59,""),""),"")</f>
        <v/>
      </c>
      <c r="AI59" s="34">
        <f>IF(ISNUMBER(AH59),N59-AH59,"")</f>
        <v/>
      </c>
      <c r="AJ59" s="30">
        <f>IF(Y59=1,IFERROR(IF(ISNUMBER(INDEX('分群統計'!$G$5:$G$8,MATCH(X59,'分群統計'!$A$5:$A$8,0))),INDEX('分群統計'!$H$5:$H$8,MATCH(X59,'分群統計'!$A$5:$A$8,0))+INDEX('分群統計'!$G$5:$G$8,MATCH(X59,'分群統計'!$A$5:$A$8,0))*AU59,""),""),"")</f>
        <v/>
      </c>
      <c r="AK59" s="34">
        <f>IF(ISNUMBER(AJ59),N59-AJ59,"")</f>
        <v/>
      </c>
      <c r="AL59" s="21">
        <f>IF(ISNUMBER(AJ59),IF(AJ59&gt;0,AK59/AJ59,""),"")</f>
        <v/>
      </c>
      <c r="AM59" s="31">
        <f>IF(AY59&lt;&gt;1,"",IFERROR(IF(INDEX('分群統計'!$K$5:$K$8,MATCH(X59,'分群統計'!$A$5:$A$8,0))&lt;3,"",IF(INDEX('分群統計'!$M$5:$M$8,MATCH(X59,'分群統計'!$A$5:$A$8,0))&gt;0,MAX(-3,MIN(3,(AX59-INDEX('分群統計'!$L$5:$L$8,MATCH(X59,'分群統計'!$A$5:$A$8,0)))/INDEX('分群統計'!$M$5:$M$8,MATCH(X59,'分群統計'!$A$5:$A$8,0)))),0)),""))</f>
        <v/>
      </c>
      <c r="AN59" s="31">
        <f>IF(ISNUMBER(AB59),IF(Z59&gt;0,AB59/Z59*100,""),"")</f>
        <v/>
      </c>
      <c r="AO59" s="31">
        <f>IF(BA59&lt;&gt;1,"",IFERROR(IF(INDEX('分群統計'!$N$5:$N$8,MATCH(X59,'分群統計'!$A$5:$A$8,0))&lt;3,"",IF(INDEX('分群統計'!$P$5:$P$8,MATCH(X59,'分群統計'!$A$5:$A$8,0))&gt;0,MAX(-3,MIN(3,(AZ59-INDEX('分群統計'!$O$5:$O$8,MATCH(X59,'分群統計'!$A$5:$A$8,0)))/INDEX('分群統計'!$P$5:$P$8,MATCH(X59,'分群統計'!$A$5:$A$8,0)))),0)),""))</f>
        <v/>
      </c>
      <c r="AP59" s="31">
        <f>IF(BC59&lt;&gt;1,"",IFERROR(IF(INDEX('分群統計'!$Q$5:$Q$8,MATCH(X59,'分群統計'!$A$5:$A$8,0))&lt;3,"",IF(INDEX('分群統計'!$S$5:$S$8,MATCH(X59,'分群統計'!$A$5:$A$8,0))&gt;0,MAX(-3,MIN(3,(BB59-INDEX('分群統計'!$R$5:$R$8,MATCH(X59,'分群統計'!$A$5:$A$8,0)))/INDEX('分群統計'!$S$5:$S$8,MATCH(X59,'分群統計'!$A$5:$A$8,0)))),0)),""))</f>
        <v/>
      </c>
      <c r="AQ59" s="31">
        <f>IF(Y59=1,(IF(ISNUMBER(AF59),AF59,0)*'參數'!$B$13+IF(ISNUMBER(AM59),AM59,0)*'參數'!$B$14+IF(ISNUMBER(AO59),AO59,0)*'參數'!$B$15+IF(ISNUMBER(AP59),AP59,0)*'參數'!$B$16)/('參數'!$B$13+'參數'!$B$14+'參數'!$B$15+'參數'!$B$16),"")</f>
        <v/>
      </c>
      <c r="AR59" s="35">
        <f>IF(Y59=1,(SUMPRODUCT(($X$5:$X$404=X59)*($Y$5:$Y$404=1)*($BD$5:$BD$404&gt;BD59))+1)/COUNTIFS($X$5:$X$404,X59,$Y$5:$Y$404,1),"")</f>
        <v/>
      </c>
      <c r="AS59" s="8">
        <f>IF(ISNUMBER(AR59),IF(AR59&lt;='參數'!$B$18,"加碼候選",IF(AR59&gt;'參數'!$B$19,"減碼候選","")),"")</f>
        <v/>
      </c>
      <c r="AT59" s="7">
        <f>IF(Y59=1,N59,0)</f>
        <v/>
      </c>
      <c r="AU59" s="7">
        <f>IF(Y59=1,LN(O59),0)</f>
        <v/>
      </c>
      <c r="AV59" s="36">
        <f>IF(Y59=1,IF(ISNUMBER(F59),F59,0),0)</f>
        <v/>
      </c>
      <c r="AW59" s="7">
        <f>IF(Y59=1,Z59,0)</f>
        <v/>
      </c>
      <c r="AX59" s="7">
        <f>IF(Y59=1,IF(ISNUMBER(AL59),AL59,0),0)</f>
        <v/>
      </c>
      <c r="AY59" s="7">
        <f>IF(Y59=1,IF(ISNUMBER(AL59),1,0),0)</f>
        <v/>
      </c>
      <c r="AZ59" s="7">
        <f>IF(Y59=1,IF(ISNUMBER(AN59),AN59,0),0)</f>
        <v/>
      </c>
      <c r="BA59" s="7">
        <f>IF(Y59=1,IF(ISNUMBER(AN59),1,0),0)</f>
        <v/>
      </c>
      <c r="BB59" s="7">
        <f>IF(Y59=1,IF(ISNUMBER(T59),T59,0),0)</f>
        <v/>
      </c>
      <c r="BC59" s="7">
        <f>IF(Y59=1,IF(ISNUMBER(T59),1,0),0)</f>
        <v/>
      </c>
      <c r="BD59" s="7">
        <f>IF(Y59=1,AQ59+ROW()/1E9,-1E9)</f>
        <v/>
      </c>
      <c r="BE59" s="7">
        <f>IF(Y59=1,AQ59+ROW()/1E9,1E9)</f>
        <v/>
      </c>
    </row>
    <row r="60">
      <c r="A60" s="16" t="n"/>
      <c r="B60" s="8">
        <f>IF($A60="","",BDP($A60,B$3))</f>
        <v/>
      </c>
      <c r="C60" s="8">
        <f>IF($A60="","",BDP($A60,C$3))</f>
        <v/>
      </c>
      <c r="D60" s="28">
        <f>IF($A60="","",BDP($A60,D$3))</f>
        <v/>
      </c>
      <c r="E60" s="29">
        <f>IF($A60="","",BDP($A60,E$3))</f>
        <v/>
      </c>
      <c r="F60" s="17">
        <f>IF($A60="","",BDP($A60,F$3))</f>
        <v/>
      </c>
      <c r="G60" s="8">
        <f>IF($A60="","",BDP($A60,G$3))</f>
        <v/>
      </c>
      <c r="H60" s="8">
        <f>IF($A60="","",BDP($A60,H$3))</f>
        <v/>
      </c>
      <c r="I60" s="8">
        <f>IF($A60="","",BDP($A60,I$3))</f>
        <v/>
      </c>
      <c r="J60" s="8">
        <f>IF($A60="","",BDP($A60,J$3))</f>
        <v/>
      </c>
      <c r="K60" s="8">
        <f>IF($A60="","",BDP($A60,K$3))</f>
        <v/>
      </c>
      <c r="L60" s="28">
        <f>IF($A60="","",BDP($A60,L$3))</f>
        <v/>
      </c>
      <c r="M60" s="28">
        <f>IF($A60="","",BDP($A60,M$3))</f>
        <v/>
      </c>
      <c r="N60" s="30">
        <f>IF($A60="","",BDP($A60,N$3))</f>
        <v/>
      </c>
      <c r="O60" s="31">
        <f>IF($A60="","",BDP($A60,O$3))</f>
        <v/>
      </c>
      <c r="P60" s="30">
        <f>IF($A60="","",BDH($A60,$N$3,'參數'!$B$5,'參數'!$B$5,"Days=A","Fill=P","Dates=H"))</f>
        <v/>
      </c>
      <c r="Q60" s="30">
        <f>IF($A60="","",BDH($A60,$N$3,'參數'!$B$6,'參數'!$B$6,"Days=A","Fill=P","Dates=H"))</f>
        <v/>
      </c>
      <c r="R60" s="30">
        <f>IF($A60="","",BDH($A60,$N$3,'參數'!$B$7,'參數'!$B$7,"Days=A","Fill=P","Dates=H"))</f>
        <v/>
      </c>
      <c r="S60" s="32">
        <f>IF($A60="","",IFERROR(INDEX('發行人'!$A$5:$A$44,MATCH(B60,'發行人'!$D$5:$D$44,0)),"未對應"))</f>
        <v/>
      </c>
      <c r="T60" s="24">
        <f>IF($A60="","",IFERROR(INDEX('發行人'!$G$5:$G$44,MATCH(B60,'發行人'!$D$5:$D$44,0))+0,""))</f>
        <v/>
      </c>
      <c r="U60" s="18">
        <f>IF(ISNUMBER(E60),YEARFRAC('參數'!$B$4,E60),"")</f>
        <v/>
      </c>
      <c r="V60" s="8">
        <f>IF(U60="","",IF(U60&lt;3,"1-3y",IF(U60&lt;5,"3-5y",IF(U60&lt;7,"5-7y",IF(U60&lt;10,"7-10y","10y+")))))</f>
        <v/>
      </c>
      <c r="W60" s="30">
        <f>IF($A60="","",IFERROR(INDEX('參數'!$B$24:$B$45,MATCH(G60,'參數'!$A$24:$A$45,0)),""))</f>
        <v/>
      </c>
      <c r="X60" s="8">
        <f>IF($A60="","",IFERROR(INDEX('參數'!$C$24:$C$45,MATCH(G60,'參數'!$A$24:$A$45,0)),""))</f>
        <v/>
      </c>
      <c r="Y60" s="30">
        <f>IF(AND(ISNUMBER(N60),ISNUMBER(O60),ISNUMBER(U60)),IF(AND(O60&gt;0,X60&lt;&gt;""),1,0),0)</f>
        <v/>
      </c>
      <c r="Z60" s="17">
        <f>IF(Y60=1,O60*N60,"")</f>
        <v/>
      </c>
      <c r="AA60" s="33">
        <f>IF(Y60=1,IF(ISNUMBER(Q60),N60-Q60,""),"")</f>
        <v/>
      </c>
      <c r="AB60" s="33">
        <f>IF(Y60=1,IF(AND(ISNUMBER(P60),ISNUMBER(R60)),R60*5/12-O60*(P60-R60),""),"")</f>
        <v/>
      </c>
      <c r="AC60" s="30">
        <f>IF(Y60=1,COUNTIFS($X$5:$X$404,X60,$V$5:$V$404,V60,$Y$5:$Y$404,1),"")</f>
        <v/>
      </c>
      <c r="AD60" s="30">
        <f>IF(Y60=1,IFERROR(IF(AC60&gt;='參數'!$B$9,INDEX('分群統計'!$G$13:$K$16,MATCH(X60,'分群統計'!$A$13:$A$16,0),MATCH(V60,'分群統計'!$G$12:$K$12,0)),INDEX('分群統計'!$I$5:$I$8,MATCH(X60,'分群統計'!$A$5:$A$8,0))),""),"")</f>
        <v/>
      </c>
      <c r="AE60" s="18">
        <f>IF(Y60=1,IFERROR(IF(AC60&gt;='參數'!$B$9,INDEX('分群統計'!$L$13:$P$16,MATCH(X60,'分群統計'!$A$13:$A$16,0),MATCH(V60,'分群統計'!$L$12:$P$12,0)),INDEX('分群統計'!$J$5:$J$8,MATCH(X60,'分群統計'!$A$5:$A$8,0))),""),"")</f>
        <v/>
      </c>
      <c r="AF60" s="31">
        <f>IF(ISNUMBER(AE60),IF(AE60&gt;0,MAX(-3,MIN(3,(N60-AD60)/AE60)),0),"")</f>
        <v/>
      </c>
      <c r="AG60" s="30">
        <f>IF(Y60=1,COUNTIFS($B$5:$B$404,B60,$Y$5:$Y$404,1),"")</f>
        <v/>
      </c>
      <c r="AH60" s="30">
        <f>IF(Y60=1,IFERROR(IF(ISNUMBER(INDEX('分群統計'!$G$20:$G$59,MATCH(B60,'分群統計'!$A$20:$A$59,0))),INDEX('分群統計'!$H$20:$H$59,MATCH(B60,'分群統計'!$A$20:$A$59,0))+INDEX('分群統計'!$G$20:$G$59,MATCH(B60,'分群統計'!$A$20:$A$59,0))*AU60,""),""),"")</f>
        <v/>
      </c>
      <c r="AI60" s="34">
        <f>IF(ISNUMBER(AH60),N60-AH60,"")</f>
        <v/>
      </c>
      <c r="AJ60" s="30">
        <f>IF(Y60=1,IFERROR(IF(ISNUMBER(INDEX('分群統計'!$G$5:$G$8,MATCH(X60,'分群統計'!$A$5:$A$8,0))),INDEX('分群統計'!$H$5:$H$8,MATCH(X60,'分群統計'!$A$5:$A$8,0))+INDEX('分群統計'!$G$5:$G$8,MATCH(X60,'分群統計'!$A$5:$A$8,0))*AU60,""),""),"")</f>
        <v/>
      </c>
      <c r="AK60" s="34">
        <f>IF(ISNUMBER(AJ60),N60-AJ60,"")</f>
        <v/>
      </c>
      <c r="AL60" s="21">
        <f>IF(ISNUMBER(AJ60),IF(AJ60&gt;0,AK60/AJ60,""),"")</f>
        <v/>
      </c>
      <c r="AM60" s="31">
        <f>IF(AY60&lt;&gt;1,"",IFERROR(IF(INDEX('分群統計'!$K$5:$K$8,MATCH(X60,'分群統計'!$A$5:$A$8,0))&lt;3,"",IF(INDEX('分群統計'!$M$5:$M$8,MATCH(X60,'分群統計'!$A$5:$A$8,0))&gt;0,MAX(-3,MIN(3,(AX60-INDEX('分群統計'!$L$5:$L$8,MATCH(X60,'分群統計'!$A$5:$A$8,0)))/INDEX('分群統計'!$M$5:$M$8,MATCH(X60,'分群統計'!$A$5:$A$8,0)))),0)),""))</f>
        <v/>
      </c>
      <c r="AN60" s="31">
        <f>IF(ISNUMBER(AB60),IF(Z60&gt;0,AB60/Z60*100,""),"")</f>
        <v/>
      </c>
      <c r="AO60" s="31">
        <f>IF(BA60&lt;&gt;1,"",IFERROR(IF(INDEX('分群統計'!$N$5:$N$8,MATCH(X60,'分群統計'!$A$5:$A$8,0))&lt;3,"",IF(INDEX('分群統計'!$P$5:$P$8,MATCH(X60,'分群統計'!$A$5:$A$8,0))&gt;0,MAX(-3,MIN(3,(AZ60-INDEX('分群統計'!$O$5:$O$8,MATCH(X60,'分群統計'!$A$5:$A$8,0)))/INDEX('分群統計'!$P$5:$P$8,MATCH(X60,'分群統計'!$A$5:$A$8,0)))),0)),""))</f>
        <v/>
      </c>
      <c r="AP60" s="31">
        <f>IF(BC60&lt;&gt;1,"",IFERROR(IF(INDEX('分群統計'!$Q$5:$Q$8,MATCH(X60,'分群統計'!$A$5:$A$8,0))&lt;3,"",IF(INDEX('分群統計'!$S$5:$S$8,MATCH(X60,'分群統計'!$A$5:$A$8,0))&gt;0,MAX(-3,MIN(3,(BB60-INDEX('分群統計'!$R$5:$R$8,MATCH(X60,'分群統計'!$A$5:$A$8,0)))/INDEX('分群統計'!$S$5:$S$8,MATCH(X60,'分群統計'!$A$5:$A$8,0)))),0)),""))</f>
        <v/>
      </c>
      <c r="AQ60" s="31">
        <f>IF(Y60=1,(IF(ISNUMBER(AF60),AF60,0)*'參數'!$B$13+IF(ISNUMBER(AM60),AM60,0)*'參數'!$B$14+IF(ISNUMBER(AO60),AO60,0)*'參數'!$B$15+IF(ISNUMBER(AP60),AP60,0)*'參數'!$B$16)/('參數'!$B$13+'參數'!$B$14+'參數'!$B$15+'參數'!$B$16),"")</f>
        <v/>
      </c>
      <c r="AR60" s="35">
        <f>IF(Y60=1,(SUMPRODUCT(($X$5:$X$404=X60)*($Y$5:$Y$404=1)*($BD$5:$BD$404&gt;BD60))+1)/COUNTIFS($X$5:$X$404,X60,$Y$5:$Y$404,1),"")</f>
        <v/>
      </c>
      <c r="AS60" s="8">
        <f>IF(ISNUMBER(AR60),IF(AR60&lt;='參數'!$B$18,"加碼候選",IF(AR60&gt;'參數'!$B$19,"減碼候選","")),"")</f>
        <v/>
      </c>
      <c r="AT60" s="7">
        <f>IF(Y60=1,N60,0)</f>
        <v/>
      </c>
      <c r="AU60" s="7">
        <f>IF(Y60=1,LN(O60),0)</f>
        <v/>
      </c>
      <c r="AV60" s="36">
        <f>IF(Y60=1,IF(ISNUMBER(F60),F60,0),0)</f>
        <v/>
      </c>
      <c r="AW60" s="7">
        <f>IF(Y60=1,Z60,0)</f>
        <v/>
      </c>
      <c r="AX60" s="7">
        <f>IF(Y60=1,IF(ISNUMBER(AL60),AL60,0),0)</f>
        <v/>
      </c>
      <c r="AY60" s="7">
        <f>IF(Y60=1,IF(ISNUMBER(AL60),1,0),0)</f>
        <v/>
      </c>
      <c r="AZ60" s="7">
        <f>IF(Y60=1,IF(ISNUMBER(AN60),AN60,0),0)</f>
        <v/>
      </c>
      <c r="BA60" s="7">
        <f>IF(Y60=1,IF(ISNUMBER(AN60),1,0),0)</f>
        <v/>
      </c>
      <c r="BB60" s="7">
        <f>IF(Y60=1,IF(ISNUMBER(T60),T60,0),0)</f>
        <v/>
      </c>
      <c r="BC60" s="7">
        <f>IF(Y60=1,IF(ISNUMBER(T60),1,0),0)</f>
        <v/>
      </c>
      <c r="BD60" s="7">
        <f>IF(Y60=1,AQ60+ROW()/1E9,-1E9)</f>
        <v/>
      </c>
      <c r="BE60" s="7">
        <f>IF(Y60=1,AQ60+ROW()/1E9,1E9)</f>
        <v/>
      </c>
    </row>
    <row r="61">
      <c r="A61" s="16" t="n"/>
      <c r="B61" s="8">
        <f>IF($A61="","",BDP($A61,B$3))</f>
        <v/>
      </c>
      <c r="C61" s="8">
        <f>IF($A61="","",BDP($A61,C$3))</f>
        <v/>
      </c>
      <c r="D61" s="28">
        <f>IF($A61="","",BDP($A61,D$3))</f>
        <v/>
      </c>
      <c r="E61" s="29">
        <f>IF($A61="","",BDP($A61,E$3))</f>
        <v/>
      </c>
      <c r="F61" s="17">
        <f>IF($A61="","",BDP($A61,F$3))</f>
        <v/>
      </c>
      <c r="G61" s="8">
        <f>IF($A61="","",BDP($A61,G$3))</f>
        <v/>
      </c>
      <c r="H61" s="8">
        <f>IF($A61="","",BDP($A61,H$3))</f>
        <v/>
      </c>
      <c r="I61" s="8">
        <f>IF($A61="","",BDP($A61,I$3))</f>
        <v/>
      </c>
      <c r="J61" s="8">
        <f>IF($A61="","",BDP($A61,J$3))</f>
        <v/>
      </c>
      <c r="K61" s="8">
        <f>IF($A61="","",BDP($A61,K$3))</f>
        <v/>
      </c>
      <c r="L61" s="28">
        <f>IF($A61="","",BDP($A61,L$3))</f>
        <v/>
      </c>
      <c r="M61" s="28">
        <f>IF($A61="","",BDP($A61,M$3))</f>
        <v/>
      </c>
      <c r="N61" s="30">
        <f>IF($A61="","",BDP($A61,N$3))</f>
        <v/>
      </c>
      <c r="O61" s="31">
        <f>IF($A61="","",BDP($A61,O$3))</f>
        <v/>
      </c>
      <c r="P61" s="30">
        <f>IF($A61="","",BDH($A61,$N$3,'參數'!$B$5,'參數'!$B$5,"Days=A","Fill=P","Dates=H"))</f>
        <v/>
      </c>
      <c r="Q61" s="30">
        <f>IF($A61="","",BDH($A61,$N$3,'參數'!$B$6,'參數'!$B$6,"Days=A","Fill=P","Dates=H"))</f>
        <v/>
      </c>
      <c r="R61" s="30">
        <f>IF($A61="","",BDH($A61,$N$3,'參數'!$B$7,'參數'!$B$7,"Days=A","Fill=P","Dates=H"))</f>
        <v/>
      </c>
      <c r="S61" s="32">
        <f>IF($A61="","",IFERROR(INDEX('發行人'!$A$5:$A$44,MATCH(B61,'發行人'!$D$5:$D$44,0)),"未對應"))</f>
        <v/>
      </c>
      <c r="T61" s="24">
        <f>IF($A61="","",IFERROR(INDEX('發行人'!$G$5:$G$44,MATCH(B61,'發行人'!$D$5:$D$44,0))+0,""))</f>
        <v/>
      </c>
      <c r="U61" s="18">
        <f>IF(ISNUMBER(E61),YEARFRAC('參數'!$B$4,E61),"")</f>
        <v/>
      </c>
      <c r="V61" s="8">
        <f>IF(U61="","",IF(U61&lt;3,"1-3y",IF(U61&lt;5,"3-5y",IF(U61&lt;7,"5-7y",IF(U61&lt;10,"7-10y","10y+")))))</f>
        <v/>
      </c>
      <c r="W61" s="30">
        <f>IF($A61="","",IFERROR(INDEX('參數'!$B$24:$B$45,MATCH(G61,'參數'!$A$24:$A$45,0)),""))</f>
        <v/>
      </c>
      <c r="X61" s="8">
        <f>IF($A61="","",IFERROR(INDEX('參數'!$C$24:$C$45,MATCH(G61,'參數'!$A$24:$A$45,0)),""))</f>
        <v/>
      </c>
      <c r="Y61" s="30">
        <f>IF(AND(ISNUMBER(N61),ISNUMBER(O61),ISNUMBER(U61)),IF(AND(O61&gt;0,X61&lt;&gt;""),1,0),0)</f>
        <v/>
      </c>
      <c r="Z61" s="17">
        <f>IF(Y61=1,O61*N61,"")</f>
        <v/>
      </c>
      <c r="AA61" s="33">
        <f>IF(Y61=1,IF(ISNUMBER(Q61),N61-Q61,""),"")</f>
        <v/>
      </c>
      <c r="AB61" s="33">
        <f>IF(Y61=1,IF(AND(ISNUMBER(P61),ISNUMBER(R61)),R61*5/12-O61*(P61-R61),""),"")</f>
        <v/>
      </c>
      <c r="AC61" s="30">
        <f>IF(Y61=1,COUNTIFS($X$5:$X$404,X61,$V$5:$V$404,V61,$Y$5:$Y$404,1),"")</f>
        <v/>
      </c>
      <c r="AD61" s="30">
        <f>IF(Y61=1,IFERROR(IF(AC61&gt;='參數'!$B$9,INDEX('分群統計'!$G$13:$K$16,MATCH(X61,'分群統計'!$A$13:$A$16,0),MATCH(V61,'分群統計'!$G$12:$K$12,0)),INDEX('分群統計'!$I$5:$I$8,MATCH(X61,'分群統計'!$A$5:$A$8,0))),""),"")</f>
        <v/>
      </c>
      <c r="AE61" s="18">
        <f>IF(Y61=1,IFERROR(IF(AC61&gt;='參數'!$B$9,INDEX('分群統計'!$L$13:$P$16,MATCH(X61,'分群統計'!$A$13:$A$16,0),MATCH(V61,'分群統計'!$L$12:$P$12,0)),INDEX('分群統計'!$J$5:$J$8,MATCH(X61,'分群統計'!$A$5:$A$8,0))),""),"")</f>
        <v/>
      </c>
      <c r="AF61" s="31">
        <f>IF(ISNUMBER(AE61),IF(AE61&gt;0,MAX(-3,MIN(3,(N61-AD61)/AE61)),0),"")</f>
        <v/>
      </c>
      <c r="AG61" s="30">
        <f>IF(Y61=1,COUNTIFS($B$5:$B$404,B61,$Y$5:$Y$404,1),"")</f>
        <v/>
      </c>
      <c r="AH61" s="30">
        <f>IF(Y61=1,IFERROR(IF(ISNUMBER(INDEX('分群統計'!$G$20:$G$59,MATCH(B61,'分群統計'!$A$20:$A$59,0))),INDEX('分群統計'!$H$20:$H$59,MATCH(B61,'分群統計'!$A$20:$A$59,0))+INDEX('分群統計'!$G$20:$G$59,MATCH(B61,'分群統計'!$A$20:$A$59,0))*AU61,""),""),"")</f>
        <v/>
      </c>
      <c r="AI61" s="34">
        <f>IF(ISNUMBER(AH61),N61-AH61,"")</f>
        <v/>
      </c>
      <c r="AJ61" s="30">
        <f>IF(Y61=1,IFERROR(IF(ISNUMBER(INDEX('分群統計'!$G$5:$G$8,MATCH(X61,'分群統計'!$A$5:$A$8,0))),INDEX('分群統計'!$H$5:$H$8,MATCH(X61,'分群統計'!$A$5:$A$8,0))+INDEX('分群統計'!$G$5:$G$8,MATCH(X61,'分群統計'!$A$5:$A$8,0))*AU61,""),""),"")</f>
        <v/>
      </c>
      <c r="AK61" s="34">
        <f>IF(ISNUMBER(AJ61),N61-AJ61,"")</f>
        <v/>
      </c>
      <c r="AL61" s="21">
        <f>IF(ISNUMBER(AJ61),IF(AJ61&gt;0,AK61/AJ61,""),"")</f>
        <v/>
      </c>
      <c r="AM61" s="31">
        <f>IF(AY61&lt;&gt;1,"",IFERROR(IF(INDEX('分群統計'!$K$5:$K$8,MATCH(X61,'分群統計'!$A$5:$A$8,0))&lt;3,"",IF(INDEX('分群統計'!$M$5:$M$8,MATCH(X61,'分群統計'!$A$5:$A$8,0))&gt;0,MAX(-3,MIN(3,(AX61-INDEX('分群統計'!$L$5:$L$8,MATCH(X61,'分群統計'!$A$5:$A$8,0)))/INDEX('分群統計'!$M$5:$M$8,MATCH(X61,'分群統計'!$A$5:$A$8,0)))),0)),""))</f>
        <v/>
      </c>
      <c r="AN61" s="31">
        <f>IF(ISNUMBER(AB61),IF(Z61&gt;0,AB61/Z61*100,""),"")</f>
        <v/>
      </c>
      <c r="AO61" s="31">
        <f>IF(BA61&lt;&gt;1,"",IFERROR(IF(INDEX('分群統計'!$N$5:$N$8,MATCH(X61,'分群統計'!$A$5:$A$8,0))&lt;3,"",IF(INDEX('分群統計'!$P$5:$P$8,MATCH(X61,'分群統計'!$A$5:$A$8,0))&gt;0,MAX(-3,MIN(3,(AZ61-INDEX('分群統計'!$O$5:$O$8,MATCH(X61,'分群統計'!$A$5:$A$8,0)))/INDEX('分群統計'!$P$5:$P$8,MATCH(X61,'分群統計'!$A$5:$A$8,0)))),0)),""))</f>
        <v/>
      </c>
      <c r="AP61" s="31">
        <f>IF(BC61&lt;&gt;1,"",IFERROR(IF(INDEX('分群統計'!$Q$5:$Q$8,MATCH(X61,'分群統計'!$A$5:$A$8,0))&lt;3,"",IF(INDEX('分群統計'!$S$5:$S$8,MATCH(X61,'分群統計'!$A$5:$A$8,0))&gt;0,MAX(-3,MIN(3,(BB61-INDEX('分群統計'!$R$5:$R$8,MATCH(X61,'分群統計'!$A$5:$A$8,0)))/INDEX('分群統計'!$S$5:$S$8,MATCH(X61,'分群統計'!$A$5:$A$8,0)))),0)),""))</f>
        <v/>
      </c>
      <c r="AQ61" s="31">
        <f>IF(Y61=1,(IF(ISNUMBER(AF61),AF61,0)*'參數'!$B$13+IF(ISNUMBER(AM61),AM61,0)*'參數'!$B$14+IF(ISNUMBER(AO61),AO61,0)*'參數'!$B$15+IF(ISNUMBER(AP61),AP61,0)*'參數'!$B$16)/('參數'!$B$13+'參數'!$B$14+'參數'!$B$15+'參數'!$B$16),"")</f>
        <v/>
      </c>
      <c r="AR61" s="35">
        <f>IF(Y61=1,(SUMPRODUCT(($X$5:$X$404=X61)*($Y$5:$Y$404=1)*($BD$5:$BD$404&gt;BD61))+1)/COUNTIFS($X$5:$X$404,X61,$Y$5:$Y$404,1),"")</f>
        <v/>
      </c>
      <c r="AS61" s="8">
        <f>IF(ISNUMBER(AR61),IF(AR61&lt;='參數'!$B$18,"加碼候選",IF(AR61&gt;'參數'!$B$19,"減碼候選","")),"")</f>
        <v/>
      </c>
      <c r="AT61" s="7">
        <f>IF(Y61=1,N61,0)</f>
        <v/>
      </c>
      <c r="AU61" s="7">
        <f>IF(Y61=1,LN(O61),0)</f>
        <v/>
      </c>
      <c r="AV61" s="36">
        <f>IF(Y61=1,IF(ISNUMBER(F61),F61,0),0)</f>
        <v/>
      </c>
      <c r="AW61" s="7">
        <f>IF(Y61=1,Z61,0)</f>
        <v/>
      </c>
      <c r="AX61" s="7">
        <f>IF(Y61=1,IF(ISNUMBER(AL61),AL61,0),0)</f>
        <v/>
      </c>
      <c r="AY61" s="7">
        <f>IF(Y61=1,IF(ISNUMBER(AL61),1,0),0)</f>
        <v/>
      </c>
      <c r="AZ61" s="7">
        <f>IF(Y61=1,IF(ISNUMBER(AN61),AN61,0),0)</f>
        <v/>
      </c>
      <c r="BA61" s="7">
        <f>IF(Y61=1,IF(ISNUMBER(AN61),1,0),0)</f>
        <v/>
      </c>
      <c r="BB61" s="7">
        <f>IF(Y61=1,IF(ISNUMBER(T61),T61,0),0)</f>
        <v/>
      </c>
      <c r="BC61" s="7">
        <f>IF(Y61=1,IF(ISNUMBER(T61),1,0),0)</f>
        <v/>
      </c>
      <c r="BD61" s="7">
        <f>IF(Y61=1,AQ61+ROW()/1E9,-1E9)</f>
        <v/>
      </c>
      <c r="BE61" s="7">
        <f>IF(Y61=1,AQ61+ROW()/1E9,1E9)</f>
        <v/>
      </c>
    </row>
    <row r="62">
      <c r="A62" s="16" t="n"/>
      <c r="B62" s="8">
        <f>IF($A62="","",BDP($A62,B$3))</f>
        <v/>
      </c>
      <c r="C62" s="8">
        <f>IF($A62="","",BDP($A62,C$3))</f>
        <v/>
      </c>
      <c r="D62" s="28">
        <f>IF($A62="","",BDP($A62,D$3))</f>
        <v/>
      </c>
      <c r="E62" s="29">
        <f>IF($A62="","",BDP($A62,E$3))</f>
        <v/>
      </c>
      <c r="F62" s="17">
        <f>IF($A62="","",BDP($A62,F$3))</f>
        <v/>
      </c>
      <c r="G62" s="8">
        <f>IF($A62="","",BDP($A62,G$3))</f>
        <v/>
      </c>
      <c r="H62" s="8">
        <f>IF($A62="","",BDP($A62,H$3))</f>
        <v/>
      </c>
      <c r="I62" s="8">
        <f>IF($A62="","",BDP($A62,I$3))</f>
        <v/>
      </c>
      <c r="J62" s="8">
        <f>IF($A62="","",BDP($A62,J$3))</f>
        <v/>
      </c>
      <c r="K62" s="8">
        <f>IF($A62="","",BDP($A62,K$3))</f>
        <v/>
      </c>
      <c r="L62" s="28">
        <f>IF($A62="","",BDP($A62,L$3))</f>
        <v/>
      </c>
      <c r="M62" s="28">
        <f>IF($A62="","",BDP($A62,M$3))</f>
        <v/>
      </c>
      <c r="N62" s="30">
        <f>IF($A62="","",BDP($A62,N$3))</f>
        <v/>
      </c>
      <c r="O62" s="31">
        <f>IF($A62="","",BDP($A62,O$3))</f>
        <v/>
      </c>
      <c r="P62" s="30">
        <f>IF($A62="","",BDH($A62,$N$3,'參數'!$B$5,'參數'!$B$5,"Days=A","Fill=P","Dates=H"))</f>
        <v/>
      </c>
      <c r="Q62" s="30">
        <f>IF($A62="","",BDH($A62,$N$3,'參數'!$B$6,'參數'!$B$6,"Days=A","Fill=P","Dates=H"))</f>
        <v/>
      </c>
      <c r="R62" s="30">
        <f>IF($A62="","",BDH($A62,$N$3,'參數'!$B$7,'參數'!$B$7,"Days=A","Fill=P","Dates=H"))</f>
        <v/>
      </c>
      <c r="S62" s="32">
        <f>IF($A62="","",IFERROR(INDEX('發行人'!$A$5:$A$44,MATCH(B62,'發行人'!$D$5:$D$44,0)),"未對應"))</f>
        <v/>
      </c>
      <c r="T62" s="24">
        <f>IF($A62="","",IFERROR(INDEX('發行人'!$G$5:$G$44,MATCH(B62,'發行人'!$D$5:$D$44,0))+0,""))</f>
        <v/>
      </c>
      <c r="U62" s="18">
        <f>IF(ISNUMBER(E62),YEARFRAC('參數'!$B$4,E62),"")</f>
        <v/>
      </c>
      <c r="V62" s="8">
        <f>IF(U62="","",IF(U62&lt;3,"1-3y",IF(U62&lt;5,"3-5y",IF(U62&lt;7,"5-7y",IF(U62&lt;10,"7-10y","10y+")))))</f>
        <v/>
      </c>
      <c r="W62" s="30">
        <f>IF($A62="","",IFERROR(INDEX('參數'!$B$24:$B$45,MATCH(G62,'參數'!$A$24:$A$45,0)),""))</f>
        <v/>
      </c>
      <c r="X62" s="8">
        <f>IF($A62="","",IFERROR(INDEX('參數'!$C$24:$C$45,MATCH(G62,'參數'!$A$24:$A$45,0)),""))</f>
        <v/>
      </c>
      <c r="Y62" s="30">
        <f>IF(AND(ISNUMBER(N62),ISNUMBER(O62),ISNUMBER(U62)),IF(AND(O62&gt;0,X62&lt;&gt;""),1,0),0)</f>
        <v/>
      </c>
      <c r="Z62" s="17">
        <f>IF(Y62=1,O62*N62,"")</f>
        <v/>
      </c>
      <c r="AA62" s="33">
        <f>IF(Y62=1,IF(ISNUMBER(Q62),N62-Q62,""),"")</f>
        <v/>
      </c>
      <c r="AB62" s="33">
        <f>IF(Y62=1,IF(AND(ISNUMBER(P62),ISNUMBER(R62)),R62*5/12-O62*(P62-R62),""),"")</f>
        <v/>
      </c>
      <c r="AC62" s="30">
        <f>IF(Y62=1,COUNTIFS($X$5:$X$404,X62,$V$5:$V$404,V62,$Y$5:$Y$404,1),"")</f>
        <v/>
      </c>
      <c r="AD62" s="30">
        <f>IF(Y62=1,IFERROR(IF(AC62&gt;='參數'!$B$9,INDEX('分群統計'!$G$13:$K$16,MATCH(X62,'分群統計'!$A$13:$A$16,0),MATCH(V62,'分群統計'!$G$12:$K$12,0)),INDEX('分群統計'!$I$5:$I$8,MATCH(X62,'分群統計'!$A$5:$A$8,0))),""),"")</f>
        <v/>
      </c>
      <c r="AE62" s="18">
        <f>IF(Y62=1,IFERROR(IF(AC62&gt;='參數'!$B$9,INDEX('分群統計'!$L$13:$P$16,MATCH(X62,'分群統計'!$A$13:$A$16,0),MATCH(V62,'分群統計'!$L$12:$P$12,0)),INDEX('分群統計'!$J$5:$J$8,MATCH(X62,'分群統計'!$A$5:$A$8,0))),""),"")</f>
        <v/>
      </c>
      <c r="AF62" s="31">
        <f>IF(ISNUMBER(AE62),IF(AE62&gt;0,MAX(-3,MIN(3,(N62-AD62)/AE62)),0),"")</f>
        <v/>
      </c>
      <c r="AG62" s="30">
        <f>IF(Y62=1,COUNTIFS($B$5:$B$404,B62,$Y$5:$Y$404,1),"")</f>
        <v/>
      </c>
      <c r="AH62" s="30">
        <f>IF(Y62=1,IFERROR(IF(ISNUMBER(INDEX('分群統計'!$G$20:$G$59,MATCH(B62,'分群統計'!$A$20:$A$59,0))),INDEX('分群統計'!$H$20:$H$59,MATCH(B62,'分群統計'!$A$20:$A$59,0))+INDEX('分群統計'!$G$20:$G$59,MATCH(B62,'分群統計'!$A$20:$A$59,0))*AU62,""),""),"")</f>
        <v/>
      </c>
      <c r="AI62" s="34">
        <f>IF(ISNUMBER(AH62),N62-AH62,"")</f>
        <v/>
      </c>
      <c r="AJ62" s="30">
        <f>IF(Y62=1,IFERROR(IF(ISNUMBER(INDEX('分群統計'!$G$5:$G$8,MATCH(X62,'分群統計'!$A$5:$A$8,0))),INDEX('分群統計'!$H$5:$H$8,MATCH(X62,'分群統計'!$A$5:$A$8,0))+INDEX('分群統計'!$G$5:$G$8,MATCH(X62,'分群統計'!$A$5:$A$8,0))*AU62,""),""),"")</f>
        <v/>
      </c>
      <c r="AK62" s="34">
        <f>IF(ISNUMBER(AJ62),N62-AJ62,"")</f>
        <v/>
      </c>
      <c r="AL62" s="21">
        <f>IF(ISNUMBER(AJ62),IF(AJ62&gt;0,AK62/AJ62,""),"")</f>
        <v/>
      </c>
      <c r="AM62" s="31">
        <f>IF(AY62&lt;&gt;1,"",IFERROR(IF(INDEX('分群統計'!$K$5:$K$8,MATCH(X62,'分群統計'!$A$5:$A$8,0))&lt;3,"",IF(INDEX('分群統計'!$M$5:$M$8,MATCH(X62,'分群統計'!$A$5:$A$8,0))&gt;0,MAX(-3,MIN(3,(AX62-INDEX('分群統計'!$L$5:$L$8,MATCH(X62,'分群統計'!$A$5:$A$8,0)))/INDEX('分群統計'!$M$5:$M$8,MATCH(X62,'分群統計'!$A$5:$A$8,0)))),0)),""))</f>
        <v/>
      </c>
      <c r="AN62" s="31">
        <f>IF(ISNUMBER(AB62),IF(Z62&gt;0,AB62/Z62*100,""),"")</f>
        <v/>
      </c>
      <c r="AO62" s="31">
        <f>IF(BA62&lt;&gt;1,"",IFERROR(IF(INDEX('分群統計'!$N$5:$N$8,MATCH(X62,'分群統計'!$A$5:$A$8,0))&lt;3,"",IF(INDEX('分群統計'!$P$5:$P$8,MATCH(X62,'分群統計'!$A$5:$A$8,0))&gt;0,MAX(-3,MIN(3,(AZ62-INDEX('分群統計'!$O$5:$O$8,MATCH(X62,'分群統計'!$A$5:$A$8,0)))/INDEX('分群統計'!$P$5:$P$8,MATCH(X62,'分群統計'!$A$5:$A$8,0)))),0)),""))</f>
        <v/>
      </c>
      <c r="AP62" s="31">
        <f>IF(BC62&lt;&gt;1,"",IFERROR(IF(INDEX('分群統計'!$Q$5:$Q$8,MATCH(X62,'分群統計'!$A$5:$A$8,0))&lt;3,"",IF(INDEX('分群統計'!$S$5:$S$8,MATCH(X62,'分群統計'!$A$5:$A$8,0))&gt;0,MAX(-3,MIN(3,(BB62-INDEX('分群統計'!$R$5:$R$8,MATCH(X62,'分群統計'!$A$5:$A$8,0)))/INDEX('分群統計'!$S$5:$S$8,MATCH(X62,'分群統計'!$A$5:$A$8,0)))),0)),""))</f>
        <v/>
      </c>
      <c r="AQ62" s="31">
        <f>IF(Y62=1,(IF(ISNUMBER(AF62),AF62,0)*'參數'!$B$13+IF(ISNUMBER(AM62),AM62,0)*'參數'!$B$14+IF(ISNUMBER(AO62),AO62,0)*'參數'!$B$15+IF(ISNUMBER(AP62),AP62,0)*'參數'!$B$16)/('參數'!$B$13+'參數'!$B$14+'參數'!$B$15+'參數'!$B$16),"")</f>
        <v/>
      </c>
      <c r="AR62" s="35">
        <f>IF(Y62=1,(SUMPRODUCT(($X$5:$X$404=X62)*($Y$5:$Y$404=1)*($BD$5:$BD$404&gt;BD62))+1)/COUNTIFS($X$5:$X$404,X62,$Y$5:$Y$404,1),"")</f>
        <v/>
      </c>
      <c r="AS62" s="8">
        <f>IF(ISNUMBER(AR62),IF(AR62&lt;='參數'!$B$18,"加碼候選",IF(AR62&gt;'參數'!$B$19,"減碼候選","")),"")</f>
        <v/>
      </c>
      <c r="AT62" s="7">
        <f>IF(Y62=1,N62,0)</f>
        <v/>
      </c>
      <c r="AU62" s="7">
        <f>IF(Y62=1,LN(O62),0)</f>
        <v/>
      </c>
      <c r="AV62" s="36">
        <f>IF(Y62=1,IF(ISNUMBER(F62),F62,0),0)</f>
        <v/>
      </c>
      <c r="AW62" s="7">
        <f>IF(Y62=1,Z62,0)</f>
        <v/>
      </c>
      <c r="AX62" s="7">
        <f>IF(Y62=1,IF(ISNUMBER(AL62),AL62,0),0)</f>
        <v/>
      </c>
      <c r="AY62" s="7">
        <f>IF(Y62=1,IF(ISNUMBER(AL62),1,0),0)</f>
        <v/>
      </c>
      <c r="AZ62" s="7">
        <f>IF(Y62=1,IF(ISNUMBER(AN62),AN62,0),0)</f>
        <v/>
      </c>
      <c r="BA62" s="7">
        <f>IF(Y62=1,IF(ISNUMBER(AN62),1,0),0)</f>
        <v/>
      </c>
      <c r="BB62" s="7">
        <f>IF(Y62=1,IF(ISNUMBER(T62),T62,0),0)</f>
        <v/>
      </c>
      <c r="BC62" s="7">
        <f>IF(Y62=1,IF(ISNUMBER(T62),1,0),0)</f>
        <v/>
      </c>
      <c r="BD62" s="7">
        <f>IF(Y62=1,AQ62+ROW()/1E9,-1E9)</f>
        <v/>
      </c>
      <c r="BE62" s="7">
        <f>IF(Y62=1,AQ62+ROW()/1E9,1E9)</f>
        <v/>
      </c>
    </row>
    <row r="63">
      <c r="A63" s="16" t="n"/>
      <c r="B63" s="8">
        <f>IF($A63="","",BDP($A63,B$3))</f>
        <v/>
      </c>
      <c r="C63" s="8">
        <f>IF($A63="","",BDP($A63,C$3))</f>
        <v/>
      </c>
      <c r="D63" s="28">
        <f>IF($A63="","",BDP($A63,D$3))</f>
        <v/>
      </c>
      <c r="E63" s="29">
        <f>IF($A63="","",BDP($A63,E$3))</f>
        <v/>
      </c>
      <c r="F63" s="17">
        <f>IF($A63="","",BDP($A63,F$3))</f>
        <v/>
      </c>
      <c r="G63" s="8">
        <f>IF($A63="","",BDP($A63,G$3))</f>
        <v/>
      </c>
      <c r="H63" s="8">
        <f>IF($A63="","",BDP($A63,H$3))</f>
        <v/>
      </c>
      <c r="I63" s="8">
        <f>IF($A63="","",BDP($A63,I$3))</f>
        <v/>
      </c>
      <c r="J63" s="8">
        <f>IF($A63="","",BDP($A63,J$3))</f>
        <v/>
      </c>
      <c r="K63" s="8">
        <f>IF($A63="","",BDP($A63,K$3))</f>
        <v/>
      </c>
      <c r="L63" s="28">
        <f>IF($A63="","",BDP($A63,L$3))</f>
        <v/>
      </c>
      <c r="M63" s="28">
        <f>IF($A63="","",BDP($A63,M$3))</f>
        <v/>
      </c>
      <c r="N63" s="30">
        <f>IF($A63="","",BDP($A63,N$3))</f>
        <v/>
      </c>
      <c r="O63" s="31">
        <f>IF($A63="","",BDP($A63,O$3))</f>
        <v/>
      </c>
      <c r="P63" s="30">
        <f>IF($A63="","",BDH($A63,$N$3,'參數'!$B$5,'參數'!$B$5,"Days=A","Fill=P","Dates=H"))</f>
        <v/>
      </c>
      <c r="Q63" s="30">
        <f>IF($A63="","",BDH($A63,$N$3,'參數'!$B$6,'參數'!$B$6,"Days=A","Fill=P","Dates=H"))</f>
        <v/>
      </c>
      <c r="R63" s="30">
        <f>IF($A63="","",BDH($A63,$N$3,'參數'!$B$7,'參數'!$B$7,"Days=A","Fill=P","Dates=H"))</f>
        <v/>
      </c>
      <c r="S63" s="32">
        <f>IF($A63="","",IFERROR(INDEX('發行人'!$A$5:$A$44,MATCH(B63,'發行人'!$D$5:$D$44,0)),"未對應"))</f>
        <v/>
      </c>
      <c r="T63" s="24">
        <f>IF($A63="","",IFERROR(INDEX('發行人'!$G$5:$G$44,MATCH(B63,'發行人'!$D$5:$D$44,0))+0,""))</f>
        <v/>
      </c>
      <c r="U63" s="18">
        <f>IF(ISNUMBER(E63),YEARFRAC('參數'!$B$4,E63),"")</f>
        <v/>
      </c>
      <c r="V63" s="8">
        <f>IF(U63="","",IF(U63&lt;3,"1-3y",IF(U63&lt;5,"3-5y",IF(U63&lt;7,"5-7y",IF(U63&lt;10,"7-10y","10y+")))))</f>
        <v/>
      </c>
      <c r="W63" s="30">
        <f>IF($A63="","",IFERROR(INDEX('參數'!$B$24:$B$45,MATCH(G63,'參數'!$A$24:$A$45,0)),""))</f>
        <v/>
      </c>
      <c r="X63" s="8">
        <f>IF($A63="","",IFERROR(INDEX('參數'!$C$24:$C$45,MATCH(G63,'參數'!$A$24:$A$45,0)),""))</f>
        <v/>
      </c>
      <c r="Y63" s="30">
        <f>IF(AND(ISNUMBER(N63),ISNUMBER(O63),ISNUMBER(U63)),IF(AND(O63&gt;0,X63&lt;&gt;""),1,0),0)</f>
        <v/>
      </c>
      <c r="Z63" s="17">
        <f>IF(Y63=1,O63*N63,"")</f>
        <v/>
      </c>
      <c r="AA63" s="33">
        <f>IF(Y63=1,IF(ISNUMBER(Q63),N63-Q63,""),"")</f>
        <v/>
      </c>
      <c r="AB63" s="33">
        <f>IF(Y63=1,IF(AND(ISNUMBER(P63),ISNUMBER(R63)),R63*5/12-O63*(P63-R63),""),"")</f>
        <v/>
      </c>
      <c r="AC63" s="30">
        <f>IF(Y63=1,COUNTIFS($X$5:$X$404,X63,$V$5:$V$404,V63,$Y$5:$Y$404,1),"")</f>
        <v/>
      </c>
      <c r="AD63" s="30">
        <f>IF(Y63=1,IFERROR(IF(AC63&gt;='參數'!$B$9,INDEX('分群統計'!$G$13:$K$16,MATCH(X63,'分群統計'!$A$13:$A$16,0),MATCH(V63,'分群統計'!$G$12:$K$12,0)),INDEX('分群統計'!$I$5:$I$8,MATCH(X63,'分群統計'!$A$5:$A$8,0))),""),"")</f>
        <v/>
      </c>
      <c r="AE63" s="18">
        <f>IF(Y63=1,IFERROR(IF(AC63&gt;='參數'!$B$9,INDEX('分群統計'!$L$13:$P$16,MATCH(X63,'分群統計'!$A$13:$A$16,0),MATCH(V63,'分群統計'!$L$12:$P$12,0)),INDEX('分群統計'!$J$5:$J$8,MATCH(X63,'分群統計'!$A$5:$A$8,0))),""),"")</f>
        <v/>
      </c>
      <c r="AF63" s="31">
        <f>IF(ISNUMBER(AE63),IF(AE63&gt;0,MAX(-3,MIN(3,(N63-AD63)/AE63)),0),"")</f>
        <v/>
      </c>
      <c r="AG63" s="30">
        <f>IF(Y63=1,COUNTIFS($B$5:$B$404,B63,$Y$5:$Y$404,1),"")</f>
        <v/>
      </c>
      <c r="AH63" s="30">
        <f>IF(Y63=1,IFERROR(IF(ISNUMBER(INDEX('分群統計'!$G$20:$G$59,MATCH(B63,'分群統計'!$A$20:$A$59,0))),INDEX('分群統計'!$H$20:$H$59,MATCH(B63,'分群統計'!$A$20:$A$59,0))+INDEX('分群統計'!$G$20:$G$59,MATCH(B63,'分群統計'!$A$20:$A$59,0))*AU63,""),""),"")</f>
        <v/>
      </c>
      <c r="AI63" s="34">
        <f>IF(ISNUMBER(AH63),N63-AH63,"")</f>
        <v/>
      </c>
      <c r="AJ63" s="30">
        <f>IF(Y63=1,IFERROR(IF(ISNUMBER(INDEX('分群統計'!$G$5:$G$8,MATCH(X63,'分群統計'!$A$5:$A$8,0))),INDEX('分群統計'!$H$5:$H$8,MATCH(X63,'分群統計'!$A$5:$A$8,0))+INDEX('分群統計'!$G$5:$G$8,MATCH(X63,'分群統計'!$A$5:$A$8,0))*AU63,""),""),"")</f>
        <v/>
      </c>
      <c r="AK63" s="34">
        <f>IF(ISNUMBER(AJ63),N63-AJ63,"")</f>
        <v/>
      </c>
      <c r="AL63" s="21">
        <f>IF(ISNUMBER(AJ63),IF(AJ63&gt;0,AK63/AJ63,""),"")</f>
        <v/>
      </c>
      <c r="AM63" s="31">
        <f>IF(AY63&lt;&gt;1,"",IFERROR(IF(INDEX('分群統計'!$K$5:$K$8,MATCH(X63,'分群統計'!$A$5:$A$8,0))&lt;3,"",IF(INDEX('分群統計'!$M$5:$M$8,MATCH(X63,'分群統計'!$A$5:$A$8,0))&gt;0,MAX(-3,MIN(3,(AX63-INDEX('分群統計'!$L$5:$L$8,MATCH(X63,'分群統計'!$A$5:$A$8,0)))/INDEX('分群統計'!$M$5:$M$8,MATCH(X63,'分群統計'!$A$5:$A$8,0)))),0)),""))</f>
        <v/>
      </c>
      <c r="AN63" s="31">
        <f>IF(ISNUMBER(AB63),IF(Z63&gt;0,AB63/Z63*100,""),"")</f>
        <v/>
      </c>
      <c r="AO63" s="31">
        <f>IF(BA63&lt;&gt;1,"",IFERROR(IF(INDEX('分群統計'!$N$5:$N$8,MATCH(X63,'分群統計'!$A$5:$A$8,0))&lt;3,"",IF(INDEX('分群統計'!$P$5:$P$8,MATCH(X63,'分群統計'!$A$5:$A$8,0))&gt;0,MAX(-3,MIN(3,(AZ63-INDEX('分群統計'!$O$5:$O$8,MATCH(X63,'分群統計'!$A$5:$A$8,0)))/INDEX('分群統計'!$P$5:$P$8,MATCH(X63,'分群統計'!$A$5:$A$8,0)))),0)),""))</f>
        <v/>
      </c>
      <c r="AP63" s="31">
        <f>IF(BC63&lt;&gt;1,"",IFERROR(IF(INDEX('分群統計'!$Q$5:$Q$8,MATCH(X63,'分群統計'!$A$5:$A$8,0))&lt;3,"",IF(INDEX('分群統計'!$S$5:$S$8,MATCH(X63,'分群統計'!$A$5:$A$8,0))&gt;0,MAX(-3,MIN(3,(BB63-INDEX('分群統計'!$R$5:$R$8,MATCH(X63,'分群統計'!$A$5:$A$8,0)))/INDEX('分群統計'!$S$5:$S$8,MATCH(X63,'分群統計'!$A$5:$A$8,0)))),0)),""))</f>
        <v/>
      </c>
      <c r="AQ63" s="31">
        <f>IF(Y63=1,(IF(ISNUMBER(AF63),AF63,0)*'參數'!$B$13+IF(ISNUMBER(AM63),AM63,0)*'參數'!$B$14+IF(ISNUMBER(AO63),AO63,0)*'參數'!$B$15+IF(ISNUMBER(AP63),AP63,0)*'參數'!$B$16)/('參數'!$B$13+'參數'!$B$14+'參數'!$B$15+'參數'!$B$16),"")</f>
        <v/>
      </c>
      <c r="AR63" s="35">
        <f>IF(Y63=1,(SUMPRODUCT(($X$5:$X$404=X63)*($Y$5:$Y$404=1)*($BD$5:$BD$404&gt;BD63))+1)/COUNTIFS($X$5:$X$404,X63,$Y$5:$Y$404,1),"")</f>
        <v/>
      </c>
      <c r="AS63" s="8">
        <f>IF(ISNUMBER(AR63),IF(AR63&lt;='參數'!$B$18,"加碼候選",IF(AR63&gt;'參數'!$B$19,"減碼候選","")),"")</f>
        <v/>
      </c>
      <c r="AT63" s="7">
        <f>IF(Y63=1,N63,0)</f>
        <v/>
      </c>
      <c r="AU63" s="7">
        <f>IF(Y63=1,LN(O63),0)</f>
        <v/>
      </c>
      <c r="AV63" s="36">
        <f>IF(Y63=1,IF(ISNUMBER(F63),F63,0),0)</f>
        <v/>
      </c>
      <c r="AW63" s="7">
        <f>IF(Y63=1,Z63,0)</f>
        <v/>
      </c>
      <c r="AX63" s="7">
        <f>IF(Y63=1,IF(ISNUMBER(AL63),AL63,0),0)</f>
        <v/>
      </c>
      <c r="AY63" s="7">
        <f>IF(Y63=1,IF(ISNUMBER(AL63),1,0),0)</f>
        <v/>
      </c>
      <c r="AZ63" s="7">
        <f>IF(Y63=1,IF(ISNUMBER(AN63),AN63,0),0)</f>
        <v/>
      </c>
      <c r="BA63" s="7">
        <f>IF(Y63=1,IF(ISNUMBER(AN63),1,0),0)</f>
        <v/>
      </c>
      <c r="BB63" s="7">
        <f>IF(Y63=1,IF(ISNUMBER(T63),T63,0),0)</f>
        <v/>
      </c>
      <c r="BC63" s="7">
        <f>IF(Y63=1,IF(ISNUMBER(T63),1,0),0)</f>
        <v/>
      </c>
      <c r="BD63" s="7">
        <f>IF(Y63=1,AQ63+ROW()/1E9,-1E9)</f>
        <v/>
      </c>
      <c r="BE63" s="7">
        <f>IF(Y63=1,AQ63+ROW()/1E9,1E9)</f>
        <v/>
      </c>
    </row>
    <row r="64">
      <c r="A64" s="16" t="n"/>
      <c r="B64" s="8">
        <f>IF($A64="","",BDP($A64,B$3))</f>
        <v/>
      </c>
      <c r="C64" s="8">
        <f>IF($A64="","",BDP($A64,C$3))</f>
        <v/>
      </c>
      <c r="D64" s="28">
        <f>IF($A64="","",BDP($A64,D$3))</f>
        <v/>
      </c>
      <c r="E64" s="29">
        <f>IF($A64="","",BDP($A64,E$3))</f>
        <v/>
      </c>
      <c r="F64" s="17">
        <f>IF($A64="","",BDP($A64,F$3))</f>
        <v/>
      </c>
      <c r="G64" s="8">
        <f>IF($A64="","",BDP($A64,G$3))</f>
        <v/>
      </c>
      <c r="H64" s="8">
        <f>IF($A64="","",BDP($A64,H$3))</f>
        <v/>
      </c>
      <c r="I64" s="8">
        <f>IF($A64="","",BDP($A64,I$3))</f>
        <v/>
      </c>
      <c r="J64" s="8">
        <f>IF($A64="","",BDP($A64,J$3))</f>
        <v/>
      </c>
      <c r="K64" s="8">
        <f>IF($A64="","",BDP($A64,K$3))</f>
        <v/>
      </c>
      <c r="L64" s="28">
        <f>IF($A64="","",BDP($A64,L$3))</f>
        <v/>
      </c>
      <c r="M64" s="28">
        <f>IF($A64="","",BDP($A64,M$3))</f>
        <v/>
      </c>
      <c r="N64" s="30">
        <f>IF($A64="","",BDP($A64,N$3))</f>
        <v/>
      </c>
      <c r="O64" s="31">
        <f>IF($A64="","",BDP($A64,O$3))</f>
        <v/>
      </c>
      <c r="P64" s="30">
        <f>IF($A64="","",BDH($A64,$N$3,'參數'!$B$5,'參數'!$B$5,"Days=A","Fill=P","Dates=H"))</f>
        <v/>
      </c>
      <c r="Q64" s="30">
        <f>IF($A64="","",BDH($A64,$N$3,'參數'!$B$6,'參數'!$B$6,"Days=A","Fill=P","Dates=H"))</f>
        <v/>
      </c>
      <c r="R64" s="30">
        <f>IF($A64="","",BDH($A64,$N$3,'參數'!$B$7,'參數'!$B$7,"Days=A","Fill=P","Dates=H"))</f>
        <v/>
      </c>
      <c r="S64" s="32">
        <f>IF($A64="","",IFERROR(INDEX('發行人'!$A$5:$A$44,MATCH(B64,'發行人'!$D$5:$D$44,0)),"未對應"))</f>
        <v/>
      </c>
      <c r="T64" s="24">
        <f>IF($A64="","",IFERROR(INDEX('發行人'!$G$5:$G$44,MATCH(B64,'發行人'!$D$5:$D$44,0))+0,""))</f>
        <v/>
      </c>
      <c r="U64" s="18">
        <f>IF(ISNUMBER(E64),YEARFRAC('參數'!$B$4,E64),"")</f>
        <v/>
      </c>
      <c r="V64" s="8">
        <f>IF(U64="","",IF(U64&lt;3,"1-3y",IF(U64&lt;5,"3-5y",IF(U64&lt;7,"5-7y",IF(U64&lt;10,"7-10y","10y+")))))</f>
        <v/>
      </c>
      <c r="W64" s="30">
        <f>IF($A64="","",IFERROR(INDEX('參數'!$B$24:$B$45,MATCH(G64,'參數'!$A$24:$A$45,0)),""))</f>
        <v/>
      </c>
      <c r="X64" s="8">
        <f>IF($A64="","",IFERROR(INDEX('參數'!$C$24:$C$45,MATCH(G64,'參數'!$A$24:$A$45,0)),""))</f>
        <v/>
      </c>
      <c r="Y64" s="30">
        <f>IF(AND(ISNUMBER(N64),ISNUMBER(O64),ISNUMBER(U64)),IF(AND(O64&gt;0,X64&lt;&gt;""),1,0),0)</f>
        <v/>
      </c>
      <c r="Z64" s="17">
        <f>IF(Y64=1,O64*N64,"")</f>
        <v/>
      </c>
      <c r="AA64" s="33">
        <f>IF(Y64=1,IF(ISNUMBER(Q64),N64-Q64,""),"")</f>
        <v/>
      </c>
      <c r="AB64" s="33">
        <f>IF(Y64=1,IF(AND(ISNUMBER(P64),ISNUMBER(R64)),R64*5/12-O64*(P64-R64),""),"")</f>
        <v/>
      </c>
      <c r="AC64" s="30">
        <f>IF(Y64=1,COUNTIFS($X$5:$X$404,X64,$V$5:$V$404,V64,$Y$5:$Y$404,1),"")</f>
        <v/>
      </c>
      <c r="AD64" s="30">
        <f>IF(Y64=1,IFERROR(IF(AC64&gt;='參數'!$B$9,INDEX('分群統計'!$G$13:$K$16,MATCH(X64,'分群統計'!$A$13:$A$16,0),MATCH(V64,'分群統計'!$G$12:$K$12,0)),INDEX('分群統計'!$I$5:$I$8,MATCH(X64,'分群統計'!$A$5:$A$8,0))),""),"")</f>
        <v/>
      </c>
      <c r="AE64" s="18">
        <f>IF(Y64=1,IFERROR(IF(AC64&gt;='參數'!$B$9,INDEX('分群統計'!$L$13:$P$16,MATCH(X64,'分群統計'!$A$13:$A$16,0),MATCH(V64,'分群統計'!$L$12:$P$12,0)),INDEX('分群統計'!$J$5:$J$8,MATCH(X64,'分群統計'!$A$5:$A$8,0))),""),"")</f>
        <v/>
      </c>
      <c r="AF64" s="31">
        <f>IF(ISNUMBER(AE64),IF(AE64&gt;0,MAX(-3,MIN(3,(N64-AD64)/AE64)),0),"")</f>
        <v/>
      </c>
      <c r="AG64" s="30">
        <f>IF(Y64=1,COUNTIFS($B$5:$B$404,B64,$Y$5:$Y$404,1),"")</f>
        <v/>
      </c>
      <c r="AH64" s="30">
        <f>IF(Y64=1,IFERROR(IF(ISNUMBER(INDEX('分群統計'!$G$20:$G$59,MATCH(B64,'分群統計'!$A$20:$A$59,0))),INDEX('分群統計'!$H$20:$H$59,MATCH(B64,'分群統計'!$A$20:$A$59,0))+INDEX('分群統計'!$G$20:$G$59,MATCH(B64,'分群統計'!$A$20:$A$59,0))*AU64,""),""),"")</f>
        <v/>
      </c>
      <c r="AI64" s="34">
        <f>IF(ISNUMBER(AH64),N64-AH64,"")</f>
        <v/>
      </c>
      <c r="AJ64" s="30">
        <f>IF(Y64=1,IFERROR(IF(ISNUMBER(INDEX('分群統計'!$G$5:$G$8,MATCH(X64,'分群統計'!$A$5:$A$8,0))),INDEX('分群統計'!$H$5:$H$8,MATCH(X64,'分群統計'!$A$5:$A$8,0))+INDEX('分群統計'!$G$5:$G$8,MATCH(X64,'分群統計'!$A$5:$A$8,0))*AU64,""),""),"")</f>
        <v/>
      </c>
      <c r="AK64" s="34">
        <f>IF(ISNUMBER(AJ64),N64-AJ64,"")</f>
        <v/>
      </c>
      <c r="AL64" s="21">
        <f>IF(ISNUMBER(AJ64),IF(AJ64&gt;0,AK64/AJ64,""),"")</f>
        <v/>
      </c>
      <c r="AM64" s="31">
        <f>IF(AY64&lt;&gt;1,"",IFERROR(IF(INDEX('分群統計'!$K$5:$K$8,MATCH(X64,'分群統計'!$A$5:$A$8,0))&lt;3,"",IF(INDEX('分群統計'!$M$5:$M$8,MATCH(X64,'分群統計'!$A$5:$A$8,0))&gt;0,MAX(-3,MIN(3,(AX64-INDEX('分群統計'!$L$5:$L$8,MATCH(X64,'分群統計'!$A$5:$A$8,0)))/INDEX('分群統計'!$M$5:$M$8,MATCH(X64,'分群統計'!$A$5:$A$8,0)))),0)),""))</f>
        <v/>
      </c>
      <c r="AN64" s="31">
        <f>IF(ISNUMBER(AB64),IF(Z64&gt;0,AB64/Z64*100,""),"")</f>
        <v/>
      </c>
      <c r="AO64" s="31">
        <f>IF(BA64&lt;&gt;1,"",IFERROR(IF(INDEX('分群統計'!$N$5:$N$8,MATCH(X64,'分群統計'!$A$5:$A$8,0))&lt;3,"",IF(INDEX('分群統計'!$P$5:$P$8,MATCH(X64,'分群統計'!$A$5:$A$8,0))&gt;0,MAX(-3,MIN(3,(AZ64-INDEX('分群統計'!$O$5:$O$8,MATCH(X64,'分群統計'!$A$5:$A$8,0)))/INDEX('分群統計'!$P$5:$P$8,MATCH(X64,'分群統計'!$A$5:$A$8,0)))),0)),""))</f>
        <v/>
      </c>
      <c r="AP64" s="31">
        <f>IF(BC64&lt;&gt;1,"",IFERROR(IF(INDEX('分群統計'!$Q$5:$Q$8,MATCH(X64,'分群統計'!$A$5:$A$8,0))&lt;3,"",IF(INDEX('分群統計'!$S$5:$S$8,MATCH(X64,'分群統計'!$A$5:$A$8,0))&gt;0,MAX(-3,MIN(3,(BB64-INDEX('分群統計'!$R$5:$R$8,MATCH(X64,'分群統計'!$A$5:$A$8,0)))/INDEX('分群統計'!$S$5:$S$8,MATCH(X64,'分群統計'!$A$5:$A$8,0)))),0)),""))</f>
        <v/>
      </c>
      <c r="AQ64" s="31">
        <f>IF(Y64=1,(IF(ISNUMBER(AF64),AF64,0)*'參數'!$B$13+IF(ISNUMBER(AM64),AM64,0)*'參數'!$B$14+IF(ISNUMBER(AO64),AO64,0)*'參數'!$B$15+IF(ISNUMBER(AP64),AP64,0)*'參數'!$B$16)/('參數'!$B$13+'參數'!$B$14+'參數'!$B$15+'參數'!$B$16),"")</f>
        <v/>
      </c>
      <c r="AR64" s="35">
        <f>IF(Y64=1,(SUMPRODUCT(($X$5:$X$404=X64)*($Y$5:$Y$404=1)*($BD$5:$BD$404&gt;BD64))+1)/COUNTIFS($X$5:$X$404,X64,$Y$5:$Y$404,1),"")</f>
        <v/>
      </c>
      <c r="AS64" s="8">
        <f>IF(ISNUMBER(AR64),IF(AR64&lt;='參數'!$B$18,"加碼候選",IF(AR64&gt;'參數'!$B$19,"減碼候選","")),"")</f>
        <v/>
      </c>
      <c r="AT64" s="7">
        <f>IF(Y64=1,N64,0)</f>
        <v/>
      </c>
      <c r="AU64" s="7">
        <f>IF(Y64=1,LN(O64),0)</f>
        <v/>
      </c>
      <c r="AV64" s="36">
        <f>IF(Y64=1,IF(ISNUMBER(F64),F64,0),0)</f>
        <v/>
      </c>
      <c r="AW64" s="7">
        <f>IF(Y64=1,Z64,0)</f>
        <v/>
      </c>
      <c r="AX64" s="7">
        <f>IF(Y64=1,IF(ISNUMBER(AL64),AL64,0),0)</f>
        <v/>
      </c>
      <c r="AY64" s="7">
        <f>IF(Y64=1,IF(ISNUMBER(AL64),1,0),0)</f>
        <v/>
      </c>
      <c r="AZ64" s="7">
        <f>IF(Y64=1,IF(ISNUMBER(AN64),AN64,0),0)</f>
        <v/>
      </c>
      <c r="BA64" s="7">
        <f>IF(Y64=1,IF(ISNUMBER(AN64),1,0),0)</f>
        <v/>
      </c>
      <c r="BB64" s="7">
        <f>IF(Y64=1,IF(ISNUMBER(T64),T64,0),0)</f>
        <v/>
      </c>
      <c r="BC64" s="7">
        <f>IF(Y64=1,IF(ISNUMBER(T64),1,0),0)</f>
        <v/>
      </c>
      <c r="BD64" s="7">
        <f>IF(Y64=1,AQ64+ROW()/1E9,-1E9)</f>
        <v/>
      </c>
      <c r="BE64" s="7">
        <f>IF(Y64=1,AQ64+ROW()/1E9,1E9)</f>
        <v/>
      </c>
    </row>
    <row r="65">
      <c r="A65" s="16" t="n"/>
      <c r="B65" s="8">
        <f>IF($A65="","",BDP($A65,B$3))</f>
        <v/>
      </c>
      <c r="C65" s="8">
        <f>IF($A65="","",BDP($A65,C$3))</f>
        <v/>
      </c>
      <c r="D65" s="28">
        <f>IF($A65="","",BDP($A65,D$3))</f>
        <v/>
      </c>
      <c r="E65" s="29">
        <f>IF($A65="","",BDP($A65,E$3))</f>
        <v/>
      </c>
      <c r="F65" s="17">
        <f>IF($A65="","",BDP($A65,F$3))</f>
        <v/>
      </c>
      <c r="G65" s="8">
        <f>IF($A65="","",BDP($A65,G$3))</f>
        <v/>
      </c>
      <c r="H65" s="8">
        <f>IF($A65="","",BDP($A65,H$3))</f>
        <v/>
      </c>
      <c r="I65" s="8">
        <f>IF($A65="","",BDP($A65,I$3))</f>
        <v/>
      </c>
      <c r="J65" s="8">
        <f>IF($A65="","",BDP($A65,J$3))</f>
        <v/>
      </c>
      <c r="K65" s="8">
        <f>IF($A65="","",BDP($A65,K$3))</f>
        <v/>
      </c>
      <c r="L65" s="28">
        <f>IF($A65="","",BDP($A65,L$3))</f>
        <v/>
      </c>
      <c r="M65" s="28">
        <f>IF($A65="","",BDP($A65,M$3))</f>
        <v/>
      </c>
      <c r="N65" s="30">
        <f>IF($A65="","",BDP($A65,N$3))</f>
        <v/>
      </c>
      <c r="O65" s="31">
        <f>IF($A65="","",BDP($A65,O$3))</f>
        <v/>
      </c>
      <c r="P65" s="30">
        <f>IF($A65="","",BDH($A65,$N$3,'參數'!$B$5,'參數'!$B$5,"Days=A","Fill=P","Dates=H"))</f>
        <v/>
      </c>
      <c r="Q65" s="30">
        <f>IF($A65="","",BDH($A65,$N$3,'參數'!$B$6,'參數'!$B$6,"Days=A","Fill=P","Dates=H"))</f>
        <v/>
      </c>
      <c r="R65" s="30">
        <f>IF($A65="","",BDH($A65,$N$3,'參數'!$B$7,'參數'!$B$7,"Days=A","Fill=P","Dates=H"))</f>
        <v/>
      </c>
      <c r="S65" s="32">
        <f>IF($A65="","",IFERROR(INDEX('發行人'!$A$5:$A$44,MATCH(B65,'發行人'!$D$5:$D$44,0)),"未對應"))</f>
        <v/>
      </c>
      <c r="T65" s="24">
        <f>IF($A65="","",IFERROR(INDEX('發行人'!$G$5:$G$44,MATCH(B65,'發行人'!$D$5:$D$44,0))+0,""))</f>
        <v/>
      </c>
      <c r="U65" s="18">
        <f>IF(ISNUMBER(E65),YEARFRAC('參數'!$B$4,E65),"")</f>
        <v/>
      </c>
      <c r="V65" s="8">
        <f>IF(U65="","",IF(U65&lt;3,"1-3y",IF(U65&lt;5,"3-5y",IF(U65&lt;7,"5-7y",IF(U65&lt;10,"7-10y","10y+")))))</f>
        <v/>
      </c>
      <c r="W65" s="30">
        <f>IF($A65="","",IFERROR(INDEX('參數'!$B$24:$B$45,MATCH(G65,'參數'!$A$24:$A$45,0)),""))</f>
        <v/>
      </c>
      <c r="X65" s="8">
        <f>IF($A65="","",IFERROR(INDEX('參數'!$C$24:$C$45,MATCH(G65,'參數'!$A$24:$A$45,0)),""))</f>
        <v/>
      </c>
      <c r="Y65" s="30">
        <f>IF(AND(ISNUMBER(N65),ISNUMBER(O65),ISNUMBER(U65)),IF(AND(O65&gt;0,X65&lt;&gt;""),1,0),0)</f>
        <v/>
      </c>
      <c r="Z65" s="17">
        <f>IF(Y65=1,O65*N65,"")</f>
        <v/>
      </c>
      <c r="AA65" s="33">
        <f>IF(Y65=1,IF(ISNUMBER(Q65),N65-Q65,""),"")</f>
        <v/>
      </c>
      <c r="AB65" s="33">
        <f>IF(Y65=1,IF(AND(ISNUMBER(P65),ISNUMBER(R65)),R65*5/12-O65*(P65-R65),""),"")</f>
        <v/>
      </c>
      <c r="AC65" s="30">
        <f>IF(Y65=1,COUNTIFS($X$5:$X$404,X65,$V$5:$V$404,V65,$Y$5:$Y$404,1),"")</f>
        <v/>
      </c>
      <c r="AD65" s="30">
        <f>IF(Y65=1,IFERROR(IF(AC65&gt;='參數'!$B$9,INDEX('分群統計'!$G$13:$K$16,MATCH(X65,'分群統計'!$A$13:$A$16,0),MATCH(V65,'分群統計'!$G$12:$K$12,0)),INDEX('分群統計'!$I$5:$I$8,MATCH(X65,'分群統計'!$A$5:$A$8,0))),""),"")</f>
        <v/>
      </c>
      <c r="AE65" s="18">
        <f>IF(Y65=1,IFERROR(IF(AC65&gt;='參數'!$B$9,INDEX('分群統計'!$L$13:$P$16,MATCH(X65,'分群統計'!$A$13:$A$16,0),MATCH(V65,'分群統計'!$L$12:$P$12,0)),INDEX('分群統計'!$J$5:$J$8,MATCH(X65,'分群統計'!$A$5:$A$8,0))),""),"")</f>
        <v/>
      </c>
      <c r="AF65" s="31">
        <f>IF(ISNUMBER(AE65),IF(AE65&gt;0,MAX(-3,MIN(3,(N65-AD65)/AE65)),0),"")</f>
        <v/>
      </c>
      <c r="AG65" s="30">
        <f>IF(Y65=1,COUNTIFS($B$5:$B$404,B65,$Y$5:$Y$404,1),"")</f>
        <v/>
      </c>
      <c r="AH65" s="30">
        <f>IF(Y65=1,IFERROR(IF(ISNUMBER(INDEX('分群統計'!$G$20:$G$59,MATCH(B65,'分群統計'!$A$20:$A$59,0))),INDEX('分群統計'!$H$20:$H$59,MATCH(B65,'分群統計'!$A$20:$A$59,0))+INDEX('分群統計'!$G$20:$G$59,MATCH(B65,'分群統計'!$A$20:$A$59,0))*AU65,""),""),"")</f>
        <v/>
      </c>
      <c r="AI65" s="34">
        <f>IF(ISNUMBER(AH65),N65-AH65,"")</f>
        <v/>
      </c>
      <c r="AJ65" s="30">
        <f>IF(Y65=1,IFERROR(IF(ISNUMBER(INDEX('分群統計'!$G$5:$G$8,MATCH(X65,'分群統計'!$A$5:$A$8,0))),INDEX('分群統計'!$H$5:$H$8,MATCH(X65,'分群統計'!$A$5:$A$8,0))+INDEX('分群統計'!$G$5:$G$8,MATCH(X65,'分群統計'!$A$5:$A$8,0))*AU65,""),""),"")</f>
        <v/>
      </c>
      <c r="AK65" s="34">
        <f>IF(ISNUMBER(AJ65),N65-AJ65,"")</f>
        <v/>
      </c>
      <c r="AL65" s="21">
        <f>IF(ISNUMBER(AJ65),IF(AJ65&gt;0,AK65/AJ65,""),"")</f>
        <v/>
      </c>
      <c r="AM65" s="31">
        <f>IF(AY65&lt;&gt;1,"",IFERROR(IF(INDEX('分群統計'!$K$5:$K$8,MATCH(X65,'分群統計'!$A$5:$A$8,0))&lt;3,"",IF(INDEX('分群統計'!$M$5:$M$8,MATCH(X65,'分群統計'!$A$5:$A$8,0))&gt;0,MAX(-3,MIN(3,(AX65-INDEX('分群統計'!$L$5:$L$8,MATCH(X65,'分群統計'!$A$5:$A$8,0)))/INDEX('分群統計'!$M$5:$M$8,MATCH(X65,'分群統計'!$A$5:$A$8,0)))),0)),""))</f>
        <v/>
      </c>
      <c r="AN65" s="31">
        <f>IF(ISNUMBER(AB65),IF(Z65&gt;0,AB65/Z65*100,""),"")</f>
        <v/>
      </c>
      <c r="AO65" s="31">
        <f>IF(BA65&lt;&gt;1,"",IFERROR(IF(INDEX('分群統計'!$N$5:$N$8,MATCH(X65,'分群統計'!$A$5:$A$8,0))&lt;3,"",IF(INDEX('分群統計'!$P$5:$P$8,MATCH(X65,'分群統計'!$A$5:$A$8,0))&gt;0,MAX(-3,MIN(3,(AZ65-INDEX('分群統計'!$O$5:$O$8,MATCH(X65,'分群統計'!$A$5:$A$8,0)))/INDEX('分群統計'!$P$5:$P$8,MATCH(X65,'分群統計'!$A$5:$A$8,0)))),0)),""))</f>
        <v/>
      </c>
      <c r="AP65" s="31">
        <f>IF(BC65&lt;&gt;1,"",IFERROR(IF(INDEX('分群統計'!$Q$5:$Q$8,MATCH(X65,'分群統計'!$A$5:$A$8,0))&lt;3,"",IF(INDEX('分群統計'!$S$5:$S$8,MATCH(X65,'分群統計'!$A$5:$A$8,0))&gt;0,MAX(-3,MIN(3,(BB65-INDEX('分群統計'!$R$5:$R$8,MATCH(X65,'分群統計'!$A$5:$A$8,0)))/INDEX('分群統計'!$S$5:$S$8,MATCH(X65,'分群統計'!$A$5:$A$8,0)))),0)),""))</f>
        <v/>
      </c>
      <c r="AQ65" s="31">
        <f>IF(Y65=1,(IF(ISNUMBER(AF65),AF65,0)*'參數'!$B$13+IF(ISNUMBER(AM65),AM65,0)*'參數'!$B$14+IF(ISNUMBER(AO65),AO65,0)*'參數'!$B$15+IF(ISNUMBER(AP65),AP65,0)*'參數'!$B$16)/('參數'!$B$13+'參數'!$B$14+'參數'!$B$15+'參數'!$B$16),"")</f>
        <v/>
      </c>
      <c r="AR65" s="35">
        <f>IF(Y65=1,(SUMPRODUCT(($X$5:$X$404=X65)*($Y$5:$Y$404=1)*($BD$5:$BD$404&gt;BD65))+1)/COUNTIFS($X$5:$X$404,X65,$Y$5:$Y$404,1),"")</f>
        <v/>
      </c>
      <c r="AS65" s="8">
        <f>IF(ISNUMBER(AR65),IF(AR65&lt;='參數'!$B$18,"加碼候選",IF(AR65&gt;'參數'!$B$19,"減碼候選","")),"")</f>
        <v/>
      </c>
      <c r="AT65" s="7">
        <f>IF(Y65=1,N65,0)</f>
        <v/>
      </c>
      <c r="AU65" s="7">
        <f>IF(Y65=1,LN(O65),0)</f>
        <v/>
      </c>
      <c r="AV65" s="36">
        <f>IF(Y65=1,IF(ISNUMBER(F65),F65,0),0)</f>
        <v/>
      </c>
      <c r="AW65" s="7">
        <f>IF(Y65=1,Z65,0)</f>
        <v/>
      </c>
      <c r="AX65" s="7">
        <f>IF(Y65=1,IF(ISNUMBER(AL65),AL65,0),0)</f>
        <v/>
      </c>
      <c r="AY65" s="7">
        <f>IF(Y65=1,IF(ISNUMBER(AL65),1,0),0)</f>
        <v/>
      </c>
      <c r="AZ65" s="7">
        <f>IF(Y65=1,IF(ISNUMBER(AN65),AN65,0),0)</f>
        <v/>
      </c>
      <c r="BA65" s="7">
        <f>IF(Y65=1,IF(ISNUMBER(AN65),1,0),0)</f>
        <v/>
      </c>
      <c r="BB65" s="7">
        <f>IF(Y65=1,IF(ISNUMBER(T65),T65,0),0)</f>
        <v/>
      </c>
      <c r="BC65" s="7">
        <f>IF(Y65=1,IF(ISNUMBER(T65),1,0),0)</f>
        <v/>
      </c>
      <c r="BD65" s="7">
        <f>IF(Y65=1,AQ65+ROW()/1E9,-1E9)</f>
        <v/>
      </c>
      <c r="BE65" s="7">
        <f>IF(Y65=1,AQ65+ROW()/1E9,1E9)</f>
        <v/>
      </c>
    </row>
    <row r="66">
      <c r="A66" s="16" t="n"/>
      <c r="B66" s="8">
        <f>IF($A66="","",BDP($A66,B$3))</f>
        <v/>
      </c>
      <c r="C66" s="8">
        <f>IF($A66="","",BDP($A66,C$3))</f>
        <v/>
      </c>
      <c r="D66" s="28">
        <f>IF($A66="","",BDP($A66,D$3))</f>
        <v/>
      </c>
      <c r="E66" s="29">
        <f>IF($A66="","",BDP($A66,E$3))</f>
        <v/>
      </c>
      <c r="F66" s="17">
        <f>IF($A66="","",BDP($A66,F$3))</f>
        <v/>
      </c>
      <c r="G66" s="8">
        <f>IF($A66="","",BDP($A66,G$3))</f>
        <v/>
      </c>
      <c r="H66" s="8">
        <f>IF($A66="","",BDP($A66,H$3))</f>
        <v/>
      </c>
      <c r="I66" s="8">
        <f>IF($A66="","",BDP($A66,I$3))</f>
        <v/>
      </c>
      <c r="J66" s="8">
        <f>IF($A66="","",BDP($A66,J$3))</f>
        <v/>
      </c>
      <c r="K66" s="8">
        <f>IF($A66="","",BDP($A66,K$3))</f>
        <v/>
      </c>
      <c r="L66" s="28">
        <f>IF($A66="","",BDP($A66,L$3))</f>
        <v/>
      </c>
      <c r="M66" s="28">
        <f>IF($A66="","",BDP($A66,M$3))</f>
        <v/>
      </c>
      <c r="N66" s="30">
        <f>IF($A66="","",BDP($A66,N$3))</f>
        <v/>
      </c>
      <c r="O66" s="31">
        <f>IF($A66="","",BDP($A66,O$3))</f>
        <v/>
      </c>
      <c r="P66" s="30">
        <f>IF($A66="","",BDH($A66,$N$3,'參數'!$B$5,'參數'!$B$5,"Days=A","Fill=P","Dates=H"))</f>
        <v/>
      </c>
      <c r="Q66" s="30">
        <f>IF($A66="","",BDH($A66,$N$3,'參數'!$B$6,'參數'!$B$6,"Days=A","Fill=P","Dates=H"))</f>
        <v/>
      </c>
      <c r="R66" s="30">
        <f>IF($A66="","",BDH($A66,$N$3,'參數'!$B$7,'參數'!$B$7,"Days=A","Fill=P","Dates=H"))</f>
        <v/>
      </c>
      <c r="S66" s="32">
        <f>IF($A66="","",IFERROR(INDEX('發行人'!$A$5:$A$44,MATCH(B66,'發行人'!$D$5:$D$44,0)),"未對應"))</f>
        <v/>
      </c>
      <c r="T66" s="24">
        <f>IF($A66="","",IFERROR(INDEX('發行人'!$G$5:$G$44,MATCH(B66,'發行人'!$D$5:$D$44,0))+0,""))</f>
        <v/>
      </c>
      <c r="U66" s="18">
        <f>IF(ISNUMBER(E66),YEARFRAC('參數'!$B$4,E66),"")</f>
        <v/>
      </c>
      <c r="V66" s="8">
        <f>IF(U66="","",IF(U66&lt;3,"1-3y",IF(U66&lt;5,"3-5y",IF(U66&lt;7,"5-7y",IF(U66&lt;10,"7-10y","10y+")))))</f>
        <v/>
      </c>
      <c r="W66" s="30">
        <f>IF($A66="","",IFERROR(INDEX('參數'!$B$24:$B$45,MATCH(G66,'參數'!$A$24:$A$45,0)),""))</f>
        <v/>
      </c>
      <c r="X66" s="8">
        <f>IF($A66="","",IFERROR(INDEX('參數'!$C$24:$C$45,MATCH(G66,'參數'!$A$24:$A$45,0)),""))</f>
        <v/>
      </c>
      <c r="Y66" s="30">
        <f>IF(AND(ISNUMBER(N66),ISNUMBER(O66),ISNUMBER(U66)),IF(AND(O66&gt;0,X66&lt;&gt;""),1,0),0)</f>
        <v/>
      </c>
      <c r="Z66" s="17">
        <f>IF(Y66=1,O66*N66,"")</f>
        <v/>
      </c>
      <c r="AA66" s="33">
        <f>IF(Y66=1,IF(ISNUMBER(Q66),N66-Q66,""),"")</f>
        <v/>
      </c>
      <c r="AB66" s="33">
        <f>IF(Y66=1,IF(AND(ISNUMBER(P66),ISNUMBER(R66)),R66*5/12-O66*(P66-R66),""),"")</f>
        <v/>
      </c>
      <c r="AC66" s="30">
        <f>IF(Y66=1,COUNTIFS($X$5:$X$404,X66,$V$5:$V$404,V66,$Y$5:$Y$404,1),"")</f>
        <v/>
      </c>
      <c r="AD66" s="30">
        <f>IF(Y66=1,IFERROR(IF(AC66&gt;='參數'!$B$9,INDEX('分群統計'!$G$13:$K$16,MATCH(X66,'分群統計'!$A$13:$A$16,0),MATCH(V66,'分群統計'!$G$12:$K$12,0)),INDEX('分群統計'!$I$5:$I$8,MATCH(X66,'分群統計'!$A$5:$A$8,0))),""),"")</f>
        <v/>
      </c>
      <c r="AE66" s="18">
        <f>IF(Y66=1,IFERROR(IF(AC66&gt;='參數'!$B$9,INDEX('分群統計'!$L$13:$P$16,MATCH(X66,'分群統計'!$A$13:$A$16,0),MATCH(V66,'分群統計'!$L$12:$P$12,0)),INDEX('分群統計'!$J$5:$J$8,MATCH(X66,'分群統計'!$A$5:$A$8,0))),""),"")</f>
        <v/>
      </c>
      <c r="AF66" s="31">
        <f>IF(ISNUMBER(AE66),IF(AE66&gt;0,MAX(-3,MIN(3,(N66-AD66)/AE66)),0),"")</f>
        <v/>
      </c>
      <c r="AG66" s="30">
        <f>IF(Y66=1,COUNTIFS($B$5:$B$404,B66,$Y$5:$Y$404,1),"")</f>
        <v/>
      </c>
      <c r="AH66" s="30">
        <f>IF(Y66=1,IFERROR(IF(ISNUMBER(INDEX('分群統計'!$G$20:$G$59,MATCH(B66,'分群統計'!$A$20:$A$59,0))),INDEX('分群統計'!$H$20:$H$59,MATCH(B66,'分群統計'!$A$20:$A$59,0))+INDEX('分群統計'!$G$20:$G$59,MATCH(B66,'分群統計'!$A$20:$A$59,0))*AU66,""),""),"")</f>
        <v/>
      </c>
      <c r="AI66" s="34">
        <f>IF(ISNUMBER(AH66),N66-AH66,"")</f>
        <v/>
      </c>
      <c r="AJ66" s="30">
        <f>IF(Y66=1,IFERROR(IF(ISNUMBER(INDEX('分群統計'!$G$5:$G$8,MATCH(X66,'分群統計'!$A$5:$A$8,0))),INDEX('分群統計'!$H$5:$H$8,MATCH(X66,'分群統計'!$A$5:$A$8,0))+INDEX('分群統計'!$G$5:$G$8,MATCH(X66,'分群統計'!$A$5:$A$8,0))*AU66,""),""),"")</f>
        <v/>
      </c>
      <c r="AK66" s="34">
        <f>IF(ISNUMBER(AJ66),N66-AJ66,"")</f>
        <v/>
      </c>
      <c r="AL66" s="21">
        <f>IF(ISNUMBER(AJ66),IF(AJ66&gt;0,AK66/AJ66,""),"")</f>
        <v/>
      </c>
      <c r="AM66" s="31">
        <f>IF(AY66&lt;&gt;1,"",IFERROR(IF(INDEX('分群統計'!$K$5:$K$8,MATCH(X66,'分群統計'!$A$5:$A$8,0))&lt;3,"",IF(INDEX('分群統計'!$M$5:$M$8,MATCH(X66,'分群統計'!$A$5:$A$8,0))&gt;0,MAX(-3,MIN(3,(AX66-INDEX('分群統計'!$L$5:$L$8,MATCH(X66,'分群統計'!$A$5:$A$8,0)))/INDEX('分群統計'!$M$5:$M$8,MATCH(X66,'分群統計'!$A$5:$A$8,0)))),0)),""))</f>
        <v/>
      </c>
      <c r="AN66" s="31">
        <f>IF(ISNUMBER(AB66),IF(Z66&gt;0,AB66/Z66*100,""),"")</f>
        <v/>
      </c>
      <c r="AO66" s="31">
        <f>IF(BA66&lt;&gt;1,"",IFERROR(IF(INDEX('分群統計'!$N$5:$N$8,MATCH(X66,'分群統計'!$A$5:$A$8,0))&lt;3,"",IF(INDEX('分群統計'!$P$5:$P$8,MATCH(X66,'分群統計'!$A$5:$A$8,0))&gt;0,MAX(-3,MIN(3,(AZ66-INDEX('分群統計'!$O$5:$O$8,MATCH(X66,'分群統計'!$A$5:$A$8,0)))/INDEX('分群統計'!$P$5:$P$8,MATCH(X66,'分群統計'!$A$5:$A$8,0)))),0)),""))</f>
        <v/>
      </c>
      <c r="AP66" s="31">
        <f>IF(BC66&lt;&gt;1,"",IFERROR(IF(INDEX('分群統計'!$Q$5:$Q$8,MATCH(X66,'分群統計'!$A$5:$A$8,0))&lt;3,"",IF(INDEX('分群統計'!$S$5:$S$8,MATCH(X66,'分群統計'!$A$5:$A$8,0))&gt;0,MAX(-3,MIN(3,(BB66-INDEX('分群統計'!$R$5:$R$8,MATCH(X66,'分群統計'!$A$5:$A$8,0)))/INDEX('分群統計'!$S$5:$S$8,MATCH(X66,'分群統計'!$A$5:$A$8,0)))),0)),""))</f>
        <v/>
      </c>
      <c r="AQ66" s="31">
        <f>IF(Y66=1,(IF(ISNUMBER(AF66),AF66,0)*'參數'!$B$13+IF(ISNUMBER(AM66),AM66,0)*'參數'!$B$14+IF(ISNUMBER(AO66),AO66,0)*'參數'!$B$15+IF(ISNUMBER(AP66),AP66,0)*'參數'!$B$16)/('參數'!$B$13+'參數'!$B$14+'參數'!$B$15+'參數'!$B$16),"")</f>
        <v/>
      </c>
      <c r="AR66" s="35">
        <f>IF(Y66=1,(SUMPRODUCT(($X$5:$X$404=X66)*($Y$5:$Y$404=1)*($BD$5:$BD$404&gt;BD66))+1)/COUNTIFS($X$5:$X$404,X66,$Y$5:$Y$404,1),"")</f>
        <v/>
      </c>
      <c r="AS66" s="8">
        <f>IF(ISNUMBER(AR66),IF(AR66&lt;='參數'!$B$18,"加碼候選",IF(AR66&gt;'參數'!$B$19,"減碼候選","")),"")</f>
        <v/>
      </c>
      <c r="AT66" s="7">
        <f>IF(Y66=1,N66,0)</f>
        <v/>
      </c>
      <c r="AU66" s="7">
        <f>IF(Y66=1,LN(O66),0)</f>
        <v/>
      </c>
      <c r="AV66" s="36">
        <f>IF(Y66=1,IF(ISNUMBER(F66),F66,0),0)</f>
        <v/>
      </c>
      <c r="AW66" s="7">
        <f>IF(Y66=1,Z66,0)</f>
        <v/>
      </c>
      <c r="AX66" s="7">
        <f>IF(Y66=1,IF(ISNUMBER(AL66),AL66,0),0)</f>
        <v/>
      </c>
      <c r="AY66" s="7">
        <f>IF(Y66=1,IF(ISNUMBER(AL66),1,0),0)</f>
        <v/>
      </c>
      <c r="AZ66" s="7">
        <f>IF(Y66=1,IF(ISNUMBER(AN66),AN66,0),0)</f>
        <v/>
      </c>
      <c r="BA66" s="7">
        <f>IF(Y66=1,IF(ISNUMBER(AN66),1,0),0)</f>
        <v/>
      </c>
      <c r="BB66" s="7">
        <f>IF(Y66=1,IF(ISNUMBER(T66),T66,0),0)</f>
        <v/>
      </c>
      <c r="BC66" s="7">
        <f>IF(Y66=1,IF(ISNUMBER(T66),1,0),0)</f>
        <v/>
      </c>
      <c r="BD66" s="7">
        <f>IF(Y66=1,AQ66+ROW()/1E9,-1E9)</f>
        <v/>
      </c>
      <c r="BE66" s="7">
        <f>IF(Y66=1,AQ66+ROW()/1E9,1E9)</f>
        <v/>
      </c>
    </row>
    <row r="67">
      <c r="A67" s="16" t="n"/>
      <c r="B67" s="8">
        <f>IF($A67="","",BDP($A67,B$3))</f>
        <v/>
      </c>
      <c r="C67" s="8">
        <f>IF($A67="","",BDP($A67,C$3))</f>
        <v/>
      </c>
      <c r="D67" s="28">
        <f>IF($A67="","",BDP($A67,D$3))</f>
        <v/>
      </c>
      <c r="E67" s="29">
        <f>IF($A67="","",BDP($A67,E$3))</f>
        <v/>
      </c>
      <c r="F67" s="17">
        <f>IF($A67="","",BDP($A67,F$3))</f>
        <v/>
      </c>
      <c r="G67" s="8">
        <f>IF($A67="","",BDP($A67,G$3))</f>
        <v/>
      </c>
      <c r="H67" s="8">
        <f>IF($A67="","",BDP($A67,H$3))</f>
        <v/>
      </c>
      <c r="I67" s="8">
        <f>IF($A67="","",BDP($A67,I$3))</f>
        <v/>
      </c>
      <c r="J67" s="8">
        <f>IF($A67="","",BDP($A67,J$3))</f>
        <v/>
      </c>
      <c r="K67" s="8">
        <f>IF($A67="","",BDP($A67,K$3))</f>
        <v/>
      </c>
      <c r="L67" s="28">
        <f>IF($A67="","",BDP($A67,L$3))</f>
        <v/>
      </c>
      <c r="M67" s="28">
        <f>IF($A67="","",BDP($A67,M$3))</f>
        <v/>
      </c>
      <c r="N67" s="30">
        <f>IF($A67="","",BDP($A67,N$3))</f>
        <v/>
      </c>
      <c r="O67" s="31">
        <f>IF($A67="","",BDP($A67,O$3))</f>
        <v/>
      </c>
      <c r="P67" s="30">
        <f>IF($A67="","",BDH($A67,$N$3,'參數'!$B$5,'參數'!$B$5,"Days=A","Fill=P","Dates=H"))</f>
        <v/>
      </c>
      <c r="Q67" s="30">
        <f>IF($A67="","",BDH($A67,$N$3,'參數'!$B$6,'參數'!$B$6,"Days=A","Fill=P","Dates=H"))</f>
        <v/>
      </c>
      <c r="R67" s="30">
        <f>IF($A67="","",BDH($A67,$N$3,'參數'!$B$7,'參數'!$B$7,"Days=A","Fill=P","Dates=H"))</f>
        <v/>
      </c>
      <c r="S67" s="32">
        <f>IF($A67="","",IFERROR(INDEX('發行人'!$A$5:$A$44,MATCH(B67,'發行人'!$D$5:$D$44,0)),"未對應"))</f>
        <v/>
      </c>
      <c r="T67" s="24">
        <f>IF($A67="","",IFERROR(INDEX('發行人'!$G$5:$G$44,MATCH(B67,'發行人'!$D$5:$D$44,0))+0,""))</f>
        <v/>
      </c>
      <c r="U67" s="18">
        <f>IF(ISNUMBER(E67),YEARFRAC('參數'!$B$4,E67),"")</f>
        <v/>
      </c>
      <c r="V67" s="8">
        <f>IF(U67="","",IF(U67&lt;3,"1-3y",IF(U67&lt;5,"3-5y",IF(U67&lt;7,"5-7y",IF(U67&lt;10,"7-10y","10y+")))))</f>
        <v/>
      </c>
      <c r="W67" s="30">
        <f>IF($A67="","",IFERROR(INDEX('參數'!$B$24:$B$45,MATCH(G67,'參數'!$A$24:$A$45,0)),""))</f>
        <v/>
      </c>
      <c r="X67" s="8">
        <f>IF($A67="","",IFERROR(INDEX('參數'!$C$24:$C$45,MATCH(G67,'參數'!$A$24:$A$45,0)),""))</f>
        <v/>
      </c>
      <c r="Y67" s="30">
        <f>IF(AND(ISNUMBER(N67),ISNUMBER(O67),ISNUMBER(U67)),IF(AND(O67&gt;0,X67&lt;&gt;""),1,0),0)</f>
        <v/>
      </c>
      <c r="Z67" s="17">
        <f>IF(Y67=1,O67*N67,"")</f>
        <v/>
      </c>
      <c r="AA67" s="33">
        <f>IF(Y67=1,IF(ISNUMBER(Q67),N67-Q67,""),"")</f>
        <v/>
      </c>
      <c r="AB67" s="33">
        <f>IF(Y67=1,IF(AND(ISNUMBER(P67),ISNUMBER(R67)),R67*5/12-O67*(P67-R67),""),"")</f>
        <v/>
      </c>
      <c r="AC67" s="30">
        <f>IF(Y67=1,COUNTIFS($X$5:$X$404,X67,$V$5:$V$404,V67,$Y$5:$Y$404,1),"")</f>
        <v/>
      </c>
      <c r="AD67" s="30">
        <f>IF(Y67=1,IFERROR(IF(AC67&gt;='參數'!$B$9,INDEX('分群統計'!$G$13:$K$16,MATCH(X67,'分群統計'!$A$13:$A$16,0),MATCH(V67,'分群統計'!$G$12:$K$12,0)),INDEX('分群統計'!$I$5:$I$8,MATCH(X67,'分群統計'!$A$5:$A$8,0))),""),"")</f>
        <v/>
      </c>
      <c r="AE67" s="18">
        <f>IF(Y67=1,IFERROR(IF(AC67&gt;='參數'!$B$9,INDEX('分群統計'!$L$13:$P$16,MATCH(X67,'分群統計'!$A$13:$A$16,0),MATCH(V67,'分群統計'!$L$12:$P$12,0)),INDEX('分群統計'!$J$5:$J$8,MATCH(X67,'分群統計'!$A$5:$A$8,0))),""),"")</f>
        <v/>
      </c>
      <c r="AF67" s="31">
        <f>IF(ISNUMBER(AE67),IF(AE67&gt;0,MAX(-3,MIN(3,(N67-AD67)/AE67)),0),"")</f>
        <v/>
      </c>
      <c r="AG67" s="30">
        <f>IF(Y67=1,COUNTIFS($B$5:$B$404,B67,$Y$5:$Y$404,1),"")</f>
        <v/>
      </c>
      <c r="AH67" s="30">
        <f>IF(Y67=1,IFERROR(IF(ISNUMBER(INDEX('分群統計'!$G$20:$G$59,MATCH(B67,'分群統計'!$A$20:$A$59,0))),INDEX('分群統計'!$H$20:$H$59,MATCH(B67,'分群統計'!$A$20:$A$59,0))+INDEX('分群統計'!$G$20:$G$59,MATCH(B67,'分群統計'!$A$20:$A$59,0))*AU67,""),""),"")</f>
        <v/>
      </c>
      <c r="AI67" s="34">
        <f>IF(ISNUMBER(AH67),N67-AH67,"")</f>
        <v/>
      </c>
      <c r="AJ67" s="30">
        <f>IF(Y67=1,IFERROR(IF(ISNUMBER(INDEX('分群統計'!$G$5:$G$8,MATCH(X67,'分群統計'!$A$5:$A$8,0))),INDEX('分群統計'!$H$5:$H$8,MATCH(X67,'分群統計'!$A$5:$A$8,0))+INDEX('分群統計'!$G$5:$G$8,MATCH(X67,'分群統計'!$A$5:$A$8,0))*AU67,""),""),"")</f>
        <v/>
      </c>
      <c r="AK67" s="34">
        <f>IF(ISNUMBER(AJ67),N67-AJ67,"")</f>
        <v/>
      </c>
      <c r="AL67" s="21">
        <f>IF(ISNUMBER(AJ67),IF(AJ67&gt;0,AK67/AJ67,""),"")</f>
        <v/>
      </c>
      <c r="AM67" s="31">
        <f>IF(AY67&lt;&gt;1,"",IFERROR(IF(INDEX('分群統計'!$K$5:$K$8,MATCH(X67,'分群統計'!$A$5:$A$8,0))&lt;3,"",IF(INDEX('分群統計'!$M$5:$M$8,MATCH(X67,'分群統計'!$A$5:$A$8,0))&gt;0,MAX(-3,MIN(3,(AX67-INDEX('分群統計'!$L$5:$L$8,MATCH(X67,'分群統計'!$A$5:$A$8,0)))/INDEX('分群統計'!$M$5:$M$8,MATCH(X67,'分群統計'!$A$5:$A$8,0)))),0)),""))</f>
        <v/>
      </c>
      <c r="AN67" s="31">
        <f>IF(ISNUMBER(AB67),IF(Z67&gt;0,AB67/Z67*100,""),"")</f>
        <v/>
      </c>
      <c r="AO67" s="31">
        <f>IF(BA67&lt;&gt;1,"",IFERROR(IF(INDEX('分群統計'!$N$5:$N$8,MATCH(X67,'分群統計'!$A$5:$A$8,0))&lt;3,"",IF(INDEX('分群統計'!$P$5:$P$8,MATCH(X67,'分群統計'!$A$5:$A$8,0))&gt;0,MAX(-3,MIN(3,(AZ67-INDEX('分群統計'!$O$5:$O$8,MATCH(X67,'分群統計'!$A$5:$A$8,0)))/INDEX('分群統計'!$P$5:$P$8,MATCH(X67,'分群統計'!$A$5:$A$8,0)))),0)),""))</f>
        <v/>
      </c>
      <c r="AP67" s="31">
        <f>IF(BC67&lt;&gt;1,"",IFERROR(IF(INDEX('分群統計'!$Q$5:$Q$8,MATCH(X67,'分群統計'!$A$5:$A$8,0))&lt;3,"",IF(INDEX('分群統計'!$S$5:$S$8,MATCH(X67,'分群統計'!$A$5:$A$8,0))&gt;0,MAX(-3,MIN(3,(BB67-INDEX('分群統計'!$R$5:$R$8,MATCH(X67,'分群統計'!$A$5:$A$8,0)))/INDEX('分群統計'!$S$5:$S$8,MATCH(X67,'分群統計'!$A$5:$A$8,0)))),0)),""))</f>
        <v/>
      </c>
      <c r="AQ67" s="31">
        <f>IF(Y67=1,(IF(ISNUMBER(AF67),AF67,0)*'參數'!$B$13+IF(ISNUMBER(AM67),AM67,0)*'參數'!$B$14+IF(ISNUMBER(AO67),AO67,0)*'參數'!$B$15+IF(ISNUMBER(AP67),AP67,0)*'參數'!$B$16)/('參數'!$B$13+'參數'!$B$14+'參數'!$B$15+'參數'!$B$16),"")</f>
        <v/>
      </c>
      <c r="AR67" s="35">
        <f>IF(Y67=1,(SUMPRODUCT(($X$5:$X$404=X67)*($Y$5:$Y$404=1)*($BD$5:$BD$404&gt;BD67))+1)/COUNTIFS($X$5:$X$404,X67,$Y$5:$Y$404,1),"")</f>
        <v/>
      </c>
      <c r="AS67" s="8">
        <f>IF(ISNUMBER(AR67),IF(AR67&lt;='參數'!$B$18,"加碼候選",IF(AR67&gt;'參數'!$B$19,"減碼候選","")),"")</f>
        <v/>
      </c>
      <c r="AT67" s="7">
        <f>IF(Y67=1,N67,0)</f>
        <v/>
      </c>
      <c r="AU67" s="7">
        <f>IF(Y67=1,LN(O67),0)</f>
        <v/>
      </c>
      <c r="AV67" s="36">
        <f>IF(Y67=1,IF(ISNUMBER(F67),F67,0),0)</f>
        <v/>
      </c>
      <c r="AW67" s="7">
        <f>IF(Y67=1,Z67,0)</f>
        <v/>
      </c>
      <c r="AX67" s="7">
        <f>IF(Y67=1,IF(ISNUMBER(AL67),AL67,0),0)</f>
        <v/>
      </c>
      <c r="AY67" s="7">
        <f>IF(Y67=1,IF(ISNUMBER(AL67),1,0),0)</f>
        <v/>
      </c>
      <c r="AZ67" s="7">
        <f>IF(Y67=1,IF(ISNUMBER(AN67),AN67,0),0)</f>
        <v/>
      </c>
      <c r="BA67" s="7">
        <f>IF(Y67=1,IF(ISNUMBER(AN67),1,0),0)</f>
        <v/>
      </c>
      <c r="BB67" s="7">
        <f>IF(Y67=1,IF(ISNUMBER(T67),T67,0),0)</f>
        <v/>
      </c>
      <c r="BC67" s="7">
        <f>IF(Y67=1,IF(ISNUMBER(T67),1,0),0)</f>
        <v/>
      </c>
      <c r="BD67" s="7">
        <f>IF(Y67=1,AQ67+ROW()/1E9,-1E9)</f>
        <v/>
      </c>
      <c r="BE67" s="7">
        <f>IF(Y67=1,AQ67+ROW()/1E9,1E9)</f>
        <v/>
      </c>
    </row>
    <row r="68">
      <c r="A68" s="16" t="n"/>
      <c r="B68" s="8">
        <f>IF($A68="","",BDP($A68,B$3))</f>
        <v/>
      </c>
      <c r="C68" s="8">
        <f>IF($A68="","",BDP($A68,C$3))</f>
        <v/>
      </c>
      <c r="D68" s="28">
        <f>IF($A68="","",BDP($A68,D$3))</f>
        <v/>
      </c>
      <c r="E68" s="29">
        <f>IF($A68="","",BDP($A68,E$3))</f>
        <v/>
      </c>
      <c r="F68" s="17">
        <f>IF($A68="","",BDP($A68,F$3))</f>
        <v/>
      </c>
      <c r="G68" s="8">
        <f>IF($A68="","",BDP($A68,G$3))</f>
        <v/>
      </c>
      <c r="H68" s="8">
        <f>IF($A68="","",BDP($A68,H$3))</f>
        <v/>
      </c>
      <c r="I68" s="8">
        <f>IF($A68="","",BDP($A68,I$3))</f>
        <v/>
      </c>
      <c r="J68" s="8">
        <f>IF($A68="","",BDP($A68,J$3))</f>
        <v/>
      </c>
      <c r="K68" s="8">
        <f>IF($A68="","",BDP($A68,K$3))</f>
        <v/>
      </c>
      <c r="L68" s="28">
        <f>IF($A68="","",BDP($A68,L$3))</f>
        <v/>
      </c>
      <c r="M68" s="28">
        <f>IF($A68="","",BDP($A68,M$3))</f>
        <v/>
      </c>
      <c r="N68" s="30">
        <f>IF($A68="","",BDP($A68,N$3))</f>
        <v/>
      </c>
      <c r="O68" s="31">
        <f>IF($A68="","",BDP($A68,O$3))</f>
        <v/>
      </c>
      <c r="P68" s="30">
        <f>IF($A68="","",BDH($A68,$N$3,'參數'!$B$5,'參數'!$B$5,"Days=A","Fill=P","Dates=H"))</f>
        <v/>
      </c>
      <c r="Q68" s="30">
        <f>IF($A68="","",BDH($A68,$N$3,'參數'!$B$6,'參數'!$B$6,"Days=A","Fill=P","Dates=H"))</f>
        <v/>
      </c>
      <c r="R68" s="30">
        <f>IF($A68="","",BDH($A68,$N$3,'參數'!$B$7,'參數'!$B$7,"Days=A","Fill=P","Dates=H"))</f>
        <v/>
      </c>
      <c r="S68" s="32">
        <f>IF($A68="","",IFERROR(INDEX('發行人'!$A$5:$A$44,MATCH(B68,'發行人'!$D$5:$D$44,0)),"未對應"))</f>
        <v/>
      </c>
      <c r="T68" s="24">
        <f>IF($A68="","",IFERROR(INDEX('發行人'!$G$5:$G$44,MATCH(B68,'發行人'!$D$5:$D$44,0))+0,""))</f>
        <v/>
      </c>
      <c r="U68" s="18">
        <f>IF(ISNUMBER(E68),YEARFRAC('參數'!$B$4,E68),"")</f>
        <v/>
      </c>
      <c r="V68" s="8">
        <f>IF(U68="","",IF(U68&lt;3,"1-3y",IF(U68&lt;5,"3-5y",IF(U68&lt;7,"5-7y",IF(U68&lt;10,"7-10y","10y+")))))</f>
        <v/>
      </c>
      <c r="W68" s="30">
        <f>IF($A68="","",IFERROR(INDEX('參數'!$B$24:$B$45,MATCH(G68,'參數'!$A$24:$A$45,0)),""))</f>
        <v/>
      </c>
      <c r="X68" s="8">
        <f>IF($A68="","",IFERROR(INDEX('參數'!$C$24:$C$45,MATCH(G68,'參數'!$A$24:$A$45,0)),""))</f>
        <v/>
      </c>
      <c r="Y68" s="30">
        <f>IF(AND(ISNUMBER(N68),ISNUMBER(O68),ISNUMBER(U68)),IF(AND(O68&gt;0,X68&lt;&gt;""),1,0),0)</f>
        <v/>
      </c>
      <c r="Z68" s="17">
        <f>IF(Y68=1,O68*N68,"")</f>
        <v/>
      </c>
      <c r="AA68" s="33">
        <f>IF(Y68=1,IF(ISNUMBER(Q68),N68-Q68,""),"")</f>
        <v/>
      </c>
      <c r="AB68" s="33">
        <f>IF(Y68=1,IF(AND(ISNUMBER(P68),ISNUMBER(R68)),R68*5/12-O68*(P68-R68),""),"")</f>
        <v/>
      </c>
      <c r="AC68" s="30">
        <f>IF(Y68=1,COUNTIFS($X$5:$X$404,X68,$V$5:$V$404,V68,$Y$5:$Y$404,1),"")</f>
        <v/>
      </c>
      <c r="AD68" s="30">
        <f>IF(Y68=1,IFERROR(IF(AC68&gt;='參數'!$B$9,INDEX('分群統計'!$G$13:$K$16,MATCH(X68,'分群統計'!$A$13:$A$16,0),MATCH(V68,'分群統計'!$G$12:$K$12,0)),INDEX('分群統計'!$I$5:$I$8,MATCH(X68,'分群統計'!$A$5:$A$8,0))),""),"")</f>
        <v/>
      </c>
      <c r="AE68" s="18">
        <f>IF(Y68=1,IFERROR(IF(AC68&gt;='參數'!$B$9,INDEX('分群統計'!$L$13:$P$16,MATCH(X68,'分群統計'!$A$13:$A$16,0),MATCH(V68,'分群統計'!$L$12:$P$12,0)),INDEX('分群統計'!$J$5:$J$8,MATCH(X68,'分群統計'!$A$5:$A$8,0))),""),"")</f>
        <v/>
      </c>
      <c r="AF68" s="31">
        <f>IF(ISNUMBER(AE68),IF(AE68&gt;0,MAX(-3,MIN(3,(N68-AD68)/AE68)),0),"")</f>
        <v/>
      </c>
      <c r="AG68" s="30">
        <f>IF(Y68=1,COUNTIFS($B$5:$B$404,B68,$Y$5:$Y$404,1),"")</f>
        <v/>
      </c>
      <c r="AH68" s="30">
        <f>IF(Y68=1,IFERROR(IF(ISNUMBER(INDEX('分群統計'!$G$20:$G$59,MATCH(B68,'分群統計'!$A$20:$A$59,0))),INDEX('分群統計'!$H$20:$H$59,MATCH(B68,'分群統計'!$A$20:$A$59,0))+INDEX('分群統計'!$G$20:$G$59,MATCH(B68,'分群統計'!$A$20:$A$59,0))*AU68,""),""),"")</f>
        <v/>
      </c>
      <c r="AI68" s="34">
        <f>IF(ISNUMBER(AH68),N68-AH68,"")</f>
        <v/>
      </c>
      <c r="AJ68" s="30">
        <f>IF(Y68=1,IFERROR(IF(ISNUMBER(INDEX('分群統計'!$G$5:$G$8,MATCH(X68,'分群統計'!$A$5:$A$8,0))),INDEX('分群統計'!$H$5:$H$8,MATCH(X68,'分群統計'!$A$5:$A$8,0))+INDEX('分群統計'!$G$5:$G$8,MATCH(X68,'分群統計'!$A$5:$A$8,0))*AU68,""),""),"")</f>
        <v/>
      </c>
      <c r="AK68" s="34">
        <f>IF(ISNUMBER(AJ68),N68-AJ68,"")</f>
        <v/>
      </c>
      <c r="AL68" s="21">
        <f>IF(ISNUMBER(AJ68),IF(AJ68&gt;0,AK68/AJ68,""),"")</f>
        <v/>
      </c>
      <c r="AM68" s="31">
        <f>IF(AY68&lt;&gt;1,"",IFERROR(IF(INDEX('分群統計'!$K$5:$K$8,MATCH(X68,'分群統計'!$A$5:$A$8,0))&lt;3,"",IF(INDEX('分群統計'!$M$5:$M$8,MATCH(X68,'分群統計'!$A$5:$A$8,0))&gt;0,MAX(-3,MIN(3,(AX68-INDEX('分群統計'!$L$5:$L$8,MATCH(X68,'分群統計'!$A$5:$A$8,0)))/INDEX('分群統計'!$M$5:$M$8,MATCH(X68,'分群統計'!$A$5:$A$8,0)))),0)),""))</f>
        <v/>
      </c>
      <c r="AN68" s="31">
        <f>IF(ISNUMBER(AB68),IF(Z68&gt;0,AB68/Z68*100,""),"")</f>
        <v/>
      </c>
      <c r="AO68" s="31">
        <f>IF(BA68&lt;&gt;1,"",IFERROR(IF(INDEX('分群統計'!$N$5:$N$8,MATCH(X68,'分群統計'!$A$5:$A$8,0))&lt;3,"",IF(INDEX('分群統計'!$P$5:$P$8,MATCH(X68,'分群統計'!$A$5:$A$8,0))&gt;0,MAX(-3,MIN(3,(AZ68-INDEX('分群統計'!$O$5:$O$8,MATCH(X68,'分群統計'!$A$5:$A$8,0)))/INDEX('分群統計'!$P$5:$P$8,MATCH(X68,'分群統計'!$A$5:$A$8,0)))),0)),""))</f>
        <v/>
      </c>
      <c r="AP68" s="31">
        <f>IF(BC68&lt;&gt;1,"",IFERROR(IF(INDEX('分群統計'!$Q$5:$Q$8,MATCH(X68,'分群統計'!$A$5:$A$8,0))&lt;3,"",IF(INDEX('分群統計'!$S$5:$S$8,MATCH(X68,'分群統計'!$A$5:$A$8,0))&gt;0,MAX(-3,MIN(3,(BB68-INDEX('分群統計'!$R$5:$R$8,MATCH(X68,'分群統計'!$A$5:$A$8,0)))/INDEX('分群統計'!$S$5:$S$8,MATCH(X68,'分群統計'!$A$5:$A$8,0)))),0)),""))</f>
        <v/>
      </c>
      <c r="AQ68" s="31">
        <f>IF(Y68=1,(IF(ISNUMBER(AF68),AF68,0)*'參數'!$B$13+IF(ISNUMBER(AM68),AM68,0)*'參數'!$B$14+IF(ISNUMBER(AO68),AO68,0)*'參數'!$B$15+IF(ISNUMBER(AP68),AP68,0)*'參數'!$B$16)/('參數'!$B$13+'參數'!$B$14+'參數'!$B$15+'參數'!$B$16),"")</f>
        <v/>
      </c>
      <c r="AR68" s="35">
        <f>IF(Y68=1,(SUMPRODUCT(($X$5:$X$404=X68)*($Y$5:$Y$404=1)*($BD$5:$BD$404&gt;BD68))+1)/COUNTIFS($X$5:$X$404,X68,$Y$5:$Y$404,1),"")</f>
        <v/>
      </c>
      <c r="AS68" s="8">
        <f>IF(ISNUMBER(AR68),IF(AR68&lt;='參數'!$B$18,"加碼候選",IF(AR68&gt;'參數'!$B$19,"減碼候選","")),"")</f>
        <v/>
      </c>
      <c r="AT68" s="7">
        <f>IF(Y68=1,N68,0)</f>
        <v/>
      </c>
      <c r="AU68" s="7">
        <f>IF(Y68=1,LN(O68),0)</f>
        <v/>
      </c>
      <c r="AV68" s="36">
        <f>IF(Y68=1,IF(ISNUMBER(F68),F68,0),0)</f>
        <v/>
      </c>
      <c r="AW68" s="7">
        <f>IF(Y68=1,Z68,0)</f>
        <v/>
      </c>
      <c r="AX68" s="7">
        <f>IF(Y68=1,IF(ISNUMBER(AL68),AL68,0),0)</f>
        <v/>
      </c>
      <c r="AY68" s="7">
        <f>IF(Y68=1,IF(ISNUMBER(AL68),1,0),0)</f>
        <v/>
      </c>
      <c r="AZ68" s="7">
        <f>IF(Y68=1,IF(ISNUMBER(AN68),AN68,0),0)</f>
        <v/>
      </c>
      <c r="BA68" s="7">
        <f>IF(Y68=1,IF(ISNUMBER(AN68),1,0),0)</f>
        <v/>
      </c>
      <c r="BB68" s="7">
        <f>IF(Y68=1,IF(ISNUMBER(T68),T68,0),0)</f>
        <v/>
      </c>
      <c r="BC68" s="7">
        <f>IF(Y68=1,IF(ISNUMBER(T68),1,0),0)</f>
        <v/>
      </c>
      <c r="BD68" s="7">
        <f>IF(Y68=1,AQ68+ROW()/1E9,-1E9)</f>
        <v/>
      </c>
      <c r="BE68" s="7">
        <f>IF(Y68=1,AQ68+ROW()/1E9,1E9)</f>
        <v/>
      </c>
    </row>
    <row r="69">
      <c r="A69" s="16" t="n"/>
      <c r="B69" s="8">
        <f>IF($A69="","",BDP($A69,B$3))</f>
        <v/>
      </c>
      <c r="C69" s="8">
        <f>IF($A69="","",BDP($A69,C$3))</f>
        <v/>
      </c>
      <c r="D69" s="28">
        <f>IF($A69="","",BDP($A69,D$3))</f>
        <v/>
      </c>
      <c r="E69" s="29">
        <f>IF($A69="","",BDP($A69,E$3))</f>
        <v/>
      </c>
      <c r="F69" s="17">
        <f>IF($A69="","",BDP($A69,F$3))</f>
        <v/>
      </c>
      <c r="G69" s="8">
        <f>IF($A69="","",BDP($A69,G$3))</f>
        <v/>
      </c>
      <c r="H69" s="8">
        <f>IF($A69="","",BDP($A69,H$3))</f>
        <v/>
      </c>
      <c r="I69" s="8">
        <f>IF($A69="","",BDP($A69,I$3))</f>
        <v/>
      </c>
      <c r="J69" s="8">
        <f>IF($A69="","",BDP($A69,J$3))</f>
        <v/>
      </c>
      <c r="K69" s="8">
        <f>IF($A69="","",BDP($A69,K$3))</f>
        <v/>
      </c>
      <c r="L69" s="28">
        <f>IF($A69="","",BDP($A69,L$3))</f>
        <v/>
      </c>
      <c r="M69" s="28">
        <f>IF($A69="","",BDP($A69,M$3))</f>
        <v/>
      </c>
      <c r="N69" s="30">
        <f>IF($A69="","",BDP($A69,N$3))</f>
        <v/>
      </c>
      <c r="O69" s="31">
        <f>IF($A69="","",BDP($A69,O$3))</f>
        <v/>
      </c>
      <c r="P69" s="30">
        <f>IF($A69="","",BDH($A69,$N$3,'參數'!$B$5,'參數'!$B$5,"Days=A","Fill=P","Dates=H"))</f>
        <v/>
      </c>
      <c r="Q69" s="30">
        <f>IF($A69="","",BDH($A69,$N$3,'參數'!$B$6,'參數'!$B$6,"Days=A","Fill=P","Dates=H"))</f>
        <v/>
      </c>
      <c r="R69" s="30">
        <f>IF($A69="","",BDH($A69,$N$3,'參數'!$B$7,'參數'!$B$7,"Days=A","Fill=P","Dates=H"))</f>
        <v/>
      </c>
      <c r="S69" s="32">
        <f>IF($A69="","",IFERROR(INDEX('發行人'!$A$5:$A$44,MATCH(B69,'發行人'!$D$5:$D$44,0)),"未對應"))</f>
        <v/>
      </c>
      <c r="T69" s="24">
        <f>IF($A69="","",IFERROR(INDEX('發行人'!$G$5:$G$44,MATCH(B69,'發行人'!$D$5:$D$44,0))+0,""))</f>
        <v/>
      </c>
      <c r="U69" s="18">
        <f>IF(ISNUMBER(E69),YEARFRAC('參數'!$B$4,E69),"")</f>
        <v/>
      </c>
      <c r="V69" s="8">
        <f>IF(U69="","",IF(U69&lt;3,"1-3y",IF(U69&lt;5,"3-5y",IF(U69&lt;7,"5-7y",IF(U69&lt;10,"7-10y","10y+")))))</f>
        <v/>
      </c>
      <c r="W69" s="30">
        <f>IF($A69="","",IFERROR(INDEX('參數'!$B$24:$B$45,MATCH(G69,'參數'!$A$24:$A$45,0)),""))</f>
        <v/>
      </c>
      <c r="X69" s="8">
        <f>IF($A69="","",IFERROR(INDEX('參數'!$C$24:$C$45,MATCH(G69,'參數'!$A$24:$A$45,0)),""))</f>
        <v/>
      </c>
      <c r="Y69" s="30">
        <f>IF(AND(ISNUMBER(N69),ISNUMBER(O69),ISNUMBER(U69)),IF(AND(O69&gt;0,X69&lt;&gt;""),1,0),0)</f>
        <v/>
      </c>
      <c r="Z69" s="17">
        <f>IF(Y69=1,O69*N69,"")</f>
        <v/>
      </c>
      <c r="AA69" s="33">
        <f>IF(Y69=1,IF(ISNUMBER(Q69),N69-Q69,""),"")</f>
        <v/>
      </c>
      <c r="AB69" s="33">
        <f>IF(Y69=1,IF(AND(ISNUMBER(P69),ISNUMBER(R69)),R69*5/12-O69*(P69-R69),""),"")</f>
        <v/>
      </c>
      <c r="AC69" s="30">
        <f>IF(Y69=1,COUNTIFS($X$5:$X$404,X69,$V$5:$V$404,V69,$Y$5:$Y$404,1),"")</f>
        <v/>
      </c>
      <c r="AD69" s="30">
        <f>IF(Y69=1,IFERROR(IF(AC69&gt;='參數'!$B$9,INDEX('分群統計'!$G$13:$K$16,MATCH(X69,'分群統計'!$A$13:$A$16,0),MATCH(V69,'分群統計'!$G$12:$K$12,0)),INDEX('分群統計'!$I$5:$I$8,MATCH(X69,'分群統計'!$A$5:$A$8,0))),""),"")</f>
        <v/>
      </c>
      <c r="AE69" s="18">
        <f>IF(Y69=1,IFERROR(IF(AC69&gt;='參數'!$B$9,INDEX('分群統計'!$L$13:$P$16,MATCH(X69,'分群統計'!$A$13:$A$16,0),MATCH(V69,'分群統計'!$L$12:$P$12,0)),INDEX('分群統計'!$J$5:$J$8,MATCH(X69,'分群統計'!$A$5:$A$8,0))),""),"")</f>
        <v/>
      </c>
      <c r="AF69" s="31">
        <f>IF(ISNUMBER(AE69),IF(AE69&gt;0,MAX(-3,MIN(3,(N69-AD69)/AE69)),0),"")</f>
        <v/>
      </c>
      <c r="AG69" s="30">
        <f>IF(Y69=1,COUNTIFS($B$5:$B$404,B69,$Y$5:$Y$404,1),"")</f>
        <v/>
      </c>
      <c r="AH69" s="30">
        <f>IF(Y69=1,IFERROR(IF(ISNUMBER(INDEX('分群統計'!$G$20:$G$59,MATCH(B69,'分群統計'!$A$20:$A$59,0))),INDEX('分群統計'!$H$20:$H$59,MATCH(B69,'分群統計'!$A$20:$A$59,0))+INDEX('分群統計'!$G$20:$G$59,MATCH(B69,'分群統計'!$A$20:$A$59,0))*AU69,""),""),"")</f>
        <v/>
      </c>
      <c r="AI69" s="34">
        <f>IF(ISNUMBER(AH69),N69-AH69,"")</f>
        <v/>
      </c>
      <c r="AJ69" s="30">
        <f>IF(Y69=1,IFERROR(IF(ISNUMBER(INDEX('分群統計'!$G$5:$G$8,MATCH(X69,'分群統計'!$A$5:$A$8,0))),INDEX('分群統計'!$H$5:$H$8,MATCH(X69,'分群統計'!$A$5:$A$8,0))+INDEX('分群統計'!$G$5:$G$8,MATCH(X69,'分群統計'!$A$5:$A$8,0))*AU69,""),""),"")</f>
        <v/>
      </c>
      <c r="AK69" s="34">
        <f>IF(ISNUMBER(AJ69),N69-AJ69,"")</f>
        <v/>
      </c>
      <c r="AL69" s="21">
        <f>IF(ISNUMBER(AJ69),IF(AJ69&gt;0,AK69/AJ69,""),"")</f>
        <v/>
      </c>
      <c r="AM69" s="31">
        <f>IF(AY69&lt;&gt;1,"",IFERROR(IF(INDEX('分群統計'!$K$5:$K$8,MATCH(X69,'分群統計'!$A$5:$A$8,0))&lt;3,"",IF(INDEX('分群統計'!$M$5:$M$8,MATCH(X69,'分群統計'!$A$5:$A$8,0))&gt;0,MAX(-3,MIN(3,(AX69-INDEX('分群統計'!$L$5:$L$8,MATCH(X69,'分群統計'!$A$5:$A$8,0)))/INDEX('分群統計'!$M$5:$M$8,MATCH(X69,'分群統計'!$A$5:$A$8,0)))),0)),""))</f>
        <v/>
      </c>
      <c r="AN69" s="31">
        <f>IF(ISNUMBER(AB69),IF(Z69&gt;0,AB69/Z69*100,""),"")</f>
        <v/>
      </c>
      <c r="AO69" s="31">
        <f>IF(BA69&lt;&gt;1,"",IFERROR(IF(INDEX('分群統計'!$N$5:$N$8,MATCH(X69,'分群統計'!$A$5:$A$8,0))&lt;3,"",IF(INDEX('分群統計'!$P$5:$P$8,MATCH(X69,'分群統計'!$A$5:$A$8,0))&gt;0,MAX(-3,MIN(3,(AZ69-INDEX('分群統計'!$O$5:$O$8,MATCH(X69,'分群統計'!$A$5:$A$8,0)))/INDEX('分群統計'!$P$5:$P$8,MATCH(X69,'分群統計'!$A$5:$A$8,0)))),0)),""))</f>
        <v/>
      </c>
      <c r="AP69" s="31">
        <f>IF(BC69&lt;&gt;1,"",IFERROR(IF(INDEX('分群統計'!$Q$5:$Q$8,MATCH(X69,'分群統計'!$A$5:$A$8,0))&lt;3,"",IF(INDEX('分群統計'!$S$5:$S$8,MATCH(X69,'分群統計'!$A$5:$A$8,0))&gt;0,MAX(-3,MIN(3,(BB69-INDEX('分群統計'!$R$5:$R$8,MATCH(X69,'分群統計'!$A$5:$A$8,0)))/INDEX('分群統計'!$S$5:$S$8,MATCH(X69,'分群統計'!$A$5:$A$8,0)))),0)),""))</f>
        <v/>
      </c>
      <c r="AQ69" s="31">
        <f>IF(Y69=1,(IF(ISNUMBER(AF69),AF69,0)*'參數'!$B$13+IF(ISNUMBER(AM69),AM69,0)*'參數'!$B$14+IF(ISNUMBER(AO69),AO69,0)*'參數'!$B$15+IF(ISNUMBER(AP69),AP69,0)*'參數'!$B$16)/('參數'!$B$13+'參數'!$B$14+'參數'!$B$15+'參數'!$B$16),"")</f>
        <v/>
      </c>
      <c r="AR69" s="35">
        <f>IF(Y69=1,(SUMPRODUCT(($X$5:$X$404=X69)*($Y$5:$Y$404=1)*($BD$5:$BD$404&gt;BD69))+1)/COUNTIFS($X$5:$X$404,X69,$Y$5:$Y$404,1),"")</f>
        <v/>
      </c>
      <c r="AS69" s="8">
        <f>IF(ISNUMBER(AR69),IF(AR69&lt;='參數'!$B$18,"加碼候選",IF(AR69&gt;'參數'!$B$19,"減碼候選","")),"")</f>
        <v/>
      </c>
      <c r="AT69" s="7">
        <f>IF(Y69=1,N69,0)</f>
        <v/>
      </c>
      <c r="AU69" s="7">
        <f>IF(Y69=1,LN(O69),0)</f>
        <v/>
      </c>
      <c r="AV69" s="36">
        <f>IF(Y69=1,IF(ISNUMBER(F69),F69,0),0)</f>
        <v/>
      </c>
      <c r="AW69" s="7">
        <f>IF(Y69=1,Z69,0)</f>
        <v/>
      </c>
      <c r="AX69" s="7">
        <f>IF(Y69=1,IF(ISNUMBER(AL69),AL69,0),0)</f>
        <v/>
      </c>
      <c r="AY69" s="7">
        <f>IF(Y69=1,IF(ISNUMBER(AL69),1,0),0)</f>
        <v/>
      </c>
      <c r="AZ69" s="7">
        <f>IF(Y69=1,IF(ISNUMBER(AN69),AN69,0),0)</f>
        <v/>
      </c>
      <c r="BA69" s="7">
        <f>IF(Y69=1,IF(ISNUMBER(AN69),1,0),0)</f>
        <v/>
      </c>
      <c r="BB69" s="7">
        <f>IF(Y69=1,IF(ISNUMBER(T69),T69,0),0)</f>
        <v/>
      </c>
      <c r="BC69" s="7">
        <f>IF(Y69=1,IF(ISNUMBER(T69),1,0),0)</f>
        <v/>
      </c>
      <c r="BD69" s="7">
        <f>IF(Y69=1,AQ69+ROW()/1E9,-1E9)</f>
        <v/>
      </c>
      <c r="BE69" s="7">
        <f>IF(Y69=1,AQ69+ROW()/1E9,1E9)</f>
        <v/>
      </c>
    </row>
    <row r="70">
      <c r="A70" s="16" t="n"/>
      <c r="B70" s="8">
        <f>IF($A70="","",BDP($A70,B$3))</f>
        <v/>
      </c>
      <c r="C70" s="8">
        <f>IF($A70="","",BDP($A70,C$3))</f>
        <v/>
      </c>
      <c r="D70" s="28">
        <f>IF($A70="","",BDP($A70,D$3))</f>
        <v/>
      </c>
      <c r="E70" s="29">
        <f>IF($A70="","",BDP($A70,E$3))</f>
        <v/>
      </c>
      <c r="F70" s="17">
        <f>IF($A70="","",BDP($A70,F$3))</f>
        <v/>
      </c>
      <c r="G70" s="8">
        <f>IF($A70="","",BDP($A70,G$3))</f>
        <v/>
      </c>
      <c r="H70" s="8">
        <f>IF($A70="","",BDP($A70,H$3))</f>
        <v/>
      </c>
      <c r="I70" s="8">
        <f>IF($A70="","",BDP($A70,I$3))</f>
        <v/>
      </c>
      <c r="J70" s="8">
        <f>IF($A70="","",BDP($A70,J$3))</f>
        <v/>
      </c>
      <c r="K70" s="8">
        <f>IF($A70="","",BDP($A70,K$3))</f>
        <v/>
      </c>
      <c r="L70" s="28">
        <f>IF($A70="","",BDP($A70,L$3))</f>
        <v/>
      </c>
      <c r="M70" s="28">
        <f>IF($A70="","",BDP($A70,M$3))</f>
        <v/>
      </c>
      <c r="N70" s="30">
        <f>IF($A70="","",BDP($A70,N$3))</f>
        <v/>
      </c>
      <c r="O70" s="31">
        <f>IF($A70="","",BDP($A70,O$3))</f>
        <v/>
      </c>
      <c r="P70" s="30">
        <f>IF($A70="","",BDH($A70,$N$3,'參數'!$B$5,'參數'!$B$5,"Days=A","Fill=P","Dates=H"))</f>
        <v/>
      </c>
      <c r="Q70" s="30">
        <f>IF($A70="","",BDH($A70,$N$3,'參數'!$B$6,'參數'!$B$6,"Days=A","Fill=P","Dates=H"))</f>
        <v/>
      </c>
      <c r="R70" s="30">
        <f>IF($A70="","",BDH($A70,$N$3,'參數'!$B$7,'參數'!$B$7,"Days=A","Fill=P","Dates=H"))</f>
        <v/>
      </c>
      <c r="S70" s="32">
        <f>IF($A70="","",IFERROR(INDEX('發行人'!$A$5:$A$44,MATCH(B70,'發行人'!$D$5:$D$44,0)),"未對應"))</f>
        <v/>
      </c>
      <c r="T70" s="24">
        <f>IF($A70="","",IFERROR(INDEX('發行人'!$G$5:$G$44,MATCH(B70,'發行人'!$D$5:$D$44,0))+0,""))</f>
        <v/>
      </c>
      <c r="U70" s="18">
        <f>IF(ISNUMBER(E70),YEARFRAC('參數'!$B$4,E70),"")</f>
        <v/>
      </c>
      <c r="V70" s="8">
        <f>IF(U70="","",IF(U70&lt;3,"1-3y",IF(U70&lt;5,"3-5y",IF(U70&lt;7,"5-7y",IF(U70&lt;10,"7-10y","10y+")))))</f>
        <v/>
      </c>
      <c r="W70" s="30">
        <f>IF($A70="","",IFERROR(INDEX('參數'!$B$24:$B$45,MATCH(G70,'參數'!$A$24:$A$45,0)),""))</f>
        <v/>
      </c>
      <c r="X70" s="8">
        <f>IF($A70="","",IFERROR(INDEX('參數'!$C$24:$C$45,MATCH(G70,'參數'!$A$24:$A$45,0)),""))</f>
        <v/>
      </c>
      <c r="Y70" s="30">
        <f>IF(AND(ISNUMBER(N70),ISNUMBER(O70),ISNUMBER(U70)),IF(AND(O70&gt;0,X70&lt;&gt;""),1,0),0)</f>
        <v/>
      </c>
      <c r="Z70" s="17">
        <f>IF(Y70=1,O70*N70,"")</f>
        <v/>
      </c>
      <c r="AA70" s="33">
        <f>IF(Y70=1,IF(ISNUMBER(Q70),N70-Q70,""),"")</f>
        <v/>
      </c>
      <c r="AB70" s="33">
        <f>IF(Y70=1,IF(AND(ISNUMBER(P70),ISNUMBER(R70)),R70*5/12-O70*(P70-R70),""),"")</f>
        <v/>
      </c>
      <c r="AC70" s="30">
        <f>IF(Y70=1,COUNTIFS($X$5:$X$404,X70,$V$5:$V$404,V70,$Y$5:$Y$404,1),"")</f>
        <v/>
      </c>
      <c r="AD70" s="30">
        <f>IF(Y70=1,IFERROR(IF(AC70&gt;='參數'!$B$9,INDEX('分群統計'!$G$13:$K$16,MATCH(X70,'分群統計'!$A$13:$A$16,0),MATCH(V70,'分群統計'!$G$12:$K$12,0)),INDEX('分群統計'!$I$5:$I$8,MATCH(X70,'分群統計'!$A$5:$A$8,0))),""),"")</f>
        <v/>
      </c>
      <c r="AE70" s="18">
        <f>IF(Y70=1,IFERROR(IF(AC70&gt;='參數'!$B$9,INDEX('分群統計'!$L$13:$P$16,MATCH(X70,'分群統計'!$A$13:$A$16,0),MATCH(V70,'分群統計'!$L$12:$P$12,0)),INDEX('分群統計'!$J$5:$J$8,MATCH(X70,'分群統計'!$A$5:$A$8,0))),""),"")</f>
        <v/>
      </c>
      <c r="AF70" s="31">
        <f>IF(ISNUMBER(AE70),IF(AE70&gt;0,MAX(-3,MIN(3,(N70-AD70)/AE70)),0),"")</f>
        <v/>
      </c>
      <c r="AG70" s="30">
        <f>IF(Y70=1,COUNTIFS($B$5:$B$404,B70,$Y$5:$Y$404,1),"")</f>
        <v/>
      </c>
      <c r="AH70" s="30">
        <f>IF(Y70=1,IFERROR(IF(ISNUMBER(INDEX('分群統計'!$G$20:$G$59,MATCH(B70,'分群統計'!$A$20:$A$59,0))),INDEX('分群統計'!$H$20:$H$59,MATCH(B70,'分群統計'!$A$20:$A$59,0))+INDEX('分群統計'!$G$20:$G$59,MATCH(B70,'分群統計'!$A$20:$A$59,0))*AU70,""),""),"")</f>
        <v/>
      </c>
      <c r="AI70" s="34">
        <f>IF(ISNUMBER(AH70),N70-AH70,"")</f>
        <v/>
      </c>
      <c r="AJ70" s="30">
        <f>IF(Y70=1,IFERROR(IF(ISNUMBER(INDEX('分群統計'!$G$5:$G$8,MATCH(X70,'分群統計'!$A$5:$A$8,0))),INDEX('分群統計'!$H$5:$H$8,MATCH(X70,'分群統計'!$A$5:$A$8,0))+INDEX('分群統計'!$G$5:$G$8,MATCH(X70,'分群統計'!$A$5:$A$8,0))*AU70,""),""),"")</f>
        <v/>
      </c>
      <c r="AK70" s="34">
        <f>IF(ISNUMBER(AJ70),N70-AJ70,"")</f>
        <v/>
      </c>
      <c r="AL70" s="21">
        <f>IF(ISNUMBER(AJ70),IF(AJ70&gt;0,AK70/AJ70,""),"")</f>
        <v/>
      </c>
      <c r="AM70" s="31">
        <f>IF(AY70&lt;&gt;1,"",IFERROR(IF(INDEX('分群統計'!$K$5:$K$8,MATCH(X70,'分群統計'!$A$5:$A$8,0))&lt;3,"",IF(INDEX('分群統計'!$M$5:$M$8,MATCH(X70,'分群統計'!$A$5:$A$8,0))&gt;0,MAX(-3,MIN(3,(AX70-INDEX('分群統計'!$L$5:$L$8,MATCH(X70,'分群統計'!$A$5:$A$8,0)))/INDEX('分群統計'!$M$5:$M$8,MATCH(X70,'分群統計'!$A$5:$A$8,0)))),0)),""))</f>
        <v/>
      </c>
      <c r="AN70" s="31">
        <f>IF(ISNUMBER(AB70),IF(Z70&gt;0,AB70/Z70*100,""),"")</f>
        <v/>
      </c>
      <c r="AO70" s="31">
        <f>IF(BA70&lt;&gt;1,"",IFERROR(IF(INDEX('分群統計'!$N$5:$N$8,MATCH(X70,'分群統計'!$A$5:$A$8,0))&lt;3,"",IF(INDEX('分群統計'!$P$5:$P$8,MATCH(X70,'分群統計'!$A$5:$A$8,0))&gt;0,MAX(-3,MIN(3,(AZ70-INDEX('分群統計'!$O$5:$O$8,MATCH(X70,'分群統計'!$A$5:$A$8,0)))/INDEX('分群統計'!$P$5:$P$8,MATCH(X70,'分群統計'!$A$5:$A$8,0)))),0)),""))</f>
        <v/>
      </c>
      <c r="AP70" s="31">
        <f>IF(BC70&lt;&gt;1,"",IFERROR(IF(INDEX('分群統計'!$Q$5:$Q$8,MATCH(X70,'分群統計'!$A$5:$A$8,0))&lt;3,"",IF(INDEX('分群統計'!$S$5:$S$8,MATCH(X70,'分群統計'!$A$5:$A$8,0))&gt;0,MAX(-3,MIN(3,(BB70-INDEX('分群統計'!$R$5:$R$8,MATCH(X70,'分群統計'!$A$5:$A$8,0)))/INDEX('分群統計'!$S$5:$S$8,MATCH(X70,'分群統計'!$A$5:$A$8,0)))),0)),""))</f>
        <v/>
      </c>
      <c r="AQ70" s="31">
        <f>IF(Y70=1,(IF(ISNUMBER(AF70),AF70,0)*'參數'!$B$13+IF(ISNUMBER(AM70),AM70,0)*'參數'!$B$14+IF(ISNUMBER(AO70),AO70,0)*'參數'!$B$15+IF(ISNUMBER(AP70),AP70,0)*'參數'!$B$16)/('參數'!$B$13+'參數'!$B$14+'參數'!$B$15+'參數'!$B$16),"")</f>
        <v/>
      </c>
      <c r="AR70" s="35">
        <f>IF(Y70=1,(SUMPRODUCT(($X$5:$X$404=X70)*($Y$5:$Y$404=1)*($BD$5:$BD$404&gt;BD70))+1)/COUNTIFS($X$5:$X$404,X70,$Y$5:$Y$404,1),"")</f>
        <v/>
      </c>
      <c r="AS70" s="8">
        <f>IF(ISNUMBER(AR70),IF(AR70&lt;='參數'!$B$18,"加碼候選",IF(AR70&gt;'參數'!$B$19,"減碼候選","")),"")</f>
        <v/>
      </c>
      <c r="AT70" s="7">
        <f>IF(Y70=1,N70,0)</f>
        <v/>
      </c>
      <c r="AU70" s="7">
        <f>IF(Y70=1,LN(O70),0)</f>
        <v/>
      </c>
      <c r="AV70" s="36">
        <f>IF(Y70=1,IF(ISNUMBER(F70),F70,0),0)</f>
        <v/>
      </c>
      <c r="AW70" s="7">
        <f>IF(Y70=1,Z70,0)</f>
        <v/>
      </c>
      <c r="AX70" s="7">
        <f>IF(Y70=1,IF(ISNUMBER(AL70),AL70,0),0)</f>
        <v/>
      </c>
      <c r="AY70" s="7">
        <f>IF(Y70=1,IF(ISNUMBER(AL70),1,0),0)</f>
        <v/>
      </c>
      <c r="AZ70" s="7">
        <f>IF(Y70=1,IF(ISNUMBER(AN70),AN70,0),0)</f>
        <v/>
      </c>
      <c r="BA70" s="7">
        <f>IF(Y70=1,IF(ISNUMBER(AN70),1,0),0)</f>
        <v/>
      </c>
      <c r="BB70" s="7">
        <f>IF(Y70=1,IF(ISNUMBER(T70),T70,0),0)</f>
        <v/>
      </c>
      <c r="BC70" s="7">
        <f>IF(Y70=1,IF(ISNUMBER(T70),1,0),0)</f>
        <v/>
      </c>
      <c r="BD70" s="7">
        <f>IF(Y70=1,AQ70+ROW()/1E9,-1E9)</f>
        <v/>
      </c>
      <c r="BE70" s="7">
        <f>IF(Y70=1,AQ70+ROW()/1E9,1E9)</f>
        <v/>
      </c>
    </row>
    <row r="71">
      <c r="A71" s="16" t="n"/>
      <c r="B71" s="8">
        <f>IF($A71="","",BDP($A71,B$3))</f>
        <v/>
      </c>
      <c r="C71" s="8">
        <f>IF($A71="","",BDP($A71,C$3))</f>
        <v/>
      </c>
      <c r="D71" s="28">
        <f>IF($A71="","",BDP($A71,D$3))</f>
        <v/>
      </c>
      <c r="E71" s="29">
        <f>IF($A71="","",BDP($A71,E$3))</f>
        <v/>
      </c>
      <c r="F71" s="17">
        <f>IF($A71="","",BDP($A71,F$3))</f>
        <v/>
      </c>
      <c r="G71" s="8">
        <f>IF($A71="","",BDP($A71,G$3))</f>
        <v/>
      </c>
      <c r="H71" s="8">
        <f>IF($A71="","",BDP($A71,H$3))</f>
        <v/>
      </c>
      <c r="I71" s="8">
        <f>IF($A71="","",BDP($A71,I$3))</f>
        <v/>
      </c>
      <c r="J71" s="8">
        <f>IF($A71="","",BDP($A71,J$3))</f>
        <v/>
      </c>
      <c r="K71" s="8">
        <f>IF($A71="","",BDP($A71,K$3))</f>
        <v/>
      </c>
      <c r="L71" s="28">
        <f>IF($A71="","",BDP($A71,L$3))</f>
        <v/>
      </c>
      <c r="M71" s="28">
        <f>IF($A71="","",BDP($A71,M$3))</f>
        <v/>
      </c>
      <c r="N71" s="30">
        <f>IF($A71="","",BDP($A71,N$3))</f>
        <v/>
      </c>
      <c r="O71" s="31">
        <f>IF($A71="","",BDP($A71,O$3))</f>
        <v/>
      </c>
      <c r="P71" s="30">
        <f>IF($A71="","",BDH($A71,$N$3,'參數'!$B$5,'參數'!$B$5,"Days=A","Fill=P","Dates=H"))</f>
        <v/>
      </c>
      <c r="Q71" s="30">
        <f>IF($A71="","",BDH($A71,$N$3,'參數'!$B$6,'參數'!$B$6,"Days=A","Fill=P","Dates=H"))</f>
        <v/>
      </c>
      <c r="R71" s="30">
        <f>IF($A71="","",BDH($A71,$N$3,'參數'!$B$7,'參數'!$B$7,"Days=A","Fill=P","Dates=H"))</f>
        <v/>
      </c>
      <c r="S71" s="32">
        <f>IF($A71="","",IFERROR(INDEX('發行人'!$A$5:$A$44,MATCH(B71,'發行人'!$D$5:$D$44,0)),"未對應"))</f>
        <v/>
      </c>
      <c r="T71" s="24">
        <f>IF($A71="","",IFERROR(INDEX('發行人'!$G$5:$G$44,MATCH(B71,'發行人'!$D$5:$D$44,0))+0,""))</f>
        <v/>
      </c>
      <c r="U71" s="18">
        <f>IF(ISNUMBER(E71),YEARFRAC('參數'!$B$4,E71),"")</f>
        <v/>
      </c>
      <c r="V71" s="8">
        <f>IF(U71="","",IF(U71&lt;3,"1-3y",IF(U71&lt;5,"3-5y",IF(U71&lt;7,"5-7y",IF(U71&lt;10,"7-10y","10y+")))))</f>
        <v/>
      </c>
      <c r="W71" s="30">
        <f>IF($A71="","",IFERROR(INDEX('參數'!$B$24:$B$45,MATCH(G71,'參數'!$A$24:$A$45,0)),""))</f>
        <v/>
      </c>
      <c r="X71" s="8">
        <f>IF($A71="","",IFERROR(INDEX('參數'!$C$24:$C$45,MATCH(G71,'參數'!$A$24:$A$45,0)),""))</f>
        <v/>
      </c>
      <c r="Y71" s="30">
        <f>IF(AND(ISNUMBER(N71),ISNUMBER(O71),ISNUMBER(U71)),IF(AND(O71&gt;0,X71&lt;&gt;""),1,0),0)</f>
        <v/>
      </c>
      <c r="Z71" s="17">
        <f>IF(Y71=1,O71*N71,"")</f>
        <v/>
      </c>
      <c r="AA71" s="33">
        <f>IF(Y71=1,IF(ISNUMBER(Q71),N71-Q71,""),"")</f>
        <v/>
      </c>
      <c r="AB71" s="33">
        <f>IF(Y71=1,IF(AND(ISNUMBER(P71),ISNUMBER(R71)),R71*5/12-O71*(P71-R71),""),"")</f>
        <v/>
      </c>
      <c r="AC71" s="30">
        <f>IF(Y71=1,COUNTIFS($X$5:$X$404,X71,$V$5:$V$404,V71,$Y$5:$Y$404,1),"")</f>
        <v/>
      </c>
      <c r="AD71" s="30">
        <f>IF(Y71=1,IFERROR(IF(AC71&gt;='參數'!$B$9,INDEX('分群統計'!$G$13:$K$16,MATCH(X71,'分群統計'!$A$13:$A$16,0),MATCH(V71,'分群統計'!$G$12:$K$12,0)),INDEX('分群統計'!$I$5:$I$8,MATCH(X71,'分群統計'!$A$5:$A$8,0))),""),"")</f>
        <v/>
      </c>
      <c r="AE71" s="18">
        <f>IF(Y71=1,IFERROR(IF(AC71&gt;='參數'!$B$9,INDEX('分群統計'!$L$13:$P$16,MATCH(X71,'分群統計'!$A$13:$A$16,0),MATCH(V71,'分群統計'!$L$12:$P$12,0)),INDEX('分群統計'!$J$5:$J$8,MATCH(X71,'分群統計'!$A$5:$A$8,0))),""),"")</f>
        <v/>
      </c>
      <c r="AF71" s="31">
        <f>IF(ISNUMBER(AE71),IF(AE71&gt;0,MAX(-3,MIN(3,(N71-AD71)/AE71)),0),"")</f>
        <v/>
      </c>
      <c r="AG71" s="30">
        <f>IF(Y71=1,COUNTIFS($B$5:$B$404,B71,$Y$5:$Y$404,1),"")</f>
        <v/>
      </c>
      <c r="AH71" s="30">
        <f>IF(Y71=1,IFERROR(IF(ISNUMBER(INDEX('分群統計'!$G$20:$G$59,MATCH(B71,'分群統計'!$A$20:$A$59,0))),INDEX('分群統計'!$H$20:$H$59,MATCH(B71,'分群統計'!$A$20:$A$59,0))+INDEX('分群統計'!$G$20:$G$59,MATCH(B71,'分群統計'!$A$20:$A$59,0))*AU71,""),""),"")</f>
        <v/>
      </c>
      <c r="AI71" s="34">
        <f>IF(ISNUMBER(AH71),N71-AH71,"")</f>
        <v/>
      </c>
      <c r="AJ71" s="30">
        <f>IF(Y71=1,IFERROR(IF(ISNUMBER(INDEX('分群統計'!$G$5:$G$8,MATCH(X71,'分群統計'!$A$5:$A$8,0))),INDEX('分群統計'!$H$5:$H$8,MATCH(X71,'分群統計'!$A$5:$A$8,0))+INDEX('分群統計'!$G$5:$G$8,MATCH(X71,'分群統計'!$A$5:$A$8,0))*AU71,""),""),"")</f>
        <v/>
      </c>
      <c r="AK71" s="34">
        <f>IF(ISNUMBER(AJ71),N71-AJ71,"")</f>
        <v/>
      </c>
      <c r="AL71" s="21">
        <f>IF(ISNUMBER(AJ71),IF(AJ71&gt;0,AK71/AJ71,""),"")</f>
        <v/>
      </c>
      <c r="AM71" s="31">
        <f>IF(AY71&lt;&gt;1,"",IFERROR(IF(INDEX('分群統計'!$K$5:$K$8,MATCH(X71,'分群統計'!$A$5:$A$8,0))&lt;3,"",IF(INDEX('分群統計'!$M$5:$M$8,MATCH(X71,'分群統計'!$A$5:$A$8,0))&gt;0,MAX(-3,MIN(3,(AX71-INDEX('分群統計'!$L$5:$L$8,MATCH(X71,'分群統計'!$A$5:$A$8,0)))/INDEX('分群統計'!$M$5:$M$8,MATCH(X71,'分群統計'!$A$5:$A$8,0)))),0)),""))</f>
        <v/>
      </c>
      <c r="AN71" s="31">
        <f>IF(ISNUMBER(AB71),IF(Z71&gt;0,AB71/Z71*100,""),"")</f>
        <v/>
      </c>
      <c r="AO71" s="31">
        <f>IF(BA71&lt;&gt;1,"",IFERROR(IF(INDEX('分群統計'!$N$5:$N$8,MATCH(X71,'分群統計'!$A$5:$A$8,0))&lt;3,"",IF(INDEX('分群統計'!$P$5:$P$8,MATCH(X71,'分群統計'!$A$5:$A$8,0))&gt;0,MAX(-3,MIN(3,(AZ71-INDEX('分群統計'!$O$5:$O$8,MATCH(X71,'分群統計'!$A$5:$A$8,0)))/INDEX('分群統計'!$P$5:$P$8,MATCH(X71,'分群統計'!$A$5:$A$8,0)))),0)),""))</f>
        <v/>
      </c>
      <c r="AP71" s="31">
        <f>IF(BC71&lt;&gt;1,"",IFERROR(IF(INDEX('分群統計'!$Q$5:$Q$8,MATCH(X71,'分群統計'!$A$5:$A$8,0))&lt;3,"",IF(INDEX('分群統計'!$S$5:$S$8,MATCH(X71,'分群統計'!$A$5:$A$8,0))&gt;0,MAX(-3,MIN(3,(BB71-INDEX('分群統計'!$R$5:$R$8,MATCH(X71,'分群統計'!$A$5:$A$8,0)))/INDEX('分群統計'!$S$5:$S$8,MATCH(X71,'分群統計'!$A$5:$A$8,0)))),0)),""))</f>
        <v/>
      </c>
      <c r="AQ71" s="31">
        <f>IF(Y71=1,(IF(ISNUMBER(AF71),AF71,0)*'參數'!$B$13+IF(ISNUMBER(AM71),AM71,0)*'參數'!$B$14+IF(ISNUMBER(AO71),AO71,0)*'參數'!$B$15+IF(ISNUMBER(AP71),AP71,0)*'參數'!$B$16)/('參數'!$B$13+'參數'!$B$14+'參數'!$B$15+'參數'!$B$16),"")</f>
        <v/>
      </c>
      <c r="AR71" s="35">
        <f>IF(Y71=1,(SUMPRODUCT(($X$5:$X$404=X71)*($Y$5:$Y$404=1)*($BD$5:$BD$404&gt;BD71))+1)/COUNTIFS($X$5:$X$404,X71,$Y$5:$Y$404,1),"")</f>
        <v/>
      </c>
      <c r="AS71" s="8">
        <f>IF(ISNUMBER(AR71),IF(AR71&lt;='參數'!$B$18,"加碼候選",IF(AR71&gt;'參數'!$B$19,"減碼候選","")),"")</f>
        <v/>
      </c>
      <c r="AT71" s="7">
        <f>IF(Y71=1,N71,0)</f>
        <v/>
      </c>
      <c r="AU71" s="7">
        <f>IF(Y71=1,LN(O71),0)</f>
        <v/>
      </c>
      <c r="AV71" s="36">
        <f>IF(Y71=1,IF(ISNUMBER(F71),F71,0),0)</f>
        <v/>
      </c>
      <c r="AW71" s="7">
        <f>IF(Y71=1,Z71,0)</f>
        <v/>
      </c>
      <c r="AX71" s="7">
        <f>IF(Y71=1,IF(ISNUMBER(AL71),AL71,0),0)</f>
        <v/>
      </c>
      <c r="AY71" s="7">
        <f>IF(Y71=1,IF(ISNUMBER(AL71),1,0),0)</f>
        <v/>
      </c>
      <c r="AZ71" s="7">
        <f>IF(Y71=1,IF(ISNUMBER(AN71),AN71,0),0)</f>
        <v/>
      </c>
      <c r="BA71" s="7">
        <f>IF(Y71=1,IF(ISNUMBER(AN71),1,0),0)</f>
        <v/>
      </c>
      <c r="BB71" s="7">
        <f>IF(Y71=1,IF(ISNUMBER(T71),T71,0),0)</f>
        <v/>
      </c>
      <c r="BC71" s="7">
        <f>IF(Y71=1,IF(ISNUMBER(T71),1,0),0)</f>
        <v/>
      </c>
      <c r="BD71" s="7">
        <f>IF(Y71=1,AQ71+ROW()/1E9,-1E9)</f>
        <v/>
      </c>
      <c r="BE71" s="7">
        <f>IF(Y71=1,AQ71+ROW()/1E9,1E9)</f>
        <v/>
      </c>
    </row>
    <row r="72">
      <c r="A72" s="16" t="n"/>
      <c r="B72" s="8">
        <f>IF($A72="","",BDP($A72,B$3))</f>
        <v/>
      </c>
      <c r="C72" s="8">
        <f>IF($A72="","",BDP($A72,C$3))</f>
        <v/>
      </c>
      <c r="D72" s="28">
        <f>IF($A72="","",BDP($A72,D$3))</f>
        <v/>
      </c>
      <c r="E72" s="29">
        <f>IF($A72="","",BDP($A72,E$3))</f>
        <v/>
      </c>
      <c r="F72" s="17">
        <f>IF($A72="","",BDP($A72,F$3))</f>
        <v/>
      </c>
      <c r="G72" s="8">
        <f>IF($A72="","",BDP($A72,G$3))</f>
        <v/>
      </c>
      <c r="H72" s="8">
        <f>IF($A72="","",BDP($A72,H$3))</f>
        <v/>
      </c>
      <c r="I72" s="8">
        <f>IF($A72="","",BDP($A72,I$3))</f>
        <v/>
      </c>
      <c r="J72" s="8">
        <f>IF($A72="","",BDP($A72,J$3))</f>
        <v/>
      </c>
      <c r="K72" s="8">
        <f>IF($A72="","",BDP($A72,K$3))</f>
        <v/>
      </c>
      <c r="L72" s="28">
        <f>IF($A72="","",BDP($A72,L$3))</f>
        <v/>
      </c>
      <c r="M72" s="28">
        <f>IF($A72="","",BDP($A72,M$3))</f>
        <v/>
      </c>
      <c r="N72" s="30">
        <f>IF($A72="","",BDP($A72,N$3))</f>
        <v/>
      </c>
      <c r="O72" s="31">
        <f>IF($A72="","",BDP($A72,O$3))</f>
        <v/>
      </c>
      <c r="P72" s="30">
        <f>IF($A72="","",BDH($A72,$N$3,'參數'!$B$5,'參數'!$B$5,"Days=A","Fill=P","Dates=H"))</f>
        <v/>
      </c>
      <c r="Q72" s="30">
        <f>IF($A72="","",BDH($A72,$N$3,'參數'!$B$6,'參數'!$B$6,"Days=A","Fill=P","Dates=H"))</f>
        <v/>
      </c>
      <c r="R72" s="30">
        <f>IF($A72="","",BDH($A72,$N$3,'參數'!$B$7,'參數'!$B$7,"Days=A","Fill=P","Dates=H"))</f>
        <v/>
      </c>
      <c r="S72" s="32">
        <f>IF($A72="","",IFERROR(INDEX('發行人'!$A$5:$A$44,MATCH(B72,'發行人'!$D$5:$D$44,0)),"未對應"))</f>
        <v/>
      </c>
      <c r="T72" s="24">
        <f>IF($A72="","",IFERROR(INDEX('發行人'!$G$5:$G$44,MATCH(B72,'發行人'!$D$5:$D$44,0))+0,""))</f>
        <v/>
      </c>
      <c r="U72" s="18">
        <f>IF(ISNUMBER(E72),YEARFRAC('參數'!$B$4,E72),"")</f>
        <v/>
      </c>
      <c r="V72" s="8">
        <f>IF(U72="","",IF(U72&lt;3,"1-3y",IF(U72&lt;5,"3-5y",IF(U72&lt;7,"5-7y",IF(U72&lt;10,"7-10y","10y+")))))</f>
        <v/>
      </c>
      <c r="W72" s="30">
        <f>IF($A72="","",IFERROR(INDEX('參數'!$B$24:$B$45,MATCH(G72,'參數'!$A$24:$A$45,0)),""))</f>
        <v/>
      </c>
      <c r="X72" s="8">
        <f>IF($A72="","",IFERROR(INDEX('參數'!$C$24:$C$45,MATCH(G72,'參數'!$A$24:$A$45,0)),""))</f>
        <v/>
      </c>
      <c r="Y72" s="30">
        <f>IF(AND(ISNUMBER(N72),ISNUMBER(O72),ISNUMBER(U72)),IF(AND(O72&gt;0,X72&lt;&gt;""),1,0),0)</f>
        <v/>
      </c>
      <c r="Z72" s="17">
        <f>IF(Y72=1,O72*N72,"")</f>
        <v/>
      </c>
      <c r="AA72" s="33">
        <f>IF(Y72=1,IF(ISNUMBER(Q72),N72-Q72,""),"")</f>
        <v/>
      </c>
      <c r="AB72" s="33">
        <f>IF(Y72=1,IF(AND(ISNUMBER(P72),ISNUMBER(R72)),R72*5/12-O72*(P72-R72),""),"")</f>
        <v/>
      </c>
      <c r="AC72" s="30">
        <f>IF(Y72=1,COUNTIFS($X$5:$X$404,X72,$V$5:$V$404,V72,$Y$5:$Y$404,1),"")</f>
        <v/>
      </c>
      <c r="AD72" s="30">
        <f>IF(Y72=1,IFERROR(IF(AC72&gt;='參數'!$B$9,INDEX('分群統計'!$G$13:$K$16,MATCH(X72,'分群統計'!$A$13:$A$16,0),MATCH(V72,'分群統計'!$G$12:$K$12,0)),INDEX('分群統計'!$I$5:$I$8,MATCH(X72,'分群統計'!$A$5:$A$8,0))),""),"")</f>
        <v/>
      </c>
      <c r="AE72" s="18">
        <f>IF(Y72=1,IFERROR(IF(AC72&gt;='參數'!$B$9,INDEX('分群統計'!$L$13:$P$16,MATCH(X72,'分群統計'!$A$13:$A$16,0),MATCH(V72,'分群統計'!$L$12:$P$12,0)),INDEX('分群統計'!$J$5:$J$8,MATCH(X72,'分群統計'!$A$5:$A$8,0))),""),"")</f>
        <v/>
      </c>
      <c r="AF72" s="31">
        <f>IF(ISNUMBER(AE72),IF(AE72&gt;0,MAX(-3,MIN(3,(N72-AD72)/AE72)),0),"")</f>
        <v/>
      </c>
      <c r="AG72" s="30">
        <f>IF(Y72=1,COUNTIFS($B$5:$B$404,B72,$Y$5:$Y$404,1),"")</f>
        <v/>
      </c>
      <c r="AH72" s="30">
        <f>IF(Y72=1,IFERROR(IF(ISNUMBER(INDEX('分群統計'!$G$20:$G$59,MATCH(B72,'分群統計'!$A$20:$A$59,0))),INDEX('分群統計'!$H$20:$H$59,MATCH(B72,'分群統計'!$A$20:$A$59,0))+INDEX('分群統計'!$G$20:$G$59,MATCH(B72,'分群統計'!$A$20:$A$59,0))*AU72,""),""),"")</f>
        <v/>
      </c>
      <c r="AI72" s="34">
        <f>IF(ISNUMBER(AH72),N72-AH72,"")</f>
        <v/>
      </c>
      <c r="AJ72" s="30">
        <f>IF(Y72=1,IFERROR(IF(ISNUMBER(INDEX('分群統計'!$G$5:$G$8,MATCH(X72,'分群統計'!$A$5:$A$8,0))),INDEX('分群統計'!$H$5:$H$8,MATCH(X72,'分群統計'!$A$5:$A$8,0))+INDEX('分群統計'!$G$5:$G$8,MATCH(X72,'分群統計'!$A$5:$A$8,0))*AU72,""),""),"")</f>
        <v/>
      </c>
      <c r="AK72" s="34">
        <f>IF(ISNUMBER(AJ72),N72-AJ72,"")</f>
        <v/>
      </c>
      <c r="AL72" s="21">
        <f>IF(ISNUMBER(AJ72),IF(AJ72&gt;0,AK72/AJ72,""),"")</f>
        <v/>
      </c>
      <c r="AM72" s="31">
        <f>IF(AY72&lt;&gt;1,"",IFERROR(IF(INDEX('分群統計'!$K$5:$K$8,MATCH(X72,'分群統計'!$A$5:$A$8,0))&lt;3,"",IF(INDEX('分群統計'!$M$5:$M$8,MATCH(X72,'分群統計'!$A$5:$A$8,0))&gt;0,MAX(-3,MIN(3,(AX72-INDEX('分群統計'!$L$5:$L$8,MATCH(X72,'分群統計'!$A$5:$A$8,0)))/INDEX('分群統計'!$M$5:$M$8,MATCH(X72,'分群統計'!$A$5:$A$8,0)))),0)),""))</f>
        <v/>
      </c>
      <c r="AN72" s="31">
        <f>IF(ISNUMBER(AB72),IF(Z72&gt;0,AB72/Z72*100,""),"")</f>
        <v/>
      </c>
      <c r="AO72" s="31">
        <f>IF(BA72&lt;&gt;1,"",IFERROR(IF(INDEX('分群統計'!$N$5:$N$8,MATCH(X72,'分群統計'!$A$5:$A$8,0))&lt;3,"",IF(INDEX('分群統計'!$P$5:$P$8,MATCH(X72,'分群統計'!$A$5:$A$8,0))&gt;0,MAX(-3,MIN(3,(AZ72-INDEX('分群統計'!$O$5:$O$8,MATCH(X72,'分群統計'!$A$5:$A$8,0)))/INDEX('分群統計'!$P$5:$P$8,MATCH(X72,'分群統計'!$A$5:$A$8,0)))),0)),""))</f>
        <v/>
      </c>
      <c r="AP72" s="31">
        <f>IF(BC72&lt;&gt;1,"",IFERROR(IF(INDEX('分群統計'!$Q$5:$Q$8,MATCH(X72,'分群統計'!$A$5:$A$8,0))&lt;3,"",IF(INDEX('分群統計'!$S$5:$S$8,MATCH(X72,'分群統計'!$A$5:$A$8,0))&gt;0,MAX(-3,MIN(3,(BB72-INDEX('分群統計'!$R$5:$R$8,MATCH(X72,'分群統計'!$A$5:$A$8,0)))/INDEX('分群統計'!$S$5:$S$8,MATCH(X72,'分群統計'!$A$5:$A$8,0)))),0)),""))</f>
        <v/>
      </c>
      <c r="AQ72" s="31">
        <f>IF(Y72=1,(IF(ISNUMBER(AF72),AF72,0)*'參數'!$B$13+IF(ISNUMBER(AM72),AM72,0)*'參數'!$B$14+IF(ISNUMBER(AO72),AO72,0)*'參數'!$B$15+IF(ISNUMBER(AP72),AP72,0)*'參數'!$B$16)/('參數'!$B$13+'參數'!$B$14+'參數'!$B$15+'參數'!$B$16),"")</f>
        <v/>
      </c>
      <c r="AR72" s="35">
        <f>IF(Y72=1,(SUMPRODUCT(($X$5:$X$404=X72)*($Y$5:$Y$404=1)*($BD$5:$BD$404&gt;BD72))+1)/COUNTIFS($X$5:$X$404,X72,$Y$5:$Y$404,1),"")</f>
        <v/>
      </c>
      <c r="AS72" s="8">
        <f>IF(ISNUMBER(AR72),IF(AR72&lt;='參數'!$B$18,"加碼候選",IF(AR72&gt;'參數'!$B$19,"減碼候選","")),"")</f>
        <v/>
      </c>
      <c r="AT72" s="7">
        <f>IF(Y72=1,N72,0)</f>
        <v/>
      </c>
      <c r="AU72" s="7">
        <f>IF(Y72=1,LN(O72),0)</f>
        <v/>
      </c>
      <c r="AV72" s="36">
        <f>IF(Y72=1,IF(ISNUMBER(F72),F72,0),0)</f>
        <v/>
      </c>
      <c r="AW72" s="7">
        <f>IF(Y72=1,Z72,0)</f>
        <v/>
      </c>
      <c r="AX72" s="7">
        <f>IF(Y72=1,IF(ISNUMBER(AL72),AL72,0),0)</f>
        <v/>
      </c>
      <c r="AY72" s="7">
        <f>IF(Y72=1,IF(ISNUMBER(AL72),1,0),0)</f>
        <v/>
      </c>
      <c r="AZ72" s="7">
        <f>IF(Y72=1,IF(ISNUMBER(AN72),AN72,0),0)</f>
        <v/>
      </c>
      <c r="BA72" s="7">
        <f>IF(Y72=1,IF(ISNUMBER(AN72),1,0),0)</f>
        <v/>
      </c>
      <c r="BB72" s="7">
        <f>IF(Y72=1,IF(ISNUMBER(T72),T72,0),0)</f>
        <v/>
      </c>
      <c r="BC72" s="7">
        <f>IF(Y72=1,IF(ISNUMBER(T72),1,0),0)</f>
        <v/>
      </c>
      <c r="BD72" s="7">
        <f>IF(Y72=1,AQ72+ROW()/1E9,-1E9)</f>
        <v/>
      </c>
      <c r="BE72" s="7">
        <f>IF(Y72=1,AQ72+ROW()/1E9,1E9)</f>
        <v/>
      </c>
    </row>
    <row r="73">
      <c r="A73" s="16" t="n"/>
      <c r="B73" s="8">
        <f>IF($A73="","",BDP($A73,B$3))</f>
        <v/>
      </c>
      <c r="C73" s="8">
        <f>IF($A73="","",BDP($A73,C$3))</f>
        <v/>
      </c>
      <c r="D73" s="28">
        <f>IF($A73="","",BDP($A73,D$3))</f>
        <v/>
      </c>
      <c r="E73" s="29">
        <f>IF($A73="","",BDP($A73,E$3))</f>
        <v/>
      </c>
      <c r="F73" s="17">
        <f>IF($A73="","",BDP($A73,F$3))</f>
        <v/>
      </c>
      <c r="G73" s="8">
        <f>IF($A73="","",BDP($A73,G$3))</f>
        <v/>
      </c>
      <c r="H73" s="8">
        <f>IF($A73="","",BDP($A73,H$3))</f>
        <v/>
      </c>
      <c r="I73" s="8">
        <f>IF($A73="","",BDP($A73,I$3))</f>
        <v/>
      </c>
      <c r="J73" s="8">
        <f>IF($A73="","",BDP($A73,J$3))</f>
        <v/>
      </c>
      <c r="K73" s="8">
        <f>IF($A73="","",BDP($A73,K$3))</f>
        <v/>
      </c>
      <c r="L73" s="28">
        <f>IF($A73="","",BDP($A73,L$3))</f>
        <v/>
      </c>
      <c r="M73" s="28">
        <f>IF($A73="","",BDP($A73,M$3))</f>
        <v/>
      </c>
      <c r="N73" s="30">
        <f>IF($A73="","",BDP($A73,N$3))</f>
        <v/>
      </c>
      <c r="O73" s="31">
        <f>IF($A73="","",BDP($A73,O$3))</f>
        <v/>
      </c>
      <c r="P73" s="30">
        <f>IF($A73="","",BDH($A73,$N$3,'參數'!$B$5,'參數'!$B$5,"Days=A","Fill=P","Dates=H"))</f>
        <v/>
      </c>
      <c r="Q73" s="30">
        <f>IF($A73="","",BDH($A73,$N$3,'參數'!$B$6,'參數'!$B$6,"Days=A","Fill=P","Dates=H"))</f>
        <v/>
      </c>
      <c r="R73" s="30">
        <f>IF($A73="","",BDH($A73,$N$3,'參數'!$B$7,'參數'!$B$7,"Days=A","Fill=P","Dates=H"))</f>
        <v/>
      </c>
      <c r="S73" s="32">
        <f>IF($A73="","",IFERROR(INDEX('發行人'!$A$5:$A$44,MATCH(B73,'發行人'!$D$5:$D$44,0)),"未對應"))</f>
        <v/>
      </c>
      <c r="T73" s="24">
        <f>IF($A73="","",IFERROR(INDEX('發行人'!$G$5:$G$44,MATCH(B73,'發行人'!$D$5:$D$44,0))+0,""))</f>
        <v/>
      </c>
      <c r="U73" s="18">
        <f>IF(ISNUMBER(E73),YEARFRAC('參數'!$B$4,E73),"")</f>
        <v/>
      </c>
      <c r="V73" s="8">
        <f>IF(U73="","",IF(U73&lt;3,"1-3y",IF(U73&lt;5,"3-5y",IF(U73&lt;7,"5-7y",IF(U73&lt;10,"7-10y","10y+")))))</f>
        <v/>
      </c>
      <c r="W73" s="30">
        <f>IF($A73="","",IFERROR(INDEX('參數'!$B$24:$B$45,MATCH(G73,'參數'!$A$24:$A$45,0)),""))</f>
        <v/>
      </c>
      <c r="X73" s="8">
        <f>IF($A73="","",IFERROR(INDEX('參數'!$C$24:$C$45,MATCH(G73,'參數'!$A$24:$A$45,0)),""))</f>
        <v/>
      </c>
      <c r="Y73" s="30">
        <f>IF(AND(ISNUMBER(N73),ISNUMBER(O73),ISNUMBER(U73)),IF(AND(O73&gt;0,X73&lt;&gt;""),1,0),0)</f>
        <v/>
      </c>
      <c r="Z73" s="17">
        <f>IF(Y73=1,O73*N73,"")</f>
        <v/>
      </c>
      <c r="AA73" s="33">
        <f>IF(Y73=1,IF(ISNUMBER(Q73),N73-Q73,""),"")</f>
        <v/>
      </c>
      <c r="AB73" s="33">
        <f>IF(Y73=1,IF(AND(ISNUMBER(P73),ISNUMBER(R73)),R73*5/12-O73*(P73-R73),""),"")</f>
        <v/>
      </c>
      <c r="AC73" s="30">
        <f>IF(Y73=1,COUNTIFS($X$5:$X$404,X73,$V$5:$V$404,V73,$Y$5:$Y$404,1),"")</f>
        <v/>
      </c>
      <c r="AD73" s="30">
        <f>IF(Y73=1,IFERROR(IF(AC73&gt;='參數'!$B$9,INDEX('分群統計'!$G$13:$K$16,MATCH(X73,'分群統計'!$A$13:$A$16,0),MATCH(V73,'分群統計'!$G$12:$K$12,0)),INDEX('分群統計'!$I$5:$I$8,MATCH(X73,'分群統計'!$A$5:$A$8,0))),""),"")</f>
        <v/>
      </c>
      <c r="AE73" s="18">
        <f>IF(Y73=1,IFERROR(IF(AC73&gt;='參數'!$B$9,INDEX('分群統計'!$L$13:$P$16,MATCH(X73,'分群統計'!$A$13:$A$16,0),MATCH(V73,'分群統計'!$L$12:$P$12,0)),INDEX('分群統計'!$J$5:$J$8,MATCH(X73,'分群統計'!$A$5:$A$8,0))),""),"")</f>
        <v/>
      </c>
      <c r="AF73" s="31">
        <f>IF(ISNUMBER(AE73),IF(AE73&gt;0,MAX(-3,MIN(3,(N73-AD73)/AE73)),0),"")</f>
        <v/>
      </c>
      <c r="AG73" s="30">
        <f>IF(Y73=1,COUNTIFS($B$5:$B$404,B73,$Y$5:$Y$404,1),"")</f>
        <v/>
      </c>
      <c r="AH73" s="30">
        <f>IF(Y73=1,IFERROR(IF(ISNUMBER(INDEX('分群統計'!$G$20:$G$59,MATCH(B73,'分群統計'!$A$20:$A$59,0))),INDEX('分群統計'!$H$20:$H$59,MATCH(B73,'分群統計'!$A$20:$A$59,0))+INDEX('分群統計'!$G$20:$G$59,MATCH(B73,'分群統計'!$A$20:$A$59,0))*AU73,""),""),"")</f>
        <v/>
      </c>
      <c r="AI73" s="34">
        <f>IF(ISNUMBER(AH73),N73-AH73,"")</f>
        <v/>
      </c>
      <c r="AJ73" s="30">
        <f>IF(Y73=1,IFERROR(IF(ISNUMBER(INDEX('分群統計'!$G$5:$G$8,MATCH(X73,'分群統計'!$A$5:$A$8,0))),INDEX('分群統計'!$H$5:$H$8,MATCH(X73,'分群統計'!$A$5:$A$8,0))+INDEX('分群統計'!$G$5:$G$8,MATCH(X73,'分群統計'!$A$5:$A$8,0))*AU73,""),""),"")</f>
        <v/>
      </c>
      <c r="AK73" s="34">
        <f>IF(ISNUMBER(AJ73),N73-AJ73,"")</f>
        <v/>
      </c>
      <c r="AL73" s="21">
        <f>IF(ISNUMBER(AJ73),IF(AJ73&gt;0,AK73/AJ73,""),"")</f>
        <v/>
      </c>
      <c r="AM73" s="31">
        <f>IF(AY73&lt;&gt;1,"",IFERROR(IF(INDEX('分群統計'!$K$5:$K$8,MATCH(X73,'分群統計'!$A$5:$A$8,0))&lt;3,"",IF(INDEX('分群統計'!$M$5:$M$8,MATCH(X73,'分群統計'!$A$5:$A$8,0))&gt;0,MAX(-3,MIN(3,(AX73-INDEX('分群統計'!$L$5:$L$8,MATCH(X73,'分群統計'!$A$5:$A$8,0)))/INDEX('分群統計'!$M$5:$M$8,MATCH(X73,'分群統計'!$A$5:$A$8,0)))),0)),""))</f>
        <v/>
      </c>
      <c r="AN73" s="31">
        <f>IF(ISNUMBER(AB73),IF(Z73&gt;0,AB73/Z73*100,""),"")</f>
        <v/>
      </c>
      <c r="AO73" s="31">
        <f>IF(BA73&lt;&gt;1,"",IFERROR(IF(INDEX('分群統計'!$N$5:$N$8,MATCH(X73,'分群統計'!$A$5:$A$8,0))&lt;3,"",IF(INDEX('分群統計'!$P$5:$P$8,MATCH(X73,'分群統計'!$A$5:$A$8,0))&gt;0,MAX(-3,MIN(3,(AZ73-INDEX('分群統計'!$O$5:$O$8,MATCH(X73,'分群統計'!$A$5:$A$8,0)))/INDEX('分群統計'!$P$5:$P$8,MATCH(X73,'分群統計'!$A$5:$A$8,0)))),0)),""))</f>
        <v/>
      </c>
      <c r="AP73" s="31">
        <f>IF(BC73&lt;&gt;1,"",IFERROR(IF(INDEX('分群統計'!$Q$5:$Q$8,MATCH(X73,'分群統計'!$A$5:$A$8,0))&lt;3,"",IF(INDEX('分群統計'!$S$5:$S$8,MATCH(X73,'分群統計'!$A$5:$A$8,0))&gt;0,MAX(-3,MIN(3,(BB73-INDEX('分群統計'!$R$5:$R$8,MATCH(X73,'分群統計'!$A$5:$A$8,0)))/INDEX('分群統計'!$S$5:$S$8,MATCH(X73,'分群統計'!$A$5:$A$8,0)))),0)),""))</f>
        <v/>
      </c>
      <c r="AQ73" s="31">
        <f>IF(Y73=1,(IF(ISNUMBER(AF73),AF73,0)*'參數'!$B$13+IF(ISNUMBER(AM73),AM73,0)*'參數'!$B$14+IF(ISNUMBER(AO73),AO73,0)*'參數'!$B$15+IF(ISNUMBER(AP73),AP73,0)*'參數'!$B$16)/('參數'!$B$13+'參數'!$B$14+'參數'!$B$15+'參數'!$B$16),"")</f>
        <v/>
      </c>
      <c r="AR73" s="35">
        <f>IF(Y73=1,(SUMPRODUCT(($X$5:$X$404=X73)*($Y$5:$Y$404=1)*($BD$5:$BD$404&gt;BD73))+1)/COUNTIFS($X$5:$X$404,X73,$Y$5:$Y$404,1),"")</f>
        <v/>
      </c>
      <c r="AS73" s="8">
        <f>IF(ISNUMBER(AR73),IF(AR73&lt;='參數'!$B$18,"加碼候選",IF(AR73&gt;'參數'!$B$19,"減碼候選","")),"")</f>
        <v/>
      </c>
      <c r="AT73" s="7">
        <f>IF(Y73=1,N73,0)</f>
        <v/>
      </c>
      <c r="AU73" s="7">
        <f>IF(Y73=1,LN(O73),0)</f>
        <v/>
      </c>
      <c r="AV73" s="36">
        <f>IF(Y73=1,IF(ISNUMBER(F73),F73,0),0)</f>
        <v/>
      </c>
      <c r="AW73" s="7">
        <f>IF(Y73=1,Z73,0)</f>
        <v/>
      </c>
      <c r="AX73" s="7">
        <f>IF(Y73=1,IF(ISNUMBER(AL73),AL73,0),0)</f>
        <v/>
      </c>
      <c r="AY73" s="7">
        <f>IF(Y73=1,IF(ISNUMBER(AL73),1,0),0)</f>
        <v/>
      </c>
      <c r="AZ73" s="7">
        <f>IF(Y73=1,IF(ISNUMBER(AN73),AN73,0),0)</f>
        <v/>
      </c>
      <c r="BA73" s="7">
        <f>IF(Y73=1,IF(ISNUMBER(AN73),1,0),0)</f>
        <v/>
      </c>
      <c r="BB73" s="7">
        <f>IF(Y73=1,IF(ISNUMBER(T73),T73,0),0)</f>
        <v/>
      </c>
      <c r="BC73" s="7">
        <f>IF(Y73=1,IF(ISNUMBER(T73),1,0),0)</f>
        <v/>
      </c>
      <c r="BD73" s="7">
        <f>IF(Y73=1,AQ73+ROW()/1E9,-1E9)</f>
        <v/>
      </c>
      <c r="BE73" s="7">
        <f>IF(Y73=1,AQ73+ROW()/1E9,1E9)</f>
        <v/>
      </c>
    </row>
    <row r="74">
      <c r="A74" s="16" t="n"/>
      <c r="B74" s="8">
        <f>IF($A74="","",BDP($A74,B$3))</f>
        <v/>
      </c>
      <c r="C74" s="8">
        <f>IF($A74="","",BDP($A74,C$3))</f>
        <v/>
      </c>
      <c r="D74" s="28">
        <f>IF($A74="","",BDP($A74,D$3))</f>
        <v/>
      </c>
      <c r="E74" s="29">
        <f>IF($A74="","",BDP($A74,E$3))</f>
        <v/>
      </c>
      <c r="F74" s="17">
        <f>IF($A74="","",BDP($A74,F$3))</f>
        <v/>
      </c>
      <c r="G74" s="8">
        <f>IF($A74="","",BDP($A74,G$3))</f>
        <v/>
      </c>
      <c r="H74" s="8">
        <f>IF($A74="","",BDP($A74,H$3))</f>
        <v/>
      </c>
      <c r="I74" s="8">
        <f>IF($A74="","",BDP($A74,I$3))</f>
        <v/>
      </c>
      <c r="J74" s="8">
        <f>IF($A74="","",BDP($A74,J$3))</f>
        <v/>
      </c>
      <c r="K74" s="8">
        <f>IF($A74="","",BDP($A74,K$3))</f>
        <v/>
      </c>
      <c r="L74" s="28">
        <f>IF($A74="","",BDP($A74,L$3))</f>
        <v/>
      </c>
      <c r="M74" s="28">
        <f>IF($A74="","",BDP($A74,M$3))</f>
        <v/>
      </c>
      <c r="N74" s="30">
        <f>IF($A74="","",BDP($A74,N$3))</f>
        <v/>
      </c>
      <c r="O74" s="31">
        <f>IF($A74="","",BDP($A74,O$3))</f>
        <v/>
      </c>
      <c r="P74" s="30">
        <f>IF($A74="","",BDH($A74,$N$3,'參數'!$B$5,'參數'!$B$5,"Days=A","Fill=P","Dates=H"))</f>
        <v/>
      </c>
      <c r="Q74" s="30">
        <f>IF($A74="","",BDH($A74,$N$3,'參數'!$B$6,'參數'!$B$6,"Days=A","Fill=P","Dates=H"))</f>
        <v/>
      </c>
      <c r="R74" s="30">
        <f>IF($A74="","",BDH($A74,$N$3,'參數'!$B$7,'參數'!$B$7,"Days=A","Fill=P","Dates=H"))</f>
        <v/>
      </c>
      <c r="S74" s="32">
        <f>IF($A74="","",IFERROR(INDEX('發行人'!$A$5:$A$44,MATCH(B74,'發行人'!$D$5:$D$44,0)),"未對應"))</f>
        <v/>
      </c>
      <c r="T74" s="24">
        <f>IF($A74="","",IFERROR(INDEX('發行人'!$G$5:$G$44,MATCH(B74,'發行人'!$D$5:$D$44,0))+0,""))</f>
        <v/>
      </c>
      <c r="U74" s="18">
        <f>IF(ISNUMBER(E74),YEARFRAC('參數'!$B$4,E74),"")</f>
        <v/>
      </c>
      <c r="V74" s="8">
        <f>IF(U74="","",IF(U74&lt;3,"1-3y",IF(U74&lt;5,"3-5y",IF(U74&lt;7,"5-7y",IF(U74&lt;10,"7-10y","10y+")))))</f>
        <v/>
      </c>
      <c r="W74" s="30">
        <f>IF($A74="","",IFERROR(INDEX('參數'!$B$24:$B$45,MATCH(G74,'參數'!$A$24:$A$45,0)),""))</f>
        <v/>
      </c>
      <c r="X74" s="8">
        <f>IF($A74="","",IFERROR(INDEX('參數'!$C$24:$C$45,MATCH(G74,'參數'!$A$24:$A$45,0)),""))</f>
        <v/>
      </c>
      <c r="Y74" s="30">
        <f>IF(AND(ISNUMBER(N74),ISNUMBER(O74),ISNUMBER(U74)),IF(AND(O74&gt;0,X74&lt;&gt;""),1,0),0)</f>
        <v/>
      </c>
      <c r="Z74" s="17">
        <f>IF(Y74=1,O74*N74,"")</f>
        <v/>
      </c>
      <c r="AA74" s="33">
        <f>IF(Y74=1,IF(ISNUMBER(Q74),N74-Q74,""),"")</f>
        <v/>
      </c>
      <c r="AB74" s="33">
        <f>IF(Y74=1,IF(AND(ISNUMBER(P74),ISNUMBER(R74)),R74*5/12-O74*(P74-R74),""),"")</f>
        <v/>
      </c>
      <c r="AC74" s="30">
        <f>IF(Y74=1,COUNTIFS($X$5:$X$404,X74,$V$5:$V$404,V74,$Y$5:$Y$404,1),"")</f>
        <v/>
      </c>
      <c r="AD74" s="30">
        <f>IF(Y74=1,IFERROR(IF(AC74&gt;='參數'!$B$9,INDEX('分群統計'!$G$13:$K$16,MATCH(X74,'分群統計'!$A$13:$A$16,0),MATCH(V74,'分群統計'!$G$12:$K$12,0)),INDEX('分群統計'!$I$5:$I$8,MATCH(X74,'分群統計'!$A$5:$A$8,0))),""),"")</f>
        <v/>
      </c>
      <c r="AE74" s="18">
        <f>IF(Y74=1,IFERROR(IF(AC74&gt;='參數'!$B$9,INDEX('分群統計'!$L$13:$P$16,MATCH(X74,'分群統計'!$A$13:$A$16,0),MATCH(V74,'分群統計'!$L$12:$P$12,0)),INDEX('分群統計'!$J$5:$J$8,MATCH(X74,'分群統計'!$A$5:$A$8,0))),""),"")</f>
        <v/>
      </c>
      <c r="AF74" s="31">
        <f>IF(ISNUMBER(AE74),IF(AE74&gt;0,MAX(-3,MIN(3,(N74-AD74)/AE74)),0),"")</f>
        <v/>
      </c>
      <c r="AG74" s="30">
        <f>IF(Y74=1,COUNTIFS($B$5:$B$404,B74,$Y$5:$Y$404,1),"")</f>
        <v/>
      </c>
      <c r="AH74" s="30">
        <f>IF(Y74=1,IFERROR(IF(ISNUMBER(INDEX('分群統計'!$G$20:$G$59,MATCH(B74,'分群統計'!$A$20:$A$59,0))),INDEX('分群統計'!$H$20:$H$59,MATCH(B74,'分群統計'!$A$20:$A$59,0))+INDEX('分群統計'!$G$20:$G$59,MATCH(B74,'分群統計'!$A$20:$A$59,0))*AU74,""),""),"")</f>
        <v/>
      </c>
      <c r="AI74" s="34">
        <f>IF(ISNUMBER(AH74),N74-AH74,"")</f>
        <v/>
      </c>
      <c r="AJ74" s="30">
        <f>IF(Y74=1,IFERROR(IF(ISNUMBER(INDEX('分群統計'!$G$5:$G$8,MATCH(X74,'分群統計'!$A$5:$A$8,0))),INDEX('分群統計'!$H$5:$H$8,MATCH(X74,'分群統計'!$A$5:$A$8,0))+INDEX('分群統計'!$G$5:$G$8,MATCH(X74,'分群統計'!$A$5:$A$8,0))*AU74,""),""),"")</f>
        <v/>
      </c>
      <c r="AK74" s="34">
        <f>IF(ISNUMBER(AJ74),N74-AJ74,"")</f>
        <v/>
      </c>
      <c r="AL74" s="21">
        <f>IF(ISNUMBER(AJ74),IF(AJ74&gt;0,AK74/AJ74,""),"")</f>
        <v/>
      </c>
      <c r="AM74" s="31">
        <f>IF(AY74&lt;&gt;1,"",IFERROR(IF(INDEX('分群統計'!$K$5:$K$8,MATCH(X74,'分群統計'!$A$5:$A$8,0))&lt;3,"",IF(INDEX('分群統計'!$M$5:$M$8,MATCH(X74,'分群統計'!$A$5:$A$8,0))&gt;0,MAX(-3,MIN(3,(AX74-INDEX('分群統計'!$L$5:$L$8,MATCH(X74,'分群統計'!$A$5:$A$8,0)))/INDEX('分群統計'!$M$5:$M$8,MATCH(X74,'分群統計'!$A$5:$A$8,0)))),0)),""))</f>
        <v/>
      </c>
      <c r="AN74" s="31">
        <f>IF(ISNUMBER(AB74),IF(Z74&gt;0,AB74/Z74*100,""),"")</f>
        <v/>
      </c>
      <c r="AO74" s="31">
        <f>IF(BA74&lt;&gt;1,"",IFERROR(IF(INDEX('分群統計'!$N$5:$N$8,MATCH(X74,'分群統計'!$A$5:$A$8,0))&lt;3,"",IF(INDEX('分群統計'!$P$5:$P$8,MATCH(X74,'分群統計'!$A$5:$A$8,0))&gt;0,MAX(-3,MIN(3,(AZ74-INDEX('分群統計'!$O$5:$O$8,MATCH(X74,'分群統計'!$A$5:$A$8,0)))/INDEX('分群統計'!$P$5:$P$8,MATCH(X74,'分群統計'!$A$5:$A$8,0)))),0)),""))</f>
        <v/>
      </c>
      <c r="AP74" s="31">
        <f>IF(BC74&lt;&gt;1,"",IFERROR(IF(INDEX('分群統計'!$Q$5:$Q$8,MATCH(X74,'分群統計'!$A$5:$A$8,0))&lt;3,"",IF(INDEX('分群統計'!$S$5:$S$8,MATCH(X74,'分群統計'!$A$5:$A$8,0))&gt;0,MAX(-3,MIN(3,(BB74-INDEX('分群統計'!$R$5:$R$8,MATCH(X74,'分群統計'!$A$5:$A$8,0)))/INDEX('分群統計'!$S$5:$S$8,MATCH(X74,'分群統計'!$A$5:$A$8,0)))),0)),""))</f>
        <v/>
      </c>
      <c r="AQ74" s="31">
        <f>IF(Y74=1,(IF(ISNUMBER(AF74),AF74,0)*'參數'!$B$13+IF(ISNUMBER(AM74),AM74,0)*'參數'!$B$14+IF(ISNUMBER(AO74),AO74,0)*'參數'!$B$15+IF(ISNUMBER(AP74),AP74,0)*'參數'!$B$16)/('參數'!$B$13+'參數'!$B$14+'參數'!$B$15+'參數'!$B$16),"")</f>
        <v/>
      </c>
      <c r="AR74" s="35">
        <f>IF(Y74=1,(SUMPRODUCT(($X$5:$X$404=X74)*($Y$5:$Y$404=1)*($BD$5:$BD$404&gt;BD74))+1)/COUNTIFS($X$5:$X$404,X74,$Y$5:$Y$404,1),"")</f>
        <v/>
      </c>
      <c r="AS74" s="8">
        <f>IF(ISNUMBER(AR74),IF(AR74&lt;='參數'!$B$18,"加碼候選",IF(AR74&gt;'參數'!$B$19,"減碼候選","")),"")</f>
        <v/>
      </c>
      <c r="AT74" s="7">
        <f>IF(Y74=1,N74,0)</f>
        <v/>
      </c>
      <c r="AU74" s="7">
        <f>IF(Y74=1,LN(O74),0)</f>
        <v/>
      </c>
      <c r="AV74" s="36">
        <f>IF(Y74=1,IF(ISNUMBER(F74),F74,0),0)</f>
        <v/>
      </c>
      <c r="AW74" s="7">
        <f>IF(Y74=1,Z74,0)</f>
        <v/>
      </c>
      <c r="AX74" s="7">
        <f>IF(Y74=1,IF(ISNUMBER(AL74),AL74,0),0)</f>
        <v/>
      </c>
      <c r="AY74" s="7">
        <f>IF(Y74=1,IF(ISNUMBER(AL74),1,0),0)</f>
        <v/>
      </c>
      <c r="AZ74" s="7">
        <f>IF(Y74=1,IF(ISNUMBER(AN74),AN74,0),0)</f>
        <v/>
      </c>
      <c r="BA74" s="7">
        <f>IF(Y74=1,IF(ISNUMBER(AN74),1,0),0)</f>
        <v/>
      </c>
      <c r="BB74" s="7">
        <f>IF(Y74=1,IF(ISNUMBER(T74),T74,0),0)</f>
        <v/>
      </c>
      <c r="BC74" s="7">
        <f>IF(Y74=1,IF(ISNUMBER(T74),1,0),0)</f>
        <v/>
      </c>
      <c r="BD74" s="7">
        <f>IF(Y74=1,AQ74+ROW()/1E9,-1E9)</f>
        <v/>
      </c>
      <c r="BE74" s="7">
        <f>IF(Y74=1,AQ74+ROW()/1E9,1E9)</f>
        <v/>
      </c>
    </row>
    <row r="75">
      <c r="A75" s="16" t="n"/>
      <c r="B75" s="8">
        <f>IF($A75="","",BDP($A75,B$3))</f>
        <v/>
      </c>
      <c r="C75" s="8">
        <f>IF($A75="","",BDP($A75,C$3))</f>
        <v/>
      </c>
      <c r="D75" s="28">
        <f>IF($A75="","",BDP($A75,D$3))</f>
        <v/>
      </c>
      <c r="E75" s="29">
        <f>IF($A75="","",BDP($A75,E$3))</f>
        <v/>
      </c>
      <c r="F75" s="17">
        <f>IF($A75="","",BDP($A75,F$3))</f>
        <v/>
      </c>
      <c r="G75" s="8">
        <f>IF($A75="","",BDP($A75,G$3))</f>
        <v/>
      </c>
      <c r="H75" s="8">
        <f>IF($A75="","",BDP($A75,H$3))</f>
        <v/>
      </c>
      <c r="I75" s="8">
        <f>IF($A75="","",BDP($A75,I$3))</f>
        <v/>
      </c>
      <c r="J75" s="8">
        <f>IF($A75="","",BDP($A75,J$3))</f>
        <v/>
      </c>
      <c r="K75" s="8">
        <f>IF($A75="","",BDP($A75,K$3))</f>
        <v/>
      </c>
      <c r="L75" s="28">
        <f>IF($A75="","",BDP($A75,L$3))</f>
        <v/>
      </c>
      <c r="M75" s="28">
        <f>IF($A75="","",BDP($A75,M$3))</f>
        <v/>
      </c>
      <c r="N75" s="30">
        <f>IF($A75="","",BDP($A75,N$3))</f>
        <v/>
      </c>
      <c r="O75" s="31">
        <f>IF($A75="","",BDP($A75,O$3))</f>
        <v/>
      </c>
      <c r="P75" s="30">
        <f>IF($A75="","",BDH($A75,$N$3,'參數'!$B$5,'參數'!$B$5,"Days=A","Fill=P","Dates=H"))</f>
        <v/>
      </c>
      <c r="Q75" s="30">
        <f>IF($A75="","",BDH($A75,$N$3,'參數'!$B$6,'參數'!$B$6,"Days=A","Fill=P","Dates=H"))</f>
        <v/>
      </c>
      <c r="R75" s="30">
        <f>IF($A75="","",BDH($A75,$N$3,'參數'!$B$7,'參數'!$B$7,"Days=A","Fill=P","Dates=H"))</f>
        <v/>
      </c>
      <c r="S75" s="32">
        <f>IF($A75="","",IFERROR(INDEX('發行人'!$A$5:$A$44,MATCH(B75,'發行人'!$D$5:$D$44,0)),"未對應"))</f>
        <v/>
      </c>
      <c r="T75" s="24">
        <f>IF($A75="","",IFERROR(INDEX('發行人'!$G$5:$G$44,MATCH(B75,'發行人'!$D$5:$D$44,0))+0,""))</f>
        <v/>
      </c>
      <c r="U75" s="18">
        <f>IF(ISNUMBER(E75),YEARFRAC('參數'!$B$4,E75),"")</f>
        <v/>
      </c>
      <c r="V75" s="8">
        <f>IF(U75="","",IF(U75&lt;3,"1-3y",IF(U75&lt;5,"3-5y",IF(U75&lt;7,"5-7y",IF(U75&lt;10,"7-10y","10y+")))))</f>
        <v/>
      </c>
      <c r="W75" s="30">
        <f>IF($A75="","",IFERROR(INDEX('參數'!$B$24:$B$45,MATCH(G75,'參數'!$A$24:$A$45,0)),""))</f>
        <v/>
      </c>
      <c r="X75" s="8">
        <f>IF($A75="","",IFERROR(INDEX('參數'!$C$24:$C$45,MATCH(G75,'參數'!$A$24:$A$45,0)),""))</f>
        <v/>
      </c>
      <c r="Y75" s="30">
        <f>IF(AND(ISNUMBER(N75),ISNUMBER(O75),ISNUMBER(U75)),IF(AND(O75&gt;0,X75&lt;&gt;""),1,0),0)</f>
        <v/>
      </c>
      <c r="Z75" s="17">
        <f>IF(Y75=1,O75*N75,"")</f>
        <v/>
      </c>
      <c r="AA75" s="33">
        <f>IF(Y75=1,IF(ISNUMBER(Q75),N75-Q75,""),"")</f>
        <v/>
      </c>
      <c r="AB75" s="33">
        <f>IF(Y75=1,IF(AND(ISNUMBER(P75),ISNUMBER(R75)),R75*5/12-O75*(P75-R75),""),"")</f>
        <v/>
      </c>
      <c r="AC75" s="30">
        <f>IF(Y75=1,COUNTIFS($X$5:$X$404,X75,$V$5:$V$404,V75,$Y$5:$Y$404,1),"")</f>
        <v/>
      </c>
      <c r="AD75" s="30">
        <f>IF(Y75=1,IFERROR(IF(AC75&gt;='參數'!$B$9,INDEX('分群統計'!$G$13:$K$16,MATCH(X75,'分群統計'!$A$13:$A$16,0),MATCH(V75,'分群統計'!$G$12:$K$12,0)),INDEX('分群統計'!$I$5:$I$8,MATCH(X75,'分群統計'!$A$5:$A$8,0))),""),"")</f>
        <v/>
      </c>
      <c r="AE75" s="18">
        <f>IF(Y75=1,IFERROR(IF(AC75&gt;='參數'!$B$9,INDEX('分群統計'!$L$13:$P$16,MATCH(X75,'分群統計'!$A$13:$A$16,0),MATCH(V75,'分群統計'!$L$12:$P$12,0)),INDEX('分群統計'!$J$5:$J$8,MATCH(X75,'分群統計'!$A$5:$A$8,0))),""),"")</f>
        <v/>
      </c>
      <c r="AF75" s="31">
        <f>IF(ISNUMBER(AE75),IF(AE75&gt;0,MAX(-3,MIN(3,(N75-AD75)/AE75)),0),"")</f>
        <v/>
      </c>
      <c r="AG75" s="30">
        <f>IF(Y75=1,COUNTIFS($B$5:$B$404,B75,$Y$5:$Y$404,1),"")</f>
        <v/>
      </c>
      <c r="AH75" s="30">
        <f>IF(Y75=1,IFERROR(IF(ISNUMBER(INDEX('分群統計'!$G$20:$G$59,MATCH(B75,'分群統計'!$A$20:$A$59,0))),INDEX('分群統計'!$H$20:$H$59,MATCH(B75,'分群統計'!$A$20:$A$59,0))+INDEX('分群統計'!$G$20:$G$59,MATCH(B75,'分群統計'!$A$20:$A$59,0))*AU75,""),""),"")</f>
        <v/>
      </c>
      <c r="AI75" s="34">
        <f>IF(ISNUMBER(AH75),N75-AH75,"")</f>
        <v/>
      </c>
      <c r="AJ75" s="30">
        <f>IF(Y75=1,IFERROR(IF(ISNUMBER(INDEX('分群統計'!$G$5:$G$8,MATCH(X75,'分群統計'!$A$5:$A$8,0))),INDEX('分群統計'!$H$5:$H$8,MATCH(X75,'分群統計'!$A$5:$A$8,0))+INDEX('分群統計'!$G$5:$G$8,MATCH(X75,'分群統計'!$A$5:$A$8,0))*AU75,""),""),"")</f>
        <v/>
      </c>
      <c r="AK75" s="34">
        <f>IF(ISNUMBER(AJ75),N75-AJ75,"")</f>
        <v/>
      </c>
      <c r="AL75" s="21">
        <f>IF(ISNUMBER(AJ75),IF(AJ75&gt;0,AK75/AJ75,""),"")</f>
        <v/>
      </c>
      <c r="AM75" s="31">
        <f>IF(AY75&lt;&gt;1,"",IFERROR(IF(INDEX('分群統計'!$K$5:$K$8,MATCH(X75,'分群統計'!$A$5:$A$8,0))&lt;3,"",IF(INDEX('分群統計'!$M$5:$M$8,MATCH(X75,'分群統計'!$A$5:$A$8,0))&gt;0,MAX(-3,MIN(3,(AX75-INDEX('分群統計'!$L$5:$L$8,MATCH(X75,'分群統計'!$A$5:$A$8,0)))/INDEX('分群統計'!$M$5:$M$8,MATCH(X75,'分群統計'!$A$5:$A$8,0)))),0)),""))</f>
        <v/>
      </c>
      <c r="AN75" s="31">
        <f>IF(ISNUMBER(AB75),IF(Z75&gt;0,AB75/Z75*100,""),"")</f>
        <v/>
      </c>
      <c r="AO75" s="31">
        <f>IF(BA75&lt;&gt;1,"",IFERROR(IF(INDEX('分群統計'!$N$5:$N$8,MATCH(X75,'分群統計'!$A$5:$A$8,0))&lt;3,"",IF(INDEX('分群統計'!$P$5:$P$8,MATCH(X75,'分群統計'!$A$5:$A$8,0))&gt;0,MAX(-3,MIN(3,(AZ75-INDEX('分群統計'!$O$5:$O$8,MATCH(X75,'分群統計'!$A$5:$A$8,0)))/INDEX('分群統計'!$P$5:$P$8,MATCH(X75,'分群統計'!$A$5:$A$8,0)))),0)),""))</f>
        <v/>
      </c>
      <c r="AP75" s="31">
        <f>IF(BC75&lt;&gt;1,"",IFERROR(IF(INDEX('分群統計'!$Q$5:$Q$8,MATCH(X75,'分群統計'!$A$5:$A$8,0))&lt;3,"",IF(INDEX('分群統計'!$S$5:$S$8,MATCH(X75,'分群統計'!$A$5:$A$8,0))&gt;0,MAX(-3,MIN(3,(BB75-INDEX('分群統計'!$R$5:$R$8,MATCH(X75,'分群統計'!$A$5:$A$8,0)))/INDEX('分群統計'!$S$5:$S$8,MATCH(X75,'分群統計'!$A$5:$A$8,0)))),0)),""))</f>
        <v/>
      </c>
      <c r="AQ75" s="31">
        <f>IF(Y75=1,(IF(ISNUMBER(AF75),AF75,0)*'參數'!$B$13+IF(ISNUMBER(AM75),AM75,0)*'參數'!$B$14+IF(ISNUMBER(AO75),AO75,0)*'參數'!$B$15+IF(ISNUMBER(AP75),AP75,0)*'參數'!$B$16)/('參數'!$B$13+'參數'!$B$14+'參數'!$B$15+'參數'!$B$16),"")</f>
        <v/>
      </c>
      <c r="AR75" s="35">
        <f>IF(Y75=1,(SUMPRODUCT(($X$5:$X$404=X75)*($Y$5:$Y$404=1)*($BD$5:$BD$404&gt;BD75))+1)/COUNTIFS($X$5:$X$404,X75,$Y$5:$Y$404,1),"")</f>
        <v/>
      </c>
      <c r="AS75" s="8">
        <f>IF(ISNUMBER(AR75),IF(AR75&lt;='參數'!$B$18,"加碼候選",IF(AR75&gt;'參數'!$B$19,"減碼候選","")),"")</f>
        <v/>
      </c>
      <c r="AT75" s="7">
        <f>IF(Y75=1,N75,0)</f>
        <v/>
      </c>
      <c r="AU75" s="7">
        <f>IF(Y75=1,LN(O75),0)</f>
        <v/>
      </c>
      <c r="AV75" s="36">
        <f>IF(Y75=1,IF(ISNUMBER(F75),F75,0),0)</f>
        <v/>
      </c>
      <c r="AW75" s="7">
        <f>IF(Y75=1,Z75,0)</f>
        <v/>
      </c>
      <c r="AX75" s="7">
        <f>IF(Y75=1,IF(ISNUMBER(AL75),AL75,0),0)</f>
        <v/>
      </c>
      <c r="AY75" s="7">
        <f>IF(Y75=1,IF(ISNUMBER(AL75),1,0),0)</f>
        <v/>
      </c>
      <c r="AZ75" s="7">
        <f>IF(Y75=1,IF(ISNUMBER(AN75),AN75,0),0)</f>
        <v/>
      </c>
      <c r="BA75" s="7">
        <f>IF(Y75=1,IF(ISNUMBER(AN75),1,0),0)</f>
        <v/>
      </c>
      <c r="BB75" s="7">
        <f>IF(Y75=1,IF(ISNUMBER(T75),T75,0),0)</f>
        <v/>
      </c>
      <c r="BC75" s="7">
        <f>IF(Y75=1,IF(ISNUMBER(T75),1,0),0)</f>
        <v/>
      </c>
      <c r="BD75" s="7">
        <f>IF(Y75=1,AQ75+ROW()/1E9,-1E9)</f>
        <v/>
      </c>
      <c r="BE75" s="7">
        <f>IF(Y75=1,AQ75+ROW()/1E9,1E9)</f>
        <v/>
      </c>
    </row>
    <row r="76">
      <c r="A76" s="16" t="n"/>
      <c r="B76" s="8">
        <f>IF($A76="","",BDP($A76,B$3))</f>
        <v/>
      </c>
      <c r="C76" s="8">
        <f>IF($A76="","",BDP($A76,C$3))</f>
        <v/>
      </c>
      <c r="D76" s="28">
        <f>IF($A76="","",BDP($A76,D$3))</f>
        <v/>
      </c>
      <c r="E76" s="29">
        <f>IF($A76="","",BDP($A76,E$3))</f>
        <v/>
      </c>
      <c r="F76" s="17">
        <f>IF($A76="","",BDP($A76,F$3))</f>
        <v/>
      </c>
      <c r="G76" s="8">
        <f>IF($A76="","",BDP($A76,G$3))</f>
        <v/>
      </c>
      <c r="H76" s="8">
        <f>IF($A76="","",BDP($A76,H$3))</f>
        <v/>
      </c>
      <c r="I76" s="8">
        <f>IF($A76="","",BDP($A76,I$3))</f>
        <v/>
      </c>
      <c r="J76" s="8">
        <f>IF($A76="","",BDP($A76,J$3))</f>
        <v/>
      </c>
      <c r="K76" s="8">
        <f>IF($A76="","",BDP($A76,K$3))</f>
        <v/>
      </c>
      <c r="L76" s="28">
        <f>IF($A76="","",BDP($A76,L$3))</f>
        <v/>
      </c>
      <c r="M76" s="28">
        <f>IF($A76="","",BDP($A76,M$3))</f>
        <v/>
      </c>
      <c r="N76" s="30">
        <f>IF($A76="","",BDP($A76,N$3))</f>
        <v/>
      </c>
      <c r="O76" s="31">
        <f>IF($A76="","",BDP($A76,O$3))</f>
        <v/>
      </c>
      <c r="P76" s="30">
        <f>IF($A76="","",BDH($A76,$N$3,'參數'!$B$5,'參數'!$B$5,"Days=A","Fill=P","Dates=H"))</f>
        <v/>
      </c>
      <c r="Q76" s="30">
        <f>IF($A76="","",BDH($A76,$N$3,'參數'!$B$6,'參數'!$B$6,"Days=A","Fill=P","Dates=H"))</f>
        <v/>
      </c>
      <c r="R76" s="30">
        <f>IF($A76="","",BDH($A76,$N$3,'參數'!$B$7,'參數'!$B$7,"Days=A","Fill=P","Dates=H"))</f>
        <v/>
      </c>
      <c r="S76" s="32">
        <f>IF($A76="","",IFERROR(INDEX('發行人'!$A$5:$A$44,MATCH(B76,'發行人'!$D$5:$D$44,0)),"未對應"))</f>
        <v/>
      </c>
      <c r="T76" s="24">
        <f>IF($A76="","",IFERROR(INDEX('發行人'!$G$5:$G$44,MATCH(B76,'發行人'!$D$5:$D$44,0))+0,""))</f>
        <v/>
      </c>
      <c r="U76" s="18">
        <f>IF(ISNUMBER(E76),YEARFRAC('參數'!$B$4,E76),"")</f>
        <v/>
      </c>
      <c r="V76" s="8">
        <f>IF(U76="","",IF(U76&lt;3,"1-3y",IF(U76&lt;5,"3-5y",IF(U76&lt;7,"5-7y",IF(U76&lt;10,"7-10y","10y+")))))</f>
        <v/>
      </c>
      <c r="W76" s="30">
        <f>IF($A76="","",IFERROR(INDEX('參數'!$B$24:$B$45,MATCH(G76,'參數'!$A$24:$A$45,0)),""))</f>
        <v/>
      </c>
      <c r="X76" s="8">
        <f>IF($A76="","",IFERROR(INDEX('參數'!$C$24:$C$45,MATCH(G76,'參數'!$A$24:$A$45,0)),""))</f>
        <v/>
      </c>
      <c r="Y76" s="30">
        <f>IF(AND(ISNUMBER(N76),ISNUMBER(O76),ISNUMBER(U76)),IF(AND(O76&gt;0,X76&lt;&gt;""),1,0),0)</f>
        <v/>
      </c>
      <c r="Z76" s="17">
        <f>IF(Y76=1,O76*N76,"")</f>
        <v/>
      </c>
      <c r="AA76" s="33">
        <f>IF(Y76=1,IF(ISNUMBER(Q76),N76-Q76,""),"")</f>
        <v/>
      </c>
      <c r="AB76" s="33">
        <f>IF(Y76=1,IF(AND(ISNUMBER(P76),ISNUMBER(R76)),R76*5/12-O76*(P76-R76),""),"")</f>
        <v/>
      </c>
      <c r="AC76" s="30">
        <f>IF(Y76=1,COUNTIFS($X$5:$X$404,X76,$V$5:$V$404,V76,$Y$5:$Y$404,1),"")</f>
        <v/>
      </c>
      <c r="AD76" s="30">
        <f>IF(Y76=1,IFERROR(IF(AC76&gt;='參數'!$B$9,INDEX('分群統計'!$G$13:$K$16,MATCH(X76,'分群統計'!$A$13:$A$16,0),MATCH(V76,'分群統計'!$G$12:$K$12,0)),INDEX('分群統計'!$I$5:$I$8,MATCH(X76,'分群統計'!$A$5:$A$8,0))),""),"")</f>
        <v/>
      </c>
      <c r="AE76" s="18">
        <f>IF(Y76=1,IFERROR(IF(AC76&gt;='參數'!$B$9,INDEX('分群統計'!$L$13:$P$16,MATCH(X76,'分群統計'!$A$13:$A$16,0),MATCH(V76,'分群統計'!$L$12:$P$12,0)),INDEX('分群統計'!$J$5:$J$8,MATCH(X76,'分群統計'!$A$5:$A$8,0))),""),"")</f>
        <v/>
      </c>
      <c r="AF76" s="31">
        <f>IF(ISNUMBER(AE76),IF(AE76&gt;0,MAX(-3,MIN(3,(N76-AD76)/AE76)),0),"")</f>
        <v/>
      </c>
      <c r="AG76" s="30">
        <f>IF(Y76=1,COUNTIFS($B$5:$B$404,B76,$Y$5:$Y$404,1),"")</f>
        <v/>
      </c>
      <c r="AH76" s="30">
        <f>IF(Y76=1,IFERROR(IF(ISNUMBER(INDEX('分群統計'!$G$20:$G$59,MATCH(B76,'分群統計'!$A$20:$A$59,0))),INDEX('分群統計'!$H$20:$H$59,MATCH(B76,'分群統計'!$A$20:$A$59,0))+INDEX('分群統計'!$G$20:$G$59,MATCH(B76,'分群統計'!$A$20:$A$59,0))*AU76,""),""),"")</f>
        <v/>
      </c>
      <c r="AI76" s="34">
        <f>IF(ISNUMBER(AH76),N76-AH76,"")</f>
        <v/>
      </c>
      <c r="AJ76" s="30">
        <f>IF(Y76=1,IFERROR(IF(ISNUMBER(INDEX('分群統計'!$G$5:$G$8,MATCH(X76,'分群統計'!$A$5:$A$8,0))),INDEX('分群統計'!$H$5:$H$8,MATCH(X76,'分群統計'!$A$5:$A$8,0))+INDEX('分群統計'!$G$5:$G$8,MATCH(X76,'分群統計'!$A$5:$A$8,0))*AU76,""),""),"")</f>
        <v/>
      </c>
      <c r="AK76" s="34">
        <f>IF(ISNUMBER(AJ76),N76-AJ76,"")</f>
        <v/>
      </c>
      <c r="AL76" s="21">
        <f>IF(ISNUMBER(AJ76),IF(AJ76&gt;0,AK76/AJ76,""),"")</f>
        <v/>
      </c>
      <c r="AM76" s="31">
        <f>IF(AY76&lt;&gt;1,"",IFERROR(IF(INDEX('分群統計'!$K$5:$K$8,MATCH(X76,'分群統計'!$A$5:$A$8,0))&lt;3,"",IF(INDEX('分群統計'!$M$5:$M$8,MATCH(X76,'分群統計'!$A$5:$A$8,0))&gt;0,MAX(-3,MIN(3,(AX76-INDEX('分群統計'!$L$5:$L$8,MATCH(X76,'分群統計'!$A$5:$A$8,0)))/INDEX('分群統計'!$M$5:$M$8,MATCH(X76,'分群統計'!$A$5:$A$8,0)))),0)),""))</f>
        <v/>
      </c>
      <c r="AN76" s="31">
        <f>IF(ISNUMBER(AB76),IF(Z76&gt;0,AB76/Z76*100,""),"")</f>
        <v/>
      </c>
      <c r="AO76" s="31">
        <f>IF(BA76&lt;&gt;1,"",IFERROR(IF(INDEX('分群統計'!$N$5:$N$8,MATCH(X76,'分群統計'!$A$5:$A$8,0))&lt;3,"",IF(INDEX('分群統計'!$P$5:$P$8,MATCH(X76,'分群統計'!$A$5:$A$8,0))&gt;0,MAX(-3,MIN(3,(AZ76-INDEX('分群統計'!$O$5:$O$8,MATCH(X76,'分群統計'!$A$5:$A$8,0)))/INDEX('分群統計'!$P$5:$P$8,MATCH(X76,'分群統計'!$A$5:$A$8,0)))),0)),""))</f>
        <v/>
      </c>
      <c r="AP76" s="31">
        <f>IF(BC76&lt;&gt;1,"",IFERROR(IF(INDEX('分群統計'!$Q$5:$Q$8,MATCH(X76,'分群統計'!$A$5:$A$8,0))&lt;3,"",IF(INDEX('分群統計'!$S$5:$S$8,MATCH(X76,'分群統計'!$A$5:$A$8,0))&gt;0,MAX(-3,MIN(3,(BB76-INDEX('分群統計'!$R$5:$R$8,MATCH(X76,'分群統計'!$A$5:$A$8,0)))/INDEX('分群統計'!$S$5:$S$8,MATCH(X76,'分群統計'!$A$5:$A$8,0)))),0)),""))</f>
        <v/>
      </c>
      <c r="AQ76" s="31">
        <f>IF(Y76=1,(IF(ISNUMBER(AF76),AF76,0)*'參數'!$B$13+IF(ISNUMBER(AM76),AM76,0)*'參數'!$B$14+IF(ISNUMBER(AO76),AO76,0)*'參數'!$B$15+IF(ISNUMBER(AP76),AP76,0)*'參數'!$B$16)/('參數'!$B$13+'參數'!$B$14+'參數'!$B$15+'參數'!$B$16),"")</f>
        <v/>
      </c>
      <c r="AR76" s="35">
        <f>IF(Y76=1,(SUMPRODUCT(($X$5:$X$404=X76)*($Y$5:$Y$404=1)*($BD$5:$BD$404&gt;BD76))+1)/COUNTIFS($X$5:$X$404,X76,$Y$5:$Y$404,1),"")</f>
        <v/>
      </c>
      <c r="AS76" s="8">
        <f>IF(ISNUMBER(AR76),IF(AR76&lt;='參數'!$B$18,"加碼候選",IF(AR76&gt;'參數'!$B$19,"減碼候選","")),"")</f>
        <v/>
      </c>
      <c r="AT76" s="7">
        <f>IF(Y76=1,N76,0)</f>
        <v/>
      </c>
      <c r="AU76" s="7">
        <f>IF(Y76=1,LN(O76),0)</f>
        <v/>
      </c>
      <c r="AV76" s="36">
        <f>IF(Y76=1,IF(ISNUMBER(F76),F76,0),0)</f>
        <v/>
      </c>
      <c r="AW76" s="7">
        <f>IF(Y76=1,Z76,0)</f>
        <v/>
      </c>
      <c r="AX76" s="7">
        <f>IF(Y76=1,IF(ISNUMBER(AL76),AL76,0),0)</f>
        <v/>
      </c>
      <c r="AY76" s="7">
        <f>IF(Y76=1,IF(ISNUMBER(AL76),1,0),0)</f>
        <v/>
      </c>
      <c r="AZ76" s="7">
        <f>IF(Y76=1,IF(ISNUMBER(AN76),AN76,0),0)</f>
        <v/>
      </c>
      <c r="BA76" s="7">
        <f>IF(Y76=1,IF(ISNUMBER(AN76),1,0),0)</f>
        <v/>
      </c>
      <c r="BB76" s="7">
        <f>IF(Y76=1,IF(ISNUMBER(T76),T76,0),0)</f>
        <v/>
      </c>
      <c r="BC76" s="7">
        <f>IF(Y76=1,IF(ISNUMBER(T76),1,0),0)</f>
        <v/>
      </c>
      <c r="BD76" s="7">
        <f>IF(Y76=1,AQ76+ROW()/1E9,-1E9)</f>
        <v/>
      </c>
      <c r="BE76" s="7">
        <f>IF(Y76=1,AQ76+ROW()/1E9,1E9)</f>
        <v/>
      </c>
    </row>
    <row r="77">
      <c r="A77" s="16" t="n"/>
      <c r="B77" s="8">
        <f>IF($A77="","",BDP($A77,B$3))</f>
        <v/>
      </c>
      <c r="C77" s="8">
        <f>IF($A77="","",BDP($A77,C$3))</f>
        <v/>
      </c>
      <c r="D77" s="28">
        <f>IF($A77="","",BDP($A77,D$3))</f>
        <v/>
      </c>
      <c r="E77" s="29">
        <f>IF($A77="","",BDP($A77,E$3))</f>
        <v/>
      </c>
      <c r="F77" s="17">
        <f>IF($A77="","",BDP($A77,F$3))</f>
        <v/>
      </c>
      <c r="G77" s="8">
        <f>IF($A77="","",BDP($A77,G$3))</f>
        <v/>
      </c>
      <c r="H77" s="8">
        <f>IF($A77="","",BDP($A77,H$3))</f>
        <v/>
      </c>
      <c r="I77" s="8">
        <f>IF($A77="","",BDP($A77,I$3))</f>
        <v/>
      </c>
      <c r="J77" s="8">
        <f>IF($A77="","",BDP($A77,J$3))</f>
        <v/>
      </c>
      <c r="K77" s="8">
        <f>IF($A77="","",BDP($A77,K$3))</f>
        <v/>
      </c>
      <c r="L77" s="28">
        <f>IF($A77="","",BDP($A77,L$3))</f>
        <v/>
      </c>
      <c r="M77" s="28">
        <f>IF($A77="","",BDP($A77,M$3))</f>
        <v/>
      </c>
      <c r="N77" s="30">
        <f>IF($A77="","",BDP($A77,N$3))</f>
        <v/>
      </c>
      <c r="O77" s="31">
        <f>IF($A77="","",BDP($A77,O$3))</f>
        <v/>
      </c>
      <c r="P77" s="30">
        <f>IF($A77="","",BDH($A77,$N$3,'參數'!$B$5,'參數'!$B$5,"Days=A","Fill=P","Dates=H"))</f>
        <v/>
      </c>
      <c r="Q77" s="30">
        <f>IF($A77="","",BDH($A77,$N$3,'參數'!$B$6,'參數'!$B$6,"Days=A","Fill=P","Dates=H"))</f>
        <v/>
      </c>
      <c r="R77" s="30">
        <f>IF($A77="","",BDH($A77,$N$3,'參數'!$B$7,'參數'!$B$7,"Days=A","Fill=P","Dates=H"))</f>
        <v/>
      </c>
      <c r="S77" s="32">
        <f>IF($A77="","",IFERROR(INDEX('發行人'!$A$5:$A$44,MATCH(B77,'發行人'!$D$5:$D$44,0)),"未對應"))</f>
        <v/>
      </c>
      <c r="T77" s="24">
        <f>IF($A77="","",IFERROR(INDEX('發行人'!$G$5:$G$44,MATCH(B77,'發行人'!$D$5:$D$44,0))+0,""))</f>
        <v/>
      </c>
      <c r="U77" s="18">
        <f>IF(ISNUMBER(E77),YEARFRAC('參數'!$B$4,E77),"")</f>
        <v/>
      </c>
      <c r="V77" s="8">
        <f>IF(U77="","",IF(U77&lt;3,"1-3y",IF(U77&lt;5,"3-5y",IF(U77&lt;7,"5-7y",IF(U77&lt;10,"7-10y","10y+")))))</f>
        <v/>
      </c>
      <c r="W77" s="30">
        <f>IF($A77="","",IFERROR(INDEX('參數'!$B$24:$B$45,MATCH(G77,'參數'!$A$24:$A$45,0)),""))</f>
        <v/>
      </c>
      <c r="X77" s="8">
        <f>IF($A77="","",IFERROR(INDEX('參數'!$C$24:$C$45,MATCH(G77,'參數'!$A$24:$A$45,0)),""))</f>
        <v/>
      </c>
      <c r="Y77" s="30">
        <f>IF(AND(ISNUMBER(N77),ISNUMBER(O77),ISNUMBER(U77)),IF(AND(O77&gt;0,X77&lt;&gt;""),1,0),0)</f>
        <v/>
      </c>
      <c r="Z77" s="17">
        <f>IF(Y77=1,O77*N77,"")</f>
        <v/>
      </c>
      <c r="AA77" s="33">
        <f>IF(Y77=1,IF(ISNUMBER(Q77),N77-Q77,""),"")</f>
        <v/>
      </c>
      <c r="AB77" s="33">
        <f>IF(Y77=1,IF(AND(ISNUMBER(P77),ISNUMBER(R77)),R77*5/12-O77*(P77-R77),""),"")</f>
        <v/>
      </c>
      <c r="AC77" s="30">
        <f>IF(Y77=1,COUNTIFS($X$5:$X$404,X77,$V$5:$V$404,V77,$Y$5:$Y$404,1),"")</f>
        <v/>
      </c>
      <c r="AD77" s="30">
        <f>IF(Y77=1,IFERROR(IF(AC77&gt;='參數'!$B$9,INDEX('分群統計'!$G$13:$K$16,MATCH(X77,'分群統計'!$A$13:$A$16,0),MATCH(V77,'分群統計'!$G$12:$K$12,0)),INDEX('分群統計'!$I$5:$I$8,MATCH(X77,'分群統計'!$A$5:$A$8,0))),""),"")</f>
        <v/>
      </c>
      <c r="AE77" s="18">
        <f>IF(Y77=1,IFERROR(IF(AC77&gt;='參數'!$B$9,INDEX('分群統計'!$L$13:$P$16,MATCH(X77,'分群統計'!$A$13:$A$16,0),MATCH(V77,'分群統計'!$L$12:$P$12,0)),INDEX('分群統計'!$J$5:$J$8,MATCH(X77,'分群統計'!$A$5:$A$8,0))),""),"")</f>
        <v/>
      </c>
      <c r="AF77" s="31">
        <f>IF(ISNUMBER(AE77),IF(AE77&gt;0,MAX(-3,MIN(3,(N77-AD77)/AE77)),0),"")</f>
        <v/>
      </c>
      <c r="AG77" s="30">
        <f>IF(Y77=1,COUNTIFS($B$5:$B$404,B77,$Y$5:$Y$404,1),"")</f>
        <v/>
      </c>
      <c r="AH77" s="30">
        <f>IF(Y77=1,IFERROR(IF(ISNUMBER(INDEX('分群統計'!$G$20:$G$59,MATCH(B77,'分群統計'!$A$20:$A$59,0))),INDEX('分群統計'!$H$20:$H$59,MATCH(B77,'分群統計'!$A$20:$A$59,0))+INDEX('分群統計'!$G$20:$G$59,MATCH(B77,'分群統計'!$A$20:$A$59,0))*AU77,""),""),"")</f>
        <v/>
      </c>
      <c r="AI77" s="34">
        <f>IF(ISNUMBER(AH77),N77-AH77,"")</f>
        <v/>
      </c>
      <c r="AJ77" s="30">
        <f>IF(Y77=1,IFERROR(IF(ISNUMBER(INDEX('分群統計'!$G$5:$G$8,MATCH(X77,'分群統計'!$A$5:$A$8,0))),INDEX('分群統計'!$H$5:$H$8,MATCH(X77,'分群統計'!$A$5:$A$8,0))+INDEX('分群統計'!$G$5:$G$8,MATCH(X77,'分群統計'!$A$5:$A$8,0))*AU77,""),""),"")</f>
        <v/>
      </c>
      <c r="AK77" s="34">
        <f>IF(ISNUMBER(AJ77),N77-AJ77,"")</f>
        <v/>
      </c>
      <c r="AL77" s="21">
        <f>IF(ISNUMBER(AJ77),IF(AJ77&gt;0,AK77/AJ77,""),"")</f>
        <v/>
      </c>
      <c r="AM77" s="31">
        <f>IF(AY77&lt;&gt;1,"",IFERROR(IF(INDEX('分群統計'!$K$5:$K$8,MATCH(X77,'分群統計'!$A$5:$A$8,0))&lt;3,"",IF(INDEX('分群統計'!$M$5:$M$8,MATCH(X77,'分群統計'!$A$5:$A$8,0))&gt;0,MAX(-3,MIN(3,(AX77-INDEX('分群統計'!$L$5:$L$8,MATCH(X77,'分群統計'!$A$5:$A$8,0)))/INDEX('分群統計'!$M$5:$M$8,MATCH(X77,'分群統計'!$A$5:$A$8,0)))),0)),""))</f>
        <v/>
      </c>
      <c r="AN77" s="31">
        <f>IF(ISNUMBER(AB77),IF(Z77&gt;0,AB77/Z77*100,""),"")</f>
        <v/>
      </c>
      <c r="AO77" s="31">
        <f>IF(BA77&lt;&gt;1,"",IFERROR(IF(INDEX('分群統計'!$N$5:$N$8,MATCH(X77,'分群統計'!$A$5:$A$8,0))&lt;3,"",IF(INDEX('分群統計'!$P$5:$P$8,MATCH(X77,'分群統計'!$A$5:$A$8,0))&gt;0,MAX(-3,MIN(3,(AZ77-INDEX('分群統計'!$O$5:$O$8,MATCH(X77,'分群統計'!$A$5:$A$8,0)))/INDEX('分群統計'!$P$5:$P$8,MATCH(X77,'分群統計'!$A$5:$A$8,0)))),0)),""))</f>
        <v/>
      </c>
      <c r="AP77" s="31">
        <f>IF(BC77&lt;&gt;1,"",IFERROR(IF(INDEX('分群統計'!$Q$5:$Q$8,MATCH(X77,'分群統計'!$A$5:$A$8,0))&lt;3,"",IF(INDEX('分群統計'!$S$5:$S$8,MATCH(X77,'分群統計'!$A$5:$A$8,0))&gt;0,MAX(-3,MIN(3,(BB77-INDEX('分群統計'!$R$5:$R$8,MATCH(X77,'分群統計'!$A$5:$A$8,0)))/INDEX('分群統計'!$S$5:$S$8,MATCH(X77,'分群統計'!$A$5:$A$8,0)))),0)),""))</f>
        <v/>
      </c>
      <c r="AQ77" s="31">
        <f>IF(Y77=1,(IF(ISNUMBER(AF77),AF77,0)*'參數'!$B$13+IF(ISNUMBER(AM77),AM77,0)*'參數'!$B$14+IF(ISNUMBER(AO77),AO77,0)*'參數'!$B$15+IF(ISNUMBER(AP77),AP77,0)*'參數'!$B$16)/('參數'!$B$13+'參數'!$B$14+'參數'!$B$15+'參數'!$B$16),"")</f>
        <v/>
      </c>
      <c r="AR77" s="35">
        <f>IF(Y77=1,(SUMPRODUCT(($X$5:$X$404=X77)*($Y$5:$Y$404=1)*($BD$5:$BD$404&gt;BD77))+1)/COUNTIFS($X$5:$X$404,X77,$Y$5:$Y$404,1),"")</f>
        <v/>
      </c>
      <c r="AS77" s="8">
        <f>IF(ISNUMBER(AR77),IF(AR77&lt;='參數'!$B$18,"加碼候選",IF(AR77&gt;'參數'!$B$19,"減碼候選","")),"")</f>
        <v/>
      </c>
      <c r="AT77" s="7">
        <f>IF(Y77=1,N77,0)</f>
        <v/>
      </c>
      <c r="AU77" s="7">
        <f>IF(Y77=1,LN(O77),0)</f>
        <v/>
      </c>
      <c r="AV77" s="36">
        <f>IF(Y77=1,IF(ISNUMBER(F77),F77,0),0)</f>
        <v/>
      </c>
      <c r="AW77" s="7">
        <f>IF(Y77=1,Z77,0)</f>
        <v/>
      </c>
      <c r="AX77" s="7">
        <f>IF(Y77=1,IF(ISNUMBER(AL77),AL77,0),0)</f>
        <v/>
      </c>
      <c r="AY77" s="7">
        <f>IF(Y77=1,IF(ISNUMBER(AL77),1,0),0)</f>
        <v/>
      </c>
      <c r="AZ77" s="7">
        <f>IF(Y77=1,IF(ISNUMBER(AN77),AN77,0),0)</f>
        <v/>
      </c>
      <c r="BA77" s="7">
        <f>IF(Y77=1,IF(ISNUMBER(AN77),1,0),0)</f>
        <v/>
      </c>
      <c r="BB77" s="7">
        <f>IF(Y77=1,IF(ISNUMBER(T77),T77,0),0)</f>
        <v/>
      </c>
      <c r="BC77" s="7">
        <f>IF(Y77=1,IF(ISNUMBER(T77),1,0),0)</f>
        <v/>
      </c>
      <c r="BD77" s="7">
        <f>IF(Y77=1,AQ77+ROW()/1E9,-1E9)</f>
        <v/>
      </c>
      <c r="BE77" s="7">
        <f>IF(Y77=1,AQ77+ROW()/1E9,1E9)</f>
        <v/>
      </c>
    </row>
    <row r="78">
      <c r="A78" s="16" t="n"/>
      <c r="B78" s="8">
        <f>IF($A78="","",BDP($A78,B$3))</f>
        <v/>
      </c>
      <c r="C78" s="8">
        <f>IF($A78="","",BDP($A78,C$3))</f>
        <v/>
      </c>
      <c r="D78" s="28">
        <f>IF($A78="","",BDP($A78,D$3))</f>
        <v/>
      </c>
      <c r="E78" s="29">
        <f>IF($A78="","",BDP($A78,E$3))</f>
        <v/>
      </c>
      <c r="F78" s="17">
        <f>IF($A78="","",BDP($A78,F$3))</f>
        <v/>
      </c>
      <c r="G78" s="8">
        <f>IF($A78="","",BDP($A78,G$3))</f>
        <v/>
      </c>
      <c r="H78" s="8">
        <f>IF($A78="","",BDP($A78,H$3))</f>
        <v/>
      </c>
      <c r="I78" s="8">
        <f>IF($A78="","",BDP($A78,I$3))</f>
        <v/>
      </c>
      <c r="J78" s="8">
        <f>IF($A78="","",BDP($A78,J$3))</f>
        <v/>
      </c>
      <c r="K78" s="8">
        <f>IF($A78="","",BDP($A78,K$3))</f>
        <v/>
      </c>
      <c r="L78" s="28">
        <f>IF($A78="","",BDP($A78,L$3))</f>
        <v/>
      </c>
      <c r="M78" s="28">
        <f>IF($A78="","",BDP($A78,M$3))</f>
        <v/>
      </c>
      <c r="N78" s="30">
        <f>IF($A78="","",BDP($A78,N$3))</f>
        <v/>
      </c>
      <c r="O78" s="31">
        <f>IF($A78="","",BDP($A78,O$3))</f>
        <v/>
      </c>
      <c r="P78" s="30">
        <f>IF($A78="","",BDH($A78,$N$3,'參數'!$B$5,'參數'!$B$5,"Days=A","Fill=P","Dates=H"))</f>
        <v/>
      </c>
      <c r="Q78" s="30">
        <f>IF($A78="","",BDH($A78,$N$3,'參數'!$B$6,'參數'!$B$6,"Days=A","Fill=P","Dates=H"))</f>
        <v/>
      </c>
      <c r="R78" s="30">
        <f>IF($A78="","",BDH($A78,$N$3,'參數'!$B$7,'參數'!$B$7,"Days=A","Fill=P","Dates=H"))</f>
        <v/>
      </c>
      <c r="S78" s="32">
        <f>IF($A78="","",IFERROR(INDEX('發行人'!$A$5:$A$44,MATCH(B78,'發行人'!$D$5:$D$44,0)),"未對應"))</f>
        <v/>
      </c>
      <c r="T78" s="24">
        <f>IF($A78="","",IFERROR(INDEX('發行人'!$G$5:$G$44,MATCH(B78,'發行人'!$D$5:$D$44,0))+0,""))</f>
        <v/>
      </c>
      <c r="U78" s="18">
        <f>IF(ISNUMBER(E78),YEARFRAC('參數'!$B$4,E78),"")</f>
        <v/>
      </c>
      <c r="V78" s="8">
        <f>IF(U78="","",IF(U78&lt;3,"1-3y",IF(U78&lt;5,"3-5y",IF(U78&lt;7,"5-7y",IF(U78&lt;10,"7-10y","10y+")))))</f>
        <v/>
      </c>
      <c r="W78" s="30">
        <f>IF($A78="","",IFERROR(INDEX('參數'!$B$24:$B$45,MATCH(G78,'參數'!$A$24:$A$45,0)),""))</f>
        <v/>
      </c>
      <c r="X78" s="8">
        <f>IF($A78="","",IFERROR(INDEX('參數'!$C$24:$C$45,MATCH(G78,'參數'!$A$24:$A$45,0)),""))</f>
        <v/>
      </c>
      <c r="Y78" s="30">
        <f>IF(AND(ISNUMBER(N78),ISNUMBER(O78),ISNUMBER(U78)),IF(AND(O78&gt;0,X78&lt;&gt;""),1,0),0)</f>
        <v/>
      </c>
      <c r="Z78" s="17">
        <f>IF(Y78=1,O78*N78,"")</f>
        <v/>
      </c>
      <c r="AA78" s="33">
        <f>IF(Y78=1,IF(ISNUMBER(Q78),N78-Q78,""),"")</f>
        <v/>
      </c>
      <c r="AB78" s="33">
        <f>IF(Y78=1,IF(AND(ISNUMBER(P78),ISNUMBER(R78)),R78*5/12-O78*(P78-R78),""),"")</f>
        <v/>
      </c>
      <c r="AC78" s="30">
        <f>IF(Y78=1,COUNTIFS($X$5:$X$404,X78,$V$5:$V$404,V78,$Y$5:$Y$404,1),"")</f>
        <v/>
      </c>
      <c r="AD78" s="30">
        <f>IF(Y78=1,IFERROR(IF(AC78&gt;='參數'!$B$9,INDEX('分群統計'!$G$13:$K$16,MATCH(X78,'分群統計'!$A$13:$A$16,0),MATCH(V78,'分群統計'!$G$12:$K$12,0)),INDEX('分群統計'!$I$5:$I$8,MATCH(X78,'分群統計'!$A$5:$A$8,0))),""),"")</f>
        <v/>
      </c>
      <c r="AE78" s="18">
        <f>IF(Y78=1,IFERROR(IF(AC78&gt;='參數'!$B$9,INDEX('分群統計'!$L$13:$P$16,MATCH(X78,'分群統計'!$A$13:$A$16,0),MATCH(V78,'分群統計'!$L$12:$P$12,0)),INDEX('分群統計'!$J$5:$J$8,MATCH(X78,'分群統計'!$A$5:$A$8,0))),""),"")</f>
        <v/>
      </c>
      <c r="AF78" s="31">
        <f>IF(ISNUMBER(AE78),IF(AE78&gt;0,MAX(-3,MIN(3,(N78-AD78)/AE78)),0),"")</f>
        <v/>
      </c>
      <c r="AG78" s="30">
        <f>IF(Y78=1,COUNTIFS($B$5:$B$404,B78,$Y$5:$Y$404,1),"")</f>
        <v/>
      </c>
      <c r="AH78" s="30">
        <f>IF(Y78=1,IFERROR(IF(ISNUMBER(INDEX('分群統計'!$G$20:$G$59,MATCH(B78,'分群統計'!$A$20:$A$59,0))),INDEX('分群統計'!$H$20:$H$59,MATCH(B78,'分群統計'!$A$20:$A$59,0))+INDEX('分群統計'!$G$20:$G$59,MATCH(B78,'分群統計'!$A$20:$A$59,0))*AU78,""),""),"")</f>
        <v/>
      </c>
      <c r="AI78" s="34">
        <f>IF(ISNUMBER(AH78),N78-AH78,"")</f>
        <v/>
      </c>
      <c r="AJ78" s="30">
        <f>IF(Y78=1,IFERROR(IF(ISNUMBER(INDEX('分群統計'!$G$5:$G$8,MATCH(X78,'分群統計'!$A$5:$A$8,0))),INDEX('分群統計'!$H$5:$H$8,MATCH(X78,'分群統計'!$A$5:$A$8,0))+INDEX('分群統計'!$G$5:$G$8,MATCH(X78,'分群統計'!$A$5:$A$8,0))*AU78,""),""),"")</f>
        <v/>
      </c>
      <c r="AK78" s="34">
        <f>IF(ISNUMBER(AJ78),N78-AJ78,"")</f>
        <v/>
      </c>
      <c r="AL78" s="21">
        <f>IF(ISNUMBER(AJ78),IF(AJ78&gt;0,AK78/AJ78,""),"")</f>
        <v/>
      </c>
      <c r="AM78" s="31">
        <f>IF(AY78&lt;&gt;1,"",IFERROR(IF(INDEX('分群統計'!$K$5:$K$8,MATCH(X78,'分群統計'!$A$5:$A$8,0))&lt;3,"",IF(INDEX('分群統計'!$M$5:$M$8,MATCH(X78,'分群統計'!$A$5:$A$8,0))&gt;0,MAX(-3,MIN(3,(AX78-INDEX('分群統計'!$L$5:$L$8,MATCH(X78,'分群統計'!$A$5:$A$8,0)))/INDEX('分群統計'!$M$5:$M$8,MATCH(X78,'分群統計'!$A$5:$A$8,0)))),0)),""))</f>
        <v/>
      </c>
      <c r="AN78" s="31">
        <f>IF(ISNUMBER(AB78),IF(Z78&gt;0,AB78/Z78*100,""),"")</f>
        <v/>
      </c>
      <c r="AO78" s="31">
        <f>IF(BA78&lt;&gt;1,"",IFERROR(IF(INDEX('分群統計'!$N$5:$N$8,MATCH(X78,'分群統計'!$A$5:$A$8,0))&lt;3,"",IF(INDEX('分群統計'!$P$5:$P$8,MATCH(X78,'分群統計'!$A$5:$A$8,0))&gt;0,MAX(-3,MIN(3,(AZ78-INDEX('分群統計'!$O$5:$O$8,MATCH(X78,'分群統計'!$A$5:$A$8,0)))/INDEX('分群統計'!$P$5:$P$8,MATCH(X78,'分群統計'!$A$5:$A$8,0)))),0)),""))</f>
        <v/>
      </c>
      <c r="AP78" s="31">
        <f>IF(BC78&lt;&gt;1,"",IFERROR(IF(INDEX('分群統計'!$Q$5:$Q$8,MATCH(X78,'分群統計'!$A$5:$A$8,0))&lt;3,"",IF(INDEX('分群統計'!$S$5:$S$8,MATCH(X78,'分群統計'!$A$5:$A$8,0))&gt;0,MAX(-3,MIN(3,(BB78-INDEX('分群統計'!$R$5:$R$8,MATCH(X78,'分群統計'!$A$5:$A$8,0)))/INDEX('分群統計'!$S$5:$S$8,MATCH(X78,'分群統計'!$A$5:$A$8,0)))),0)),""))</f>
        <v/>
      </c>
      <c r="AQ78" s="31">
        <f>IF(Y78=1,(IF(ISNUMBER(AF78),AF78,0)*'參數'!$B$13+IF(ISNUMBER(AM78),AM78,0)*'參數'!$B$14+IF(ISNUMBER(AO78),AO78,0)*'參數'!$B$15+IF(ISNUMBER(AP78),AP78,0)*'參數'!$B$16)/('參數'!$B$13+'參數'!$B$14+'參數'!$B$15+'參數'!$B$16),"")</f>
        <v/>
      </c>
      <c r="AR78" s="35">
        <f>IF(Y78=1,(SUMPRODUCT(($X$5:$X$404=X78)*($Y$5:$Y$404=1)*($BD$5:$BD$404&gt;BD78))+1)/COUNTIFS($X$5:$X$404,X78,$Y$5:$Y$404,1),"")</f>
        <v/>
      </c>
      <c r="AS78" s="8">
        <f>IF(ISNUMBER(AR78),IF(AR78&lt;='參數'!$B$18,"加碼候選",IF(AR78&gt;'參數'!$B$19,"減碼候選","")),"")</f>
        <v/>
      </c>
      <c r="AT78" s="7">
        <f>IF(Y78=1,N78,0)</f>
        <v/>
      </c>
      <c r="AU78" s="7">
        <f>IF(Y78=1,LN(O78),0)</f>
        <v/>
      </c>
      <c r="AV78" s="36">
        <f>IF(Y78=1,IF(ISNUMBER(F78),F78,0),0)</f>
        <v/>
      </c>
      <c r="AW78" s="7">
        <f>IF(Y78=1,Z78,0)</f>
        <v/>
      </c>
      <c r="AX78" s="7">
        <f>IF(Y78=1,IF(ISNUMBER(AL78),AL78,0),0)</f>
        <v/>
      </c>
      <c r="AY78" s="7">
        <f>IF(Y78=1,IF(ISNUMBER(AL78),1,0),0)</f>
        <v/>
      </c>
      <c r="AZ78" s="7">
        <f>IF(Y78=1,IF(ISNUMBER(AN78),AN78,0),0)</f>
        <v/>
      </c>
      <c r="BA78" s="7">
        <f>IF(Y78=1,IF(ISNUMBER(AN78),1,0),0)</f>
        <v/>
      </c>
      <c r="BB78" s="7">
        <f>IF(Y78=1,IF(ISNUMBER(T78),T78,0),0)</f>
        <v/>
      </c>
      <c r="BC78" s="7">
        <f>IF(Y78=1,IF(ISNUMBER(T78),1,0),0)</f>
        <v/>
      </c>
      <c r="BD78" s="7">
        <f>IF(Y78=1,AQ78+ROW()/1E9,-1E9)</f>
        <v/>
      </c>
      <c r="BE78" s="7">
        <f>IF(Y78=1,AQ78+ROW()/1E9,1E9)</f>
        <v/>
      </c>
    </row>
    <row r="79">
      <c r="A79" s="16" t="n"/>
      <c r="B79" s="8">
        <f>IF($A79="","",BDP($A79,B$3))</f>
        <v/>
      </c>
      <c r="C79" s="8">
        <f>IF($A79="","",BDP($A79,C$3))</f>
        <v/>
      </c>
      <c r="D79" s="28">
        <f>IF($A79="","",BDP($A79,D$3))</f>
        <v/>
      </c>
      <c r="E79" s="29">
        <f>IF($A79="","",BDP($A79,E$3))</f>
        <v/>
      </c>
      <c r="F79" s="17">
        <f>IF($A79="","",BDP($A79,F$3))</f>
        <v/>
      </c>
      <c r="G79" s="8">
        <f>IF($A79="","",BDP($A79,G$3))</f>
        <v/>
      </c>
      <c r="H79" s="8">
        <f>IF($A79="","",BDP($A79,H$3))</f>
        <v/>
      </c>
      <c r="I79" s="8">
        <f>IF($A79="","",BDP($A79,I$3))</f>
        <v/>
      </c>
      <c r="J79" s="8">
        <f>IF($A79="","",BDP($A79,J$3))</f>
        <v/>
      </c>
      <c r="K79" s="8">
        <f>IF($A79="","",BDP($A79,K$3))</f>
        <v/>
      </c>
      <c r="L79" s="28">
        <f>IF($A79="","",BDP($A79,L$3))</f>
        <v/>
      </c>
      <c r="M79" s="28">
        <f>IF($A79="","",BDP($A79,M$3))</f>
        <v/>
      </c>
      <c r="N79" s="30">
        <f>IF($A79="","",BDP($A79,N$3))</f>
        <v/>
      </c>
      <c r="O79" s="31">
        <f>IF($A79="","",BDP($A79,O$3))</f>
        <v/>
      </c>
      <c r="P79" s="30">
        <f>IF($A79="","",BDH($A79,$N$3,'參數'!$B$5,'參數'!$B$5,"Days=A","Fill=P","Dates=H"))</f>
        <v/>
      </c>
      <c r="Q79" s="30">
        <f>IF($A79="","",BDH($A79,$N$3,'參數'!$B$6,'參數'!$B$6,"Days=A","Fill=P","Dates=H"))</f>
        <v/>
      </c>
      <c r="R79" s="30">
        <f>IF($A79="","",BDH($A79,$N$3,'參數'!$B$7,'參數'!$B$7,"Days=A","Fill=P","Dates=H"))</f>
        <v/>
      </c>
      <c r="S79" s="32">
        <f>IF($A79="","",IFERROR(INDEX('發行人'!$A$5:$A$44,MATCH(B79,'發行人'!$D$5:$D$44,0)),"未對應"))</f>
        <v/>
      </c>
      <c r="T79" s="24">
        <f>IF($A79="","",IFERROR(INDEX('發行人'!$G$5:$G$44,MATCH(B79,'發行人'!$D$5:$D$44,0))+0,""))</f>
        <v/>
      </c>
      <c r="U79" s="18">
        <f>IF(ISNUMBER(E79),YEARFRAC('參數'!$B$4,E79),"")</f>
        <v/>
      </c>
      <c r="V79" s="8">
        <f>IF(U79="","",IF(U79&lt;3,"1-3y",IF(U79&lt;5,"3-5y",IF(U79&lt;7,"5-7y",IF(U79&lt;10,"7-10y","10y+")))))</f>
        <v/>
      </c>
      <c r="W79" s="30">
        <f>IF($A79="","",IFERROR(INDEX('參數'!$B$24:$B$45,MATCH(G79,'參數'!$A$24:$A$45,0)),""))</f>
        <v/>
      </c>
      <c r="X79" s="8">
        <f>IF($A79="","",IFERROR(INDEX('參數'!$C$24:$C$45,MATCH(G79,'參數'!$A$24:$A$45,0)),""))</f>
        <v/>
      </c>
      <c r="Y79" s="30">
        <f>IF(AND(ISNUMBER(N79),ISNUMBER(O79),ISNUMBER(U79)),IF(AND(O79&gt;0,X79&lt;&gt;""),1,0),0)</f>
        <v/>
      </c>
      <c r="Z79" s="17">
        <f>IF(Y79=1,O79*N79,"")</f>
        <v/>
      </c>
      <c r="AA79" s="33">
        <f>IF(Y79=1,IF(ISNUMBER(Q79),N79-Q79,""),"")</f>
        <v/>
      </c>
      <c r="AB79" s="33">
        <f>IF(Y79=1,IF(AND(ISNUMBER(P79),ISNUMBER(R79)),R79*5/12-O79*(P79-R79),""),"")</f>
        <v/>
      </c>
      <c r="AC79" s="30">
        <f>IF(Y79=1,COUNTIFS($X$5:$X$404,X79,$V$5:$V$404,V79,$Y$5:$Y$404,1),"")</f>
        <v/>
      </c>
      <c r="AD79" s="30">
        <f>IF(Y79=1,IFERROR(IF(AC79&gt;='參數'!$B$9,INDEX('分群統計'!$G$13:$K$16,MATCH(X79,'分群統計'!$A$13:$A$16,0),MATCH(V79,'分群統計'!$G$12:$K$12,0)),INDEX('分群統計'!$I$5:$I$8,MATCH(X79,'分群統計'!$A$5:$A$8,0))),""),"")</f>
        <v/>
      </c>
      <c r="AE79" s="18">
        <f>IF(Y79=1,IFERROR(IF(AC79&gt;='參數'!$B$9,INDEX('分群統計'!$L$13:$P$16,MATCH(X79,'分群統計'!$A$13:$A$16,0),MATCH(V79,'分群統計'!$L$12:$P$12,0)),INDEX('分群統計'!$J$5:$J$8,MATCH(X79,'分群統計'!$A$5:$A$8,0))),""),"")</f>
        <v/>
      </c>
      <c r="AF79" s="31">
        <f>IF(ISNUMBER(AE79),IF(AE79&gt;0,MAX(-3,MIN(3,(N79-AD79)/AE79)),0),"")</f>
        <v/>
      </c>
      <c r="AG79" s="30">
        <f>IF(Y79=1,COUNTIFS($B$5:$B$404,B79,$Y$5:$Y$404,1),"")</f>
        <v/>
      </c>
      <c r="AH79" s="30">
        <f>IF(Y79=1,IFERROR(IF(ISNUMBER(INDEX('分群統計'!$G$20:$G$59,MATCH(B79,'分群統計'!$A$20:$A$59,0))),INDEX('分群統計'!$H$20:$H$59,MATCH(B79,'分群統計'!$A$20:$A$59,0))+INDEX('分群統計'!$G$20:$G$59,MATCH(B79,'分群統計'!$A$20:$A$59,0))*AU79,""),""),"")</f>
        <v/>
      </c>
      <c r="AI79" s="34">
        <f>IF(ISNUMBER(AH79),N79-AH79,"")</f>
        <v/>
      </c>
      <c r="AJ79" s="30">
        <f>IF(Y79=1,IFERROR(IF(ISNUMBER(INDEX('分群統計'!$G$5:$G$8,MATCH(X79,'分群統計'!$A$5:$A$8,0))),INDEX('分群統計'!$H$5:$H$8,MATCH(X79,'分群統計'!$A$5:$A$8,0))+INDEX('分群統計'!$G$5:$G$8,MATCH(X79,'分群統計'!$A$5:$A$8,0))*AU79,""),""),"")</f>
        <v/>
      </c>
      <c r="AK79" s="34">
        <f>IF(ISNUMBER(AJ79),N79-AJ79,"")</f>
        <v/>
      </c>
      <c r="AL79" s="21">
        <f>IF(ISNUMBER(AJ79),IF(AJ79&gt;0,AK79/AJ79,""),"")</f>
        <v/>
      </c>
      <c r="AM79" s="31">
        <f>IF(AY79&lt;&gt;1,"",IFERROR(IF(INDEX('分群統計'!$K$5:$K$8,MATCH(X79,'分群統計'!$A$5:$A$8,0))&lt;3,"",IF(INDEX('分群統計'!$M$5:$M$8,MATCH(X79,'分群統計'!$A$5:$A$8,0))&gt;0,MAX(-3,MIN(3,(AX79-INDEX('分群統計'!$L$5:$L$8,MATCH(X79,'分群統計'!$A$5:$A$8,0)))/INDEX('分群統計'!$M$5:$M$8,MATCH(X79,'分群統計'!$A$5:$A$8,0)))),0)),""))</f>
        <v/>
      </c>
      <c r="AN79" s="31">
        <f>IF(ISNUMBER(AB79),IF(Z79&gt;0,AB79/Z79*100,""),"")</f>
        <v/>
      </c>
      <c r="AO79" s="31">
        <f>IF(BA79&lt;&gt;1,"",IFERROR(IF(INDEX('分群統計'!$N$5:$N$8,MATCH(X79,'分群統計'!$A$5:$A$8,0))&lt;3,"",IF(INDEX('分群統計'!$P$5:$P$8,MATCH(X79,'分群統計'!$A$5:$A$8,0))&gt;0,MAX(-3,MIN(3,(AZ79-INDEX('分群統計'!$O$5:$O$8,MATCH(X79,'分群統計'!$A$5:$A$8,0)))/INDEX('分群統計'!$P$5:$P$8,MATCH(X79,'分群統計'!$A$5:$A$8,0)))),0)),""))</f>
        <v/>
      </c>
      <c r="AP79" s="31">
        <f>IF(BC79&lt;&gt;1,"",IFERROR(IF(INDEX('分群統計'!$Q$5:$Q$8,MATCH(X79,'分群統計'!$A$5:$A$8,0))&lt;3,"",IF(INDEX('分群統計'!$S$5:$S$8,MATCH(X79,'分群統計'!$A$5:$A$8,0))&gt;0,MAX(-3,MIN(3,(BB79-INDEX('分群統計'!$R$5:$R$8,MATCH(X79,'分群統計'!$A$5:$A$8,0)))/INDEX('分群統計'!$S$5:$S$8,MATCH(X79,'分群統計'!$A$5:$A$8,0)))),0)),""))</f>
        <v/>
      </c>
      <c r="AQ79" s="31">
        <f>IF(Y79=1,(IF(ISNUMBER(AF79),AF79,0)*'參數'!$B$13+IF(ISNUMBER(AM79),AM79,0)*'參數'!$B$14+IF(ISNUMBER(AO79),AO79,0)*'參數'!$B$15+IF(ISNUMBER(AP79),AP79,0)*'參數'!$B$16)/('參數'!$B$13+'參數'!$B$14+'參數'!$B$15+'參數'!$B$16),"")</f>
        <v/>
      </c>
      <c r="AR79" s="35">
        <f>IF(Y79=1,(SUMPRODUCT(($X$5:$X$404=X79)*($Y$5:$Y$404=1)*($BD$5:$BD$404&gt;BD79))+1)/COUNTIFS($X$5:$X$404,X79,$Y$5:$Y$404,1),"")</f>
        <v/>
      </c>
      <c r="AS79" s="8">
        <f>IF(ISNUMBER(AR79),IF(AR79&lt;='參數'!$B$18,"加碼候選",IF(AR79&gt;'參數'!$B$19,"減碼候選","")),"")</f>
        <v/>
      </c>
      <c r="AT79" s="7">
        <f>IF(Y79=1,N79,0)</f>
        <v/>
      </c>
      <c r="AU79" s="7">
        <f>IF(Y79=1,LN(O79),0)</f>
        <v/>
      </c>
      <c r="AV79" s="36">
        <f>IF(Y79=1,IF(ISNUMBER(F79),F79,0),0)</f>
        <v/>
      </c>
      <c r="AW79" s="7">
        <f>IF(Y79=1,Z79,0)</f>
        <v/>
      </c>
      <c r="AX79" s="7">
        <f>IF(Y79=1,IF(ISNUMBER(AL79),AL79,0),0)</f>
        <v/>
      </c>
      <c r="AY79" s="7">
        <f>IF(Y79=1,IF(ISNUMBER(AL79),1,0),0)</f>
        <v/>
      </c>
      <c r="AZ79" s="7">
        <f>IF(Y79=1,IF(ISNUMBER(AN79),AN79,0),0)</f>
        <v/>
      </c>
      <c r="BA79" s="7">
        <f>IF(Y79=1,IF(ISNUMBER(AN79),1,0),0)</f>
        <v/>
      </c>
      <c r="BB79" s="7">
        <f>IF(Y79=1,IF(ISNUMBER(T79),T79,0),0)</f>
        <v/>
      </c>
      <c r="BC79" s="7">
        <f>IF(Y79=1,IF(ISNUMBER(T79),1,0),0)</f>
        <v/>
      </c>
      <c r="BD79" s="7">
        <f>IF(Y79=1,AQ79+ROW()/1E9,-1E9)</f>
        <v/>
      </c>
      <c r="BE79" s="7">
        <f>IF(Y79=1,AQ79+ROW()/1E9,1E9)</f>
        <v/>
      </c>
    </row>
    <row r="80">
      <c r="A80" s="16" t="n"/>
      <c r="B80" s="8">
        <f>IF($A80="","",BDP($A80,B$3))</f>
        <v/>
      </c>
      <c r="C80" s="8">
        <f>IF($A80="","",BDP($A80,C$3))</f>
        <v/>
      </c>
      <c r="D80" s="28">
        <f>IF($A80="","",BDP($A80,D$3))</f>
        <v/>
      </c>
      <c r="E80" s="29">
        <f>IF($A80="","",BDP($A80,E$3))</f>
        <v/>
      </c>
      <c r="F80" s="17">
        <f>IF($A80="","",BDP($A80,F$3))</f>
        <v/>
      </c>
      <c r="G80" s="8">
        <f>IF($A80="","",BDP($A80,G$3))</f>
        <v/>
      </c>
      <c r="H80" s="8">
        <f>IF($A80="","",BDP($A80,H$3))</f>
        <v/>
      </c>
      <c r="I80" s="8">
        <f>IF($A80="","",BDP($A80,I$3))</f>
        <v/>
      </c>
      <c r="J80" s="8">
        <f>IF($A80="","",BDP($A80,J$3))</f>
        <v/>
      </c>
      <c r="K80" s="8">
        <f>IF($A80="","",BDP($A80,K$3))</f>
        <v/>
      </c>
      <c r="L80" s="28">
        <f>IF($A80="","",BDP($A80,L$3))</f>
        <v/>
      </c>
      <c r="M80" s="28">
        <f>IF($A80="","",BDP($A80,M$3))</f>
        <v/>
      </c>
      <c r="N80" s="30">
        <f>IF($A80="","",BDP($A80,N$3))</f>
        <v/>
      </c>
      <c r="O80" s="31">
        <f>IF($A80="","",BDP($A80,O$3))</f>
        <v/>
      </c>
      <c r="P80" s="30">
        <f>IF($A80="","",BDH($A80,$N$3,'參數'!$B$5,'參數'!$B$5,"Days=A","Fill=P","Dates=H"))</f>
        <v/>
      </c>
      <c r="Q80" s="30">
        <f>IF($A80="","",BDH($A80,$N$3,'參數'!$B$6,'參數'!$B$6,"Days=A","Fill=P","Dates=H"))</f>
        <v/>
      </c>
      <c r="R80" s="30">
        <f>IF($A80="","",BDH($A80,$N$3,'參數'!$B$7,'參數'!$B$7,"Days=A","Fill=P","Dates=H"))</f>
        <v/>
      </c>
      <c r="S80" s="32">
        <f>IF($A80="","",IFERROR(INDEX('發行人'!$A$5:$A$44,MATCH(B80,'發行人'!$D$5:$D$44,0)),"未對應"))</f>
        <v/>
      </c>
      <c r="T80" s="24">
        <f>IF($A80="","",IFERROR(INDEX('發行人'!$G$5:$G$44,MATCH(B80,'發行人'!$D$5:$D$44,0))+0,""))</f>
        <v/>
      </c>
      <c r="U80" s="18">
        <f>IF(ISNUMBER(E80),YEARFRAC('參數'!$B$4,E80),"")</f>
        <v/>
      </c>
      <c r="V80" s="8">
        <f>IF(U80="","",IF(U80&lt;3,"1-3y",IF(U80&lt;5,"3-5y",IF(U80&lt;7,"5-7y",IF(U80&lt;10,"7-10y","10y+")))))</f>
        <v/>
      </c>
      <c r="W80" s="30">
        <f>IF($A80="","",IFERROR(INDEX('參數'!$B$24:$B$45,MATCH(G80,'參數'!$A$24:$A$45,0)),""))</f>
        <v/>
      </c>
      <c r="X80" s="8">
        <f>IF($A80="","",IFERROR(INDEX('參數'!$C$24:$C$45,MATCH(G80,'參數'!$A$24:$A$45,0)),""))</f>
        <v/>
      </c>
      <c r="Y80" s="30">
        <f>IF(AND(ISNUMBER(N80),ISNUMBER(O80),ISNUMBER(U80)),IF(AND(O80&gt;0,X80&lt;&gt;""),1,0),0)</f>
        <v/>
      </c>
      <c r="Z80" s="17">
        <f>IF(Y80=1,O80*N80,"")</f>
        <v/>
      </c>
      <c r="AA80" s="33">
        <f>IF(Y80=1,IF(ISNUMBER(Q80),N80-Q80,""),"")</f>
        <v/>
      </c>
      <c r="AB80" s="33">
        <f>IF(Y80=1,IF(AND(ISNUMBER(P80),ISNUMBER(R80)),R80*5/12-O80*(P80-R80),""),"")</f>
        <v/>
      </c>
      <c r="AC80" s="30">
        <f>IF(Y80=1,COUNTIFS($X$5:$X$404,X80,$V$5:$V$404,V80,$Y$5:$Y$404,1),"")</f>
        <v/>
      </c>
      <c r="AD80" s="30">
        <f>IF(Y80=1,IFERROR(IF(AC80&gt;='參數'!$B$9,INDEX('分群統計'!$G$13:$K$16,MATCH(X80,'分群統計'!$A$13:$A$16,0),MATCH(V80,'分群統計'!$G$12:$K$12,0)),INDEX('分群統計'!$I$5:$I$8,MATCH(X80,'分群統計'!$A$5:$A$8,0))),""),"")</f>
        <v/>
      </c>
      <c r="AE80" s="18">
        <f>IF(Y80=1,IFERROR(IF(AC80&gt;='參數'!$B$9,INDEX('分群統計'!$L$13:$P$16,MATCH(X80,'分群統計'!$A$13:$A$16,0),MATCH(V80,'分群統計'!$L$12:$P$12,0)),INDEX('分群統計'!$J$5:$J$8,MATCH(X80,'分群統計'!$A$5:$A$8,0))),""),"")</f>
        <v/>
      </c>
      <c r="AF80" s="31">
        <f>IF(ISNUMBER(AE80),IF(AE80&gt;0,MAX(-3,MIN(3,(N80-AD80)/AE80)),0),"")</f>
        <v/>
      </c>
      <c r="AG80" s="30">
        <f>IF(Y80=1,COUNTIFS($B$5:$B$404,B80,$Y$5:$Y$404,1),"")</f>
        <v/>
      </c>
      <c r="AH80" s="30">
        <f>IF(Y80=1,IFERROR(IF(ISNUMBER(INDEX('分群統計'!$G$20:$G$59,MATCH(B80,'分群統計'!$A$20:$A$59,0))),INDEX('分群統計'!$H$20:$H$59,MATCH(B80,'分群統計'!$A$20:$A$59,0))+INDEX('分群統計'!$G$20:$G$59,MATCH(B80,'分群統計'!$A$20:$A$59,0))*AU80,""),""),"")</f>
        <v/>
      </c>
      <c r="AI80" s="34">
        <f>IF(ISNUMBER(AH80),N80-AH80,"")</f>
        <v/>
      </c>
      <c r="AJ80" s="30">
        <f>IF(Y80=1,IFERROR(IF(ISNUMBER(INDEX('分群統計'!$G$5:$G$8,MATCH(X80,'分群統計'!$A$5:$A$8,0))),INDEX('分群統計'!$H$5:$H$8,MATCH(X80,'分群統計'!$A$5:$A$8,0))+INDEX('分群統計'!$G$5:$G$8,MATCH(X80,'分群統計'!$A$5:$A$8,0))*AU80,""),""),"")</f>
        <v/>
      </c>
      <c r="AK80" s="34">
        <f>IF(ISNUMBER(AJ80),N80-AJ80,"")</f>
        <v/>
      </c>
      <c r="AL80" s="21">
        <f>IF(ISNUMBER(AJ80),IF(AJ80&gt;0,AK80/AJ80,""),"")</f>
        <v/>
      </c>
      <c r="AM80" s="31">
        <f>IF(AY80&lt;&gt;1,"",IFERROR(IF(INDEX('分群統計'!$K$5:$K$8,MATCH(X80,'分群統計'!$A$5:$A$8,0))&lt;3,"",IF(INDEX('分群統計'!$M$5:$M$8,MATCH(X80,'分群統計'!$A$5:$A$8,0))&gt;0,MAX(-3,MIN(3,(AX80-INDEX('分群統計'!$L$5:$L$8,MATCH(X80,'分群統計'!$A$5:$A$8,0)))/INDEX('分群統計'!$M$5:$M$8,MATCH(X80,'分群統計'!$A$5:$A$8,0)))),0)),""))</f>
        <v/>
      </c>
      <c r="AN80" s="31">
        <f>IF(ISNUMBER(AB80),IF(Z80&gt;0,AB80/Z80*100,""),"")</f>
        <v/>
      </c>
      <c r="AO80" s="31">
        <f>IF(BA80&lt;&gt;1,"",IFERROR(IF(INDEX('分群統計'!$N$5:$N$8,MATCH(X80,'分群統計'!$A$5:$A$8,0))&lt;3,"",IF(INDEX('分群統計'!$P$5:$P$8,MATCH(X80,'分群統計'!$A$5:$A$8,0))&gt;0,MAX(-3,MIN(3,(AZ80-INDEX('分群統計'!$O$5:$O$8,MATCH(X80,'分群統計'!$A$5:$A$8,0)))/INDEX('分群統計'!$P$5:$P$8,MATCH(X80,'分群統計'!$A$5:$A$8,0)))),0)),""))</f>
        <v/>
      </c>
      <c r="AP80" s="31">
        <f>IF(BC80&lt;&gt;1,"",IFERROR(IF(INDEX('分群統計'!$Q$5:$Q$8,MATCH(X80,'分群統計'!$A$5:$A$8,0))&lt;3,"",IF(INDEX('分群統計'!$S$5:$S$8,MATCH(X80,'分群統計'!$A$5:$A$8,0))&gt;0,MAX(-3,MIN(3,(BB80-INDEX('分群統計'!$R$5:$R$8,MATCH(X80,'分群統計'!$A$5:$A$8,0)))/INDEX('分群統計'!$S$5:$S$8,MATCH(X80,'分群統計'!$A$5:$A$8,0)))),0)),""))</f>
        <v/>
      </c>
      <c r="AQ80" s="31">
        <f>IF(Y80=1,(IF(ISNUMBER(AF80),AF80,0)*'參數'!$B$13+IF(ISNUMBER(AM80),AM80,0)*'參數'!$B$14+IF(ISNUMBER(AO80),AO80,0)*'參數'!$B$15+IF(ISNUMBER(AP80),AP80,0)*'參數'!$B$16)/('參數'!$B$13+'參數'!$B$14+'參數'!$B$15+'參數'!$B$16),"")</f>
        <v/>
      </c>
      <c r="AR80" s="35">
        <f>IF(Y80=1,(SUMPRODUCT(($X$5:$X$404=X80)*($Y$5:$Y$404=1)*($BD$5:$BD$404&gt;BD80))+1)/COUNTIFS($X$5:$X$404,X80,$Y$5:$Y$404,1),"")</f>
        <v/>
      </c>
      <c r="AS80" s="8">
        <f>IF(ISNUMBER(AR80),IF(AR80&lt;='參數'!$B$18,"加碼候選",IF(AR80&gt;'參數'!$B$19,"減碼候選","")),"")</f>
        <v/>
      </c>
      <c r="AT80" s="7">
        <f>IF(Y80=1,N80,0)</f>
        <v/>
      </c>
      <c r="AU80" s="7">
        <f>IF(Y80=1,LN(O80),0)</f>
        <v/>
      </c>
      <c r="AV80" s="36">
        <f>IF(Y80=1,IF(ISNUMBER(F80),F80,0),0)</f>
        <v/>
      </c>
      <c r="AW80" s="7">
        <f>IF(Y80=1,Z80,0)</f>
        <v/>
      </c>
      <c r="AX80" s="7">
        <f>IF(Y80=1,IF(ISNUMBER(AL80),AL80,0),0)</f>
        <v/>
      </c>
      <c r="AY80" s="7">
        <f>IF(Y80=1,IF(ISNUMBER(AL80),1,0),0)</f>
        <v/>
      </c>
      <c r="AZ80" s="7">
        <f>IF(Y80=1,IF(ISNUMBER(AN80),AN80,0),0)</f>
        <v/>
      </c>
      <c r="BA80" s="7">
        <f>IF(Y80=1,IF(ISNUMBER(AN80),1,0),0)</f>
        <v/>
      </c>
      <c r="BB80" s="7">
        <f>IF(Y80=1,IF(ISNUMBER(T80),T80,0),0)</f>
        <v/>
      </c>
      <c r="BC80" s="7">
        <f>IF(Y80=1,IF(ISNUMBER(T80),1,0),0)</f>
        <v/>
      </c>
      <c r="BD80" s="7">
        <f>IF(Y80=1,AQ80+ROW()/1E9,-1E9)</f>
        <v/>
      </c>
      <c r="BE80" s="7">
        <f>IF(Y80=1,AQ80+ROW()/1E9,1E9)</f>
        <v/>
      </c>
    </row>
    <row r="81">
      <c r="A81" s="16" t="n"/>
      <c r="B81" s="8">
        <f>IF($A81="","",BDP($A81,B$3))</f>
        <v/>
      </c>
      <c r="C81" s="8">
        <f>IF($A81="","",BDP($A81,C$3))</f>
        <v/>
      </c>
      <c r="D81" s="28">
        <f>IF($A81="","",BDP($A81,D$3))</f>
        <v/>
      </c>
      <c r="E81" s="29">
        <f>IF($A81="","",BDP($A81,E$3))</f>
        <v/>
      </c>
      <c r="F81" s="17">
        <f>IF($A81="","",BDP($A81,F$3))</f>
        <v/>
      </c>
      <c r="G81" s="8">
        <f>IF($A81="","",BDP($A81,G$3))</f>
        <v/>
      </c>
      <c r="H81" s="8">
        <f>IF($A81="","",BDP($A81,H$3))</f>
        <v/>
      </c>
      <c r="I81" s="8">
        <f>IF($A81="","",BDP($A81,I$3))</f>
        <v/>
      </c>
      <c r="J81" s="8">
        <f>IF($A81="","",BDP($A81,J$3))</f>
        <v/>
      </c>
      <c r="K81" s="8">
        <f>IF($A81="","",BDP($A81,K$3))</f>
        <v/>
      </c>
      <c r="L81" s="28">
        <f>IF($A81="","",BDP($A81,L$3))</f>
        <v/>
      </c>
      <c r="M81" s="28">
        <f>IF($A81="","",BDP($A81,M$3))</f>
        <v/>
      </c>
      <c r="N81" s="30">
        <f>IF($A81="","",BDP($A81,N$3))</f>
        <v/>
      </c>
      <c r="O81" s="31">
        <f>IF($A81="","",BDP($A81,O$3))</f>
        <v/>
      </c>
      <c r="P81" s="30">
        <f>IF($A81="","",BDH($A81,$N$3,'參數'!$B$5,'參數'!$B$5,"Days=A","Fill=P","Dates=H"))</f>
        <v/>
      </c>
      <c r="Q81" s="30">
        <f>IF($A81="","",BDH($A81,$N$3,'參數'!$B$6,'參數'!$B$6,"Days=A","Fill=P","Dates=H"))</f>
        <v/>
      </c>
      <c r="R81" s="30">
        <f>IF($A81="","",BDH($A81,$N$3,'參數'!$B$7,'參數'!$B$7,"Days=A","Fill=P","Dates=H"))</f>
        <v/>
      </c>
      <c r="S81" s="32">
        <f>IF($A81="","",IFERROR(INDEX('發行人'!$A$5:$A$44,MATCH(B81,'發行人'!$D$5:$D$44,0)),"未對應"))</f>
        <v/>
      </c>
      <c r="T81" s="24">
        <f>IF($A81="","",IFERROR(INDEX('發行人'!$G$5:$G$44,MATCH(B81,'發行人'!$D$5:$D$44,0))+0,""))</f>
        <v/>
      </c>
      <c r="U81" s="18">
        <f>IF(ISNUMBER(E81),YEARFRAC('參數'!$B$4,E81),"")</f>
        <v/>
      </c>
      <c r="V81" s="8">
        <f>IF(U81="","",IF(U81&lt;3,"1-3y",IF(U81&lt;5,"3-5y",IF(U81&lt;7,"5-7y",IF(U81&lt;10,"7-10y","10y+")))))</f>
        <v/>
      </c>
      <c r="W81" s="30">
        <f>IF($A81="","",IFERROR(INDEX('參數'!$B$24:$B$45,MATCH(G81,'參數'!$A$24:$A$45,0)),""))</f>
        <v/>
      </c>
      <c r="X81" s="8">
        <f>IF($A81="","",IFERROR(INDEX('參數'!$C$24:$C$45,MATCH(G81,'參數'!$A$24:$A$45,0)),""))</f>
        <v/>
      </c>
      <c r="Y81" s="30">
        <f>IF(AND(ISNUMBER(N81),ISNUMBER(O81),ISNUMBER(U81)),IF(AND(O81&gt;0,X81&lt;&gt;""),1,0),0)</f>
        <v/>
      </c>
      <c r="Z81" s="17">
        <f>IF(Y81=1,O81*N81,"")</f>
        <v/>
      </c>
      <c r="AA81" s="33">
        <f>IF(Y81=1,IF(ISNUMBER(Q81),N81-Q81,""),"")</f>
        <v/>
      </c>
      <c r="AB81" s="33">
        <f>IF(Y81=1,IF(AND(ISNUMBER(P81),ISNUMBER(R81)),R81*5/12-O81*(P81-R81),""),"")</f>
        <v/>
      </c>
      <c r="AC81" s="30">
        <f>IF(Y81=1,COUNTIFS($X$5:$X$404,X81,$V$5:$V$404,V81,$Y$5:$Y$404,1),"")</f>
        <v/>
      </c>
      <c r="AD81" s="30">
        <f>IF(Y81=1,IFERROR(IF(AC81&gt;='參數'!$B$9,INDEX('分群統計'!$G$13:$K$16,MATCH(X81,'分群統計'!$A$13:$A$16,0),MATCH(V81,'分群統計'!$G$12:$K$12,0)),INDEX('分群統計'!$I$5:$I$8,MATCH(X81,'分群統計'!$A$5:$A$8,0))),""),"")</f>
        <v/>
      </c>
      <c r="AE81" s="18">
        <f>IF(Y81=1,IFERROR(IF(AC81&gt;='參數'!$B$9,INDEX('分群統計'!$L$13:$P$16,MATCH(X81,'分群統計'!$A$13:$A$16,0),MATCH(V81,'分群統計'!$L$12:$P$12,0)),INDEX('分群統計'!$J$5:$J$8,MATCH(X81,'分群統計'!$A$5:$A$8,0))),""),"")</f>
        <v/>
      </c>
      <c r="AF81" s="31">
        <f>IF(ISNUMBER(AE81),IF(AE81&gt;0,MAX(-3,MIN(3,(N81-AD81)/AE81)),0),"")</f>
        <v/>
      </c>
      <c r="AG81" s="30">
        <f>IF(Y81=1,COUNTIFS($B$5:$B$404,B81,$Y$5:$Y$404,1),"")</f>
        <v/>
      </c>
      <c r="AH81" s="30">
        <f>IF(Y81=1,IFERROR(IF(ISNUMBER(INDEX('分群統計'!$G$20:$G$59,MATCH(B81,'分群統計'!$A$20:$A$59,0))),INDEX('分群統計'!$H$20:$H$59,MATCH(B81,'分群統計'!$A$20:$A$59,0))+INDEX('分群統計'!$G$20:$G$59,MATCH(B81,'分群統計'!$A$20:$A$59,0))*AU81,""),""),"")</f>
        <v/>
      </c>
      <c r="AI81" s="34">
        <f>IF(ISNUMBER(AH81),N81-AH81,"")</f>
        <v/>
      </c>
      <c r="AJ81" s="30">
        <f>IF(Y81=1,IFERROR(IF(ISNUMBER(INDEX('分群統計'!$G$5:$G$8,MATCH(X81,'分群統計'!$A$5:$A$8,0))),INDEX('分群統計'!$H$5:$H$8,MATCH(X81,'分群統計'!$A$5:$A$8,0))+INDEX('分群統計'!$G$5:$G$8,MATCH(X81,'分群統計'!$A$5:$A$8,0))*AU81,""),""),"")</f>
        <v/>
      </c>
      <c r="AK81" s="34">
        <f>IF(ISNUMBER(AJ81),N81-AJ81,"")</f>
        <v/>
      </c>
      <c r="AL81" s="21">
        <f>IF(ISNUMBER(AJ81),IF(AJ81&gt;0,AK81/AJ81,""),"")</f>
        <v/>
      </c>
      <c r="AM81" s="31">
        <f>IF(AY81&lt;&gt;1,"",IFERROR(IF(INDEX('分群統計'!$K$5:$K$8,MATCH(X81,'分群統計'!$A$5:$A$8,0))&lt;3,"",IF(INDEX('分群統計'!$M$5:$M$8,MATCH(X81,'分群統計'!$A$5:$A$8,0))&gt;0,MAX(-3,MIN(3,(AX81-INDEX('分群統計'!$L$5:$L$8,MATCH(X81,'分群統計'!$A$5:$A$8,0)))/INDEX('分群統計'!$M$5:$M$8,MATCH(X81,'分群統計'!$A$5:$A$8,0)))),0)),""))</f>
        <v/>
      </c>
      <c r="AN81" s="31">
        <f>IF(ISNUMBER(AB81),IF(Z81&gt;0,AB81/Z81*100,""),"")</f>
        <v/>
      </c>
      <c r="AO81" s="31">
        <f>IF(BA81&lt;&gt;1,"",IFERROR(IF(INDEX('分群統計'!$N$5:$N$8,MATCH(X81,'分群統計'!$A$5:$A$8,0))&lt;3,"",IF(INDEX('分群統計'!$P$5:$P$8,MATCH(X81,'分群統計'!$A$5:$A$8,0))&gt;0,MAX(-3,MIN(3,(AZ81-INDEX('分群統計'!$O$5:$O$8,MATCH(X81,'分群統計'!$A$5:$A$8,0)))/INDEX('分群統計'!$P$5:$P$8,MATCH(X81,'分群統計'!$A$5:$A$8,0)))),0)),""))</f>
        <v/>
      </c>
      <c r="AP81" s="31">
        <f>IF(BC81&lt;&gt;1,"",IFERROR(IF(INDEX('分群統計'!$Q$5:$Q$8,MATCH(X81,'分群統計'!$A$5:$A$8,0))&lt;3,"",IF(INDEX('分群統計'!$S$5:$S$8,MATCH(X81,'分群統計'!$A$5:$A$8,0))&gt;0,MAX(-3,MIN(3,(BB81-INDEX('分群統計'!$R$5:$R$8,MATCH(X81,'分群統計'!$A$5:$A$8,0)))/INDEX('分群統計'!$S$5:$S$8,MATCH(X81,'分群統計'!$A$5:$A$8,0)))),0)),""))</f>
        <v/>
      </c>
      <c r="AQ81" s="31">
        <f>IF(Y81=1,(IF(ISNUMBER(AF81),AF81,0)*'參數'!$B$13+IF(ISNUMBER(AM81),AM81,0)*'參數'!$B$14+IF(ISNUMBER(AO81),AO81,0)*'參數'!$B$15+IF(ISNUMBER(AP81),AP81,0)*'參數'!$B$16)/('參數'!$B$13+'參數'!$B$14+'參數'!$B$15+'參數'!$B$16),"")</f>
        <v/>
      </c>
      <c r="AR81" s="35">
        <f>IF(Y81=1,(SUMPRODUCT(($X$5:$X$404=X81)*($Y$5:$Y$404=1)*($BD$5:$BD$404&gt;BD81))+1)/COUNTIFS($X$5:$X$404,X81,$Y$5:$Y$404,1),"")</f>
        <v/>
      </c>
      <c r="AS81" s="8">
        <f>IF(ISNUMBER(AR81),IF(AR81&lt;='參數'!$B$18,"加碼候選",IF(AR81&gt;'參數'!$B$19,"減碼候選","")),"")</f>
        <v/>
      </c>
      <c r="AT81" s="7">
        <f>IF(Y81=1,N81,0)</f>
        <v/>
      </c>
      <c r="AU81" s="7">
        <f>IF(Y81=1,LN(O81),0)</f>
        <v/>
      </c>
      <c r="AV81" s="36">
        <f>IF(Y81=1,IF(ISNUMBER(F81),F81,0),0)</f>
        <v/>
      </c>
      <c r="AW81" s="7">
        <f>IF(Y81=1,Z81,0)</f>
        <v/>
      </c>
      <c r="AX81" s="7">
        <f>IF(Y81=1,IF(ISNUMBER(AL81),AL81,0),0)</f>
        <v/>
      </c>
      <c r="AY81" s="7">
        <f>IF(Y81=1,IF(ISNUMBER(AL81),1,0),0)</f>
        <v/>
      </c>
      <c r="AZ81" s="7">
        <f>IF(Y81=1,IF(ISNUMBER(AN81),AN81,0),0)</f>
        <v/>
      </c>
      <c r="BA81" s="7">
        <f>IF(Y81=1,IF(ISNUMBER(AN81),1,0),0)</f>
        <v/>
      </c>
      <c r="BB81" s="7">
        <f>IF(Y81=1,IF(ISNUMBER(T81),T81,0),0)</f>
        <v/>
      </c>
      <c r="BC81" s="7">
        <f>IF(Y81=1,IF(ISNUMBER(T81),1,0),0)</f>
        <v/>
      </c>
      <c r="BD81" s="7">
        <f>IF(Y81=1,AQ81+ROW()/1E9,-1E9)</f>
        <v/>
      </c>
      <c r="BE81" s="7">
        <f>IF(Y81=1,AQ81+ROW()/1E9,1E9)</f>
        <v/>
      </c>
    </row>
    <row r="82">
      <c r="A82" s="16" t="n"/>
      <c r="B82" s="8">
        <f>IF($A82="","",BDP($A82,B$3))</f>
        <v/>
      </c>
      <c r="C82" s="8">
        <f>IF($A82="","",BDP($A82,C$3))</f>
        <v/>
      </c>
      <c r="D82" s="28">
        <f>IF($A82="","",BDP($A82,D$3))</f>
        <v/>
      </c>
      <c r="E82" s="29">
        <f>IF($A82="","",BDP($A82,E$3))</f>
        <v/>
      </c>
      <c r="F82" s="17">
        <f>IF($A82="","",BDP($A82,F$3))</f>
        <v/>
      </c>
      <c r="G82" s="8">
        <f>IF($A82="","",BDP($A82,G$3))</f>
        <v/>
      </c>
      <c r="H82" s="8">
        <f>IF($A82="","",BDP($A82,H$3))</f>
        <v/>
      </c>
      <c r="I82" s="8">
        <f>IF($A82="","",BDP($A82,I$3))</f>
        <v/>
      </c>
      <c r="J82" s="8">
        <f>IF($A82="","",BDP($A82,J$3))</f>
        <v/>
      </c>
      <c r="K82" s="8">
        <f>IF($A82="","",BDP($A82,K$3))</f>
        <v/>
      </c>
      <c r="L82" s="28">
        <f>IF($A82="","",BDP($A82,L$3))</f>
        <v/>
      </c>
      <c r="M82" s="28">
        <f>IF($A82="","",BDP($A82,M$3))</f>
        <v/>
      </c>
      <c r="N82" s="30">
        <f>IF($A82="","",BDP($A82,N$3))</f>
        <v/>
      </c>
      <c r="O82" s="31">
        <f>IF($A82="","",BDP($A82,O$3))</f>
        <v/>
      </c>
      <c r="P82" s="30">
        <f>IF($A82="","",BDH($A82,$N$3,'參數'!$B$5,'參數'!$B$5,"Days=A","Fill=P","Dates=H"))</f>
        <v/>
      </c>
      <c r="Q82" s="30">
        <f>IF($A82="","",BDH($A82,$N$3,'參數'!$B$6,'參數'!$B$6,"Days=A","Fill=P","Dates=H"))</f>
        <v/>
      </c>
      <c r="R82" s="30">
        <f>IF($A82="","",BDH($A82,$N$3,'參數'!$B$7,'參數'!$B$7,"Days=A","Fill=P","Dates=H"))</f>
        <v/>
      </c>
      <c r="S82" s="32">
        <f>IF($A82="","",IFERROR(INDEX('發行人'!$A$5:$A$44,MATCH(B82,'發行人'!$D$5:$D$44,0)),"未對應"))</f>
        <v/>
      </c>
      <c r="T82" s="24">
        <f>IF($A82="","",IFERROR(INDEX('發行人'!$G$5:$G$44,MATCH(B82,'發行人'!$D$5:$D$44,0))+0,""))</f>
        <v/>
      </c>
      <c r="U82" s="18">
        <f>IF(ISNUMBER(E82),YEARFRAC('參數'!$B$4,E82),"")</f>
        <v/>
      </c>
      <c r="V82" s="8">
        <f>IF(U82="","",IF(U82&lt;3,"1-3y",IF(U82&lt;5,"3-5y",IF(U82&lt;7,"5-7y",IF(U82&lt;10,"7-10y","10y+")))))</f>
        <v/>
      </c>
      <c r="W82" s="30">
        <f>IF($A82="","",IFERROR(INDEX('參數'!$B$24:$B$45,MATCH(G82,'參數'!$A$24:$A$45,0)),""))</f>
        <v/>
      </c>
      <c r="X82" s="8">
        <f>IF($A82="","",IFERROR(INDEX('參數'!$C$24:$C$45,MATCH(G82,'參數'!$A$24:$A$45,0)),""))</f>
        <v/>
      </c>
      <c r="Y82" s="30">
        <f>IF(AND(ISNUMBER(N82),ISNUMBER(O82),ISNUMBER(U82)),IF(AND(O82&gt;0,X82&lt;&gt;""),1,0),0)</f>
        <v/>
      </c>
      <c r="Z82" s="17">
        <f>IF(Y82=1,O82*N82,"")</f>
        <v/>
      </c>
      <c r="AA82" s="33">
        <f>IF(Y82=1,IF(ISNUMBER(Q82),N82-Q82,""),"")</f>
        <v/>
      </c>
      <c r="AB82" s="33">
        <f>IF(Y82=1,IF(AND(ISNUMBER(P82),ISNUMBER(R82)),R82*5/12-O82*(P82-R82),""),"")</f>
        <v/>
      </c>
      <c r="AC82" s="30">
        <f>IF(Y82=1,COUNTIFS($X$5:$X$404,X82,$V$5:$V$404,V82,$Y$5:$Y$404,1),"")</f>
        <v/>
      </c>
      <c r="AD82" s="30">
        <f>IF(Y82=1,IFERROR(IF(AC82&gt;='參數'!$B$9,INDEX('分群統計'!$G$13:$K$16,MATCH(X82,'分群統計'!$A$13:$A$16,0),MATCH(V82,'分群統計'!$G$12:$K$12,0)),INDEX('分群統計'!$I$5:$I$8,MATCH(X82,'分群統計'!$A$5:$A$8,0))),""),"")</f>
        <v/>
      </c>
      <c r="AE82" s="18">
        <f>IF(Y82=1,IFERROR(IF(AC82&gt;='參數'!$B$9,INDEX('分群統計'!$L$13:$P$16,MATCH(X82,'分群統計'!$A$13:$A$16,0),MATCH(V82,'分群統計'!$L$12:$P$12,0)),INDEX('分群統計'!$J$5:$J$8,MATCH(X82,'分群統計'!$A$5:$A$8,0))),""),"")</f>
        <v/>
      </c>
      <c r="AF82" s="31">
        <f>IF(ISNUMBER(AE82),IF(AE82&gt;0,MAX(-3,MIN(3,(N82-AD82)/AE82)),0),"")</f>
        <v/>
      </c>
      <c r="AG82" s="30">
        <f>IF(Y82=1,COUNTIFS($B$5:$B$404,B82,$Y$5:$Y$404,1),"")</f>
        <v/>
      </c>
      <c r="AH82" s="30">
        <f>IF(Y82=1,IFERROR(IF(ISNUMBER(INDEX('分群統計'!$G$20:$G$59,MATCH(B82,'分群統計'!$A$20:$A$59,0))),INDEX('分群統計'!$H$20:$H$59,MATCH(B82,'分群統計'!$A$20:$A$59,0))+INDEX('分群統計'!$G$20:$G$59,MATCH(B82,'分群統計'!$A$20:$A$59,0))*AU82,""),""),"")</f>
        <v/>
      </c>
      <c r="AI82" s="34">
        <f>IF(ISNUMBER(AH82),N82-AH82,"")</f>
        <v/>
      </c>
      <c r="AJ82" s="30">
        <f>IF(Y82=1,IFERROR(IF(ISNUMBER(INDEX('分群統計'!$G$5:$G$8,MATCH(X82,'分群統計'!$A$5:$A$8,0))),INDEX('分群統計'!$H$5:$H$8,MATCH(X82,'分群統計'!$A$5:$A$8,0))+INDEX('分群統計'!$G$5:$G$8,MATCH(X82,'分群統計'!$A$5:$A$8,0))*AU82,""),""),"")</f>
        <v/>
      </c>
      <c r="AK82" s="34">
        <f>IF(ISNUMBER(AJ82),N82-AJ82,"")</f>
        <v/>
      </c>
      <c r="AL82" s="21">
        <f>IF(ISNUMBER(AJ82),IF(AJ82&gt;0,AK82/AJ82,""),"")</f>
        <v/>
      </c>
      <c r="AM82" s="31">
        <f>IF(AY82&lt;&gt;1,"",IFERROR(IF(INDEX('分群統計'!$K$5:$K$8,MATCH(X82,'分群統計'!$A$5:$A$8,0))&lt;3,"",IF(INDEX('分群統計'!$M$5:$M$8,MATCH(X82,'分群統計'!$A$5:$A$8,0))&gt;0,MAX(-3,MIN(3,(AX82-INDEX('分群統計'!$L$5:$L$8,MATCH(X82,'分群統計'!$A$5:$A$8,0)))/INDEX('分群統計'!$M$5:$M$8,MATCH(X82,'分群統計'!$A$5:$A$8,0)))),0)),""))</f>
        <v/>
      </c>
      <c r="AN82" s="31">
        <f>IF(ISNUMBER(AB82),IF(Z82&gt;0,AB82/Z82*100,""),"")</f>
        <v/>
      </c>
      <c r="AO82" s="31">
        <f>IF(BA82&lt;&gt;1,"",IFERROR(IF(INDEX('分群統計'!$N$5:$N$8,MATCH(X82,'分群統計'!$A$5:$A$8,0))&lt;3,"",IF(INDEX('分群統計'!$P$5:$P$8,MATCH(X82,'分群統計'!$A$5:$A$8,0))&gt;0,MAX(-3,MIN(3,(AZ82-INDEX('分群統計'!$O$5:$O$8,MATCH(X82,'分群統計'!$A$5:$A$8,0)))/INDEX('分群統計'!$P$5:$P$8,MATCH(X82,'分群統計'!$A$5:$A$8,0)))),0)),""))</f>
        <v/>
      </c>
      <c r="AP82" s="31">
        <f>IF(BC82&lt;&gt;1,"",IFERROR(IF(INDEX('分群統計'!$Q$5:$Q$8,MATCH(X82,'分群統計'!$A$5:$A$8,0))&lt;3,"",IF(INDEX('分群統計'!$S$5:$S$8,MATCH(X82,'分群統計'!$A$5:$A$8,0))&gt;0,MAX(-3,MIN(3,(BB82-INDEX('分群統計'!$R$5:$R$8,MATCH(X82,'分群統計'!$A$5:$A$8,0)))/INDEX('分群統計'!$S$5:$S$8,MATCH(X82,'分群統計'!$A$5:$A$8,0)))),0)),""))</f>
        <v/>
      </c>
      <c r="AQ82" s="31">
        <f>IF(Y82=1,(IF(ISNUMBER(AF82),AF82,0)*'參數'!$B$13+IF(ISNUMBER(AM82),AM82,0)*'參數'!$B$14+IF(ISNUMBER(AO82),AO82,0)*'參數'!$B$15+IF(ISNUMBER(AP82),AP82,0)*'參數'!$B$16)/('參數'!$B$13+'參數'!$B$14+'參數'!$B$15+'參數'!$B$16),"")</f>
        <v/>
      </c>
      <c r="AR82" s="35">
        <f>IF(Y82=1,(SUMPRODUCT(($X$5:$X$404=X82)*($Y$5:$Y$404=1)*($BD$5:$BD$404&gt;BD82))+1)/COUNTIFS($X$5:$X$404,X82,$Y$5:$Y$404,1),"")</f>
        <v/>
      </c>
      <c r="AS82" s="8">
        <f>IF(ISNUMBER(AR82),IF(AR82&lt;='參數'!$B$18,"加碼候選",IF(AR82&gt;'參數'!$B$19,"減碼候選","")),"")</f>
        <v/>
      </c>
      <c r="AT82" s="7">
        <f>IF(Y82=1,N82,0)</f>
        <v/>
      </c>
      <c r="AU82" s="7">
        <f>IF(Y82=1,LN(O82),0)</f>
        <v/>
      </c>
      <c r="AV82" s="36">
        <f>IF(Y82=1,IF(ISNUMBER(F82),F82,0),0)</f>
        <v/>
      </c>
      <c r="AW82" s="7">
        <f>IF(Y82=1,Z82,0)</f>
        <v/>
      </c>
      <c r="AX82" s="7">
        <f>IF(Y82=1,IF(ISNUMBER(AL82),AL82,0),0)</f>
        <v/>
      </c>
      <c r="AY82" s="7">
        <f>IF(Y82=1,IF(ISNUMBER(AL82),1,0),0)</f>
        <v/>
      </c>
      <c r="AZ82" s="7">
        <f>IF(Y82=1,IF(ISNUMBER(AN82),AN82,0),0)</f>
        <v/>
      </c>
      <c r="BA82" s="7">
        <f>IF(Y82=1,IF(ISNUMBER(AN82),1,0),0)</f>
        <v/>
      </c>
      <c r="BB82" s="7">
        <f>IF(Y82=1,IF(ISNUMBER(T82),T82,0),0)</f>
        <v/>
      </c>
      <c r="BC82" s="7">
        <f>IF(Y82=1,IF(ISNUMBER(T82),1,0),0)</f>
        <v/>
      </c>
      <c r="BD82" s="7">
        <f>IF(Y82=1,AQ82+ROW()/1E9,-1E9)</f>
        <v/>
      </c>
      <c r="BE82" s="7">
        <f>IF(Y82=1,AQ82+ROW()/1E9,1E9)</f>
        <v/>
      </c>
    </row>
    <row r="83">
      <c r="A83" s="16" t="n"/>
      <c r="B83" s="8">
        <f>IF($A83="","",BDP($A83,B$3))</f>
        <v/>
      </c>
      <c r="C83" s="8">
        <f>IF($A83="","",BDP($A83,C$3))</f>
        <v/>
      </c>
      <c r="D83" s="28">
        <f>IF($A83="","",BDP($A83,D$3))</f>
        <v/>
      </c>
      <c r="E83" s="29">
        <f>IF($A83="","",BDP($A83,E$3))</f>
        <v/>
      </c>
      <c r="F83" s="17">
        <f>IF($A83="","",BDP($A83,F$3))</f>
        <v/>
      </c>
      <c r="G83" s="8">
        <f>IF($A83="","",BDP($A83,G$3))</f>
        <v/>
      </c>
      <c r="H83" s="8">
        <f>IF($A83="","",BDP($A83,H$3))</f>
        <v/>
      </c>
      <c r="I83" s="8">
        <f>IF($A83="","",BDP($A83,I$3))</f>
        <v/>
      </c>
      <c r="J83" s="8">
        <f>IF($A83="","",BDP($A83,J$3))</f>
        <v/>
      </c>
      <c r="K83" s="8">
        <f>IF($A83="","",BDP($A83,K$3))</f>
        <v/>
      </c>
      <c r="L83" s="28">
        <f>IF($A83="","",BDP($A83,L$3))</f>
        <v/>
      </c>
      <c r="M83" s="28">
        <f>IF($A83="","",BDP($A83,M$3))</f>
        <v/>
      </c>
      <c r="N83" s="30">
        <f>IF($A83="","",BDP($A83,N$3))</f>
        <v/>
      </c>
      <c r="O83" s="31">
        <f>IF($A83="","",BDP($A83,O$3))</f>
        <v/>
      </c>
      <c r="P83" s="30">
        <f>IF($A83="","",BDH($A83,$N$3,'參數'!$B$5,'參數'!$B$5,"Days=A","Fill=P","Dates=H"))</f>
        <v/>
      </c>
      <c r="Q83" s="30">
        <f>IF($A83="","",BDH($A83,$N$3,'參數'!$B$6,'參數'!$B$6,"Days=A","Fill=P","Dates=H"))</f>
        <v/>
      </c>
      <c r="R83" s="30">
        <f>IF($A83="","",BDH($A83,$N$3,'參數'!$B$7,'參數'!$B$7,"Days=A","Fill=P","Dates=H"))</f>
        <v/>
      </c>
      <c r="S83" s="32">
        <f>IF($A83="","",IFERROR(INDEX('發行人'!$A$5:$A$44,MATCH(B83,'發行人'!$D$5:$D$44,0)),"未對應"))</f>
        <v/>
      </c>
      <c r="T83" s="24">
        <f>IF($A83="","",IFERROR(INDEX('發行人'!$G$5:$G$44,MATCH(B83,'發行人'!$D$5:$D$44,0))+0,""))</f>
        <v/>
      </c>
      <c r="U83" s="18">
        <f>IF(ISNUMBER(E83),YEARFRAC('參數'!$B$4,E83),"")</f>
        <v/>
      </c>
      <c r="V83" s="8">
        <f>IF(U83="","",IF(U83&lt;3,"1-3y",IF(U83&lt;5,"3-5y",IF(U83&lt;7,"5-7y",IF(U83&lt;10,"7-10y","10y+")))))</f>
        <v/>
      </c>
      <c r="W83" s="30">
        <f>IF($A83="","",IFERROR(INDEX('參數'!$B$24:$B$45,MATCH(G83,'參數'!$A$24:$A$45,0)),""))</f>
        <v/>
      </c>
      <c r="X83" s="8">
        <f>IF($A83="","",IFERROR(INDEX('參數'!$C$24:$C$45,MATCH(G83,'參數'!$A$24:$A$45,0)),""))</f>
        <v/>
      </c>
      <c r="Y83" s="30">
        <f>IF(AND(ISNUMBER(N83),ISNUMBER(O83),ISNUMBER(U83)),IF(AND(O83&gt;0,X83&lt;&gt;""),1,0),0)</f>
        <v/>
      </c>
      <c r="Z83" s="17">
        <f>IF(Y83=1,O83*N83,"")</f>
        <v/>
      </c>
      <c r="AA83" s="33">
        <f>IF(Y83=1,IF(ISNUMBER(Q83),N83-Q83,""),"")</f>
        <v/>
      </c>
      <c r="AB83" s="33">
        <f>IF(Y83=1,IF(AND(ISNUMBER(P83),ISNUMBER(R83)),R83*5/12-O83*(P83-R83),""),"")</f>
        <v/>
      </c>
      <c r="AC83" s="30">
        <f>IF(Y83=1,COUNTIFS($X$5:$X$404,X83,$V$5:$V$404,V83,$Y$5:$Y$404,1),"")</f>
        <v/>
      </c>
      <c r="AD83" s="30">
        <f>IF(Y83=1,IFERROR(IF(AC83&gt;='參數'!$B$9,INDEX('分群統計'!$G$13:$K$16,MATCH(X83,'分群統計'!$A$13:$A$16,0),MATCH(V83,'分群統計'!$G$12:$K$12,0)),INDEX('分群統計'!$I$5:$I$8,MATCH(X83,'分群統計'!$A$5:$A$8,0))),""),"")</f>
        <v/>
      </c>
      <c r="AE83" s="18">
        <f>IF(Y83=1,IFERROR(IF(AC83&gt;='參數'!$B$9,INDEX('分群統計'!$L$13:$P$16,MATCH(X83,'分群統計'!$A$13:$A$16,0),MATCH(V83,'分群統計'!$L$12:$P$12,0)),INDEX('分群統計'!$J$5:$J$8,MATCH(X83,'分群統計'!$A$5:$A$8,0))),""),"")</f>
        <v/>
      </c>
      <c r="AF83" s="31">
        <f>IF(ISNUMBER(AE83),IF(AE83&gt;0,MAX(-3,MIN(3,(N83-AD83)/AE83)),0),"")</f>
        <v/>
      </c>
      <c r="AG83" s="30">
        <f>IF(Y83=1,COUNTIFS($B$5:$B$404,B83,$Y$5:$Y$404,1),"")</f>
        <v/>
      </c>
      <c r="AH83" s="30">
        <f>IF(Y83=1,IFERROR(IF(ISNUMBER(INDEX('分群統計'!$G$20:$G$59,MATCH(B83,'分群統計'!$A$20:$A$59,0))),INDEX('分群統計'!$H$20:$H$59,MATCH(B83,'分群統計'!$A$20:$A$59,0))+INDEX('分群統計'!$G$20:$G$59,MATCH(B83,'分群統計'!$A$20:$A$59,0))*AU83,""),""),"")</f>
        <v/>
      </c>
      <c r="AI83" s="34">
        <f>IF(ISNUMBER(AH83),N83-AH83,"")</f>
        <v/>
      </c>
      <c r="AJ83" s="30">
        <f>IF(Y83=1,IFERROR(IF(ISNUMBER(INDEX('分群統計'!$G$5:$G$8,MATCH(X83,'分群統計'!$A$5:$A$8,0))),INDEX('分群統計'!$H$5:$H$8,MATCH(X83,'分群統計'!$A$5:$A$8,0))+INDEX('分群統計'!$G$5:$G$8,MATCH(X83,'分群統計'!$A$5:$A$8,0))*AU83,""),""),"")</f>
        <v/>
      </c>
      <c r="AK83" s="34">
        <f>IF(ISNUMBER(AJ83),N83-AJ83,"")</f>
        <v/>
      </c>
      <c r="AL83" s="21">
        <f>IF(ISNUMBER(AJ83),IF(AJ83&gt;0,AK83/AJ83,""),"")</f>
        <v/>
      </c>
      <c r="AM83" s="31">
        <f>IF(AY83&lt;&gt;1,"",IFERROR(IF(INDEX('分群統計'!$K$5:$K$8,MATCH(X83,'分群統計'!$A$5:$A$8,0))&lt;3,"",IF(INDEX('分群統計'!$M$5:$M$8,MATCH(X83,'分群統計'!$A$5:$A$8,0))&gt;0,MAX(-3,MIN(3,(AX83-INDEX('分群統計'!$L$5:$L$8,MATCH(X83,'分群統計'!$A$5:$A$8,0)))/INDEX('分群統計'!$M$5:$M$8,MATCH(X83,'分群統計'!$A$5:$A$8,0)))),0)),""))</f>
        <v/>
      </c>
      <c r="AN83" s="31">
        <f>IF(ISNUMBER(AB83),IF(Z83&gt;0,AB83/Z83*100,""),"")</f>
        <v/>
      </c>
      <c r="AO83" s="31">
        <f>IF(BA83&lt;&gt;1,"",IFERROR(IF(INDEX('分群統計'!$N$5:$N$8,MATCH(X83,'分群統計'!$A$5:$A$8,0))&lt;3,"",IF(INDEX('分群統計'!$P$5:$P$8,MATCH(X83,'分群統計'!$A$5:$A$8,0))&gt;0,MAX(-3,MIN(3,(AZ83-INDEX('分群統計'!$O$5:$O$8,MATCH(X83,'分群統計'!$A$5:$A$8,0)))/INDEX('分群統計'!$P$5:$P$8,MATCH(X83,'分群統計'!$A$5:$A$8,0)))),0)),""))</f>
        <v/>
      </c>
      <c r="AP83" s="31">
        <f>IF(BC83&lt;&gt;1,"",IFERROR(IF(INDEX('分群統計'!$Q$5:$Q$8,MATCH(X83,'分群統計'!$A$5:$A$8,0))&lt;3,"",IF(INDEX('分群統計'!$S$5:$S$8,MATCH(X83,'分群統計'!$A$5:$A$8,0))&gt;0,MAX(-3,MIN(3,(BB83-INDEX('分群統計'!$R$5:$R$8,MATCH(X83,'分群統計'!$A$5:$A$8,0)))/INDEX('分群統計'!$S$5:$S$8,MATCH(X83,'分群統計'!$A$5:$A$8,0)))),0)),""))</f>
        <v/>
      </c>
      <c r="AQ83" s="31">
        <f>IF(Y83=1,(IF(ISNUMBER(AF83),AF83,0)*'參數'!$B$13+IF(ISNUMBER(AM83),AM83,0)*'參數'!$B$14+IF(ISNUMBER(AO83),AO83,0)*'參數'!$B$15+IF(ISNUMBER(AP83),AP83,0)*'參數'!$B$16)/('參數'!$B$13+'參數'!$B$14+'參數'!$B$15+'參數'!$B$16),"")</f>
        <v/>
      </c>
      <c r="AR83" s="35">
        <f>IF(Y83=1,(SUMPRODUCT(($X$5:$X$404=X83)*($Y$5:$Y$404=1)*($BD$5:$BD$404&gt;BD83))+1)/COUNTIFS($X$5:$X$404,X83,$Y$5:$Y$404,1),"")</f>
        <v/>
      </c>
      <c r="AS83" s="8">
        <f>IF(ISNUMBER(AR83),IF(AR83&lt;='參數'!$B$18,"加碼候選",IF(AR83&gt;'參數'!$B$19,"減碼候選","")),"")</f>
        <v/>
      </c>
      <c r="AT83" s="7">
        <f>IF(Y83=1,N83,0)</f>
        <v/>
      </c>
      <c r="AU83" s="7">
        <f>IF(Y83=1,LN(O83),0)</f>
        <v/>
      </c>
      <c r="AV83" s="36">
        <f>IF(Y83=1,IF(ISNUMBER(F83),F83,0),0)</f>
        <v/>
      </c>
      <c r="AW83" s="7">
        <f>IF(Y83=1,Z83,0)</f>
        <v/>
      </c>
      <c r="AX83" s="7">
        <f>IF(Y83=1,IF(ISNUMBER(AL83),AL83,0),0)</f>
        <v/>
      </c>
      <c r="AY83" s="7">
        <f>IF(Y83=1,IF(ISNUMBER(AL83),1,0),0)</f>
        <v/>
      </c>
      <c r="AZ83" s="7">
        <f>IF(Y83=1,IF(ISNUMBER(AN83),AN83,0),0)</f>
        <v/>
      </c>
      <c r="BA83" s="7">
        <f>IF(Y83=1,IF(ISNUMBER(AN83),1,0),0)</f>
        <v/>
      </c>
      <c r="BB83" s="7">
        <f>IF(Y83=1,IF(ISNUMBER(T83),T83,0),0)</f>
        <v/>
      </c>
      <c r="BC83" s="7">
        <f>IF(Y83=1,IF(ISNUMBER(T83),1,0),0)</f>
        <v/>
      </c>
      <c r="BD83" s="7">
        <f>IF(Y83=1,AQ83+ROW()/1E9,-1E9)</f>
        <v/>
      </c>
      <c r="BE83" s="7">
        <f>IF(Y83=1,AQ83+ROW()/1E9,1E9)</f>
        <v/>
      </c>
    </row>
    <row r="84">
      <c r="A84" s="16" t="n"/>
      <c r="B84" s="8">
        <f>IF($A84="","",BDP($A84,B$3))</f>
        <v/>
      </c>
      <c r="C84" s="8">
        <f>IF($A84="","",BDP($A84,C$3))</f>
        <v/>
      </c>
      <c r="D84" s="28">
        <f>IF($A84="","",BDP($A84,D$3))</f>
        <v/>
      </c>
      <c r="E84" s="29">
        <f>IF($A84="","",BDP($A84,E$3))</f>
        <v/>
      </c>
      <c r="F84" s="17">
        <f>IF($A84="","",BDP($A84,F$3))</f>
        <v/>
      </c>
      <c r="G84" s="8">
        <f>IF($A84="","",BDP($A84,G$3))</f>
        <v/>
      </c>
      <c r="H84" s="8">
        <f>IF($A84="","",BDP($A84,H$3))</f>
        <v/>
      </c>
      <c r="I84" s="8">
        <f>IF($A84="","",BDP($A84,I$3))</f>
        <v/>
      </c>
      <c r="J84" s="8">
        <f>IF($A84="","",BDP($A84,J$3))</f>
        <v/>
      </c>
      <c r="K84" s="8">
        <f>IF($A84="","",BDP($A84,K$3))</f>
        <v/>
      </c>
      <c r="L84" s="28">
        <f>IF($A84="","",BDP($A84,L$3))</f>
        <v/>
      </c>
      <c r="M84" s="28">
        <f>IF($A84="","",BDP($A84,M$3))</f>
        <v/>
      </c>
      <c r="N84" s="30">
        <f>IF($A84="","",BDP($A84,N$3))</f>
        <v/>
      </c>
      <c r="O84" s="31">
        <f>IF($A84="","",BDP($A84,O$3))</f>
        <v/>
      </c>
      <c r="P84" s="30">
        <f>IF($A84="","",BDH($A84,$N$3,'參數'!$B$5,'參數'!$B$5,"Days=A","Fill=P","Dates=H"))</f>
        <v/>
      </c>
      <c r="Q84" s="30">
        <f>IF($A84="","",BDH($A84,$N$3,'參數'!$B$6,'參數'!$B$6,"Days=A","Fill=P","Dates=H"))</f>
        <v/>
      </c>
      <c r="R84" s="30">
        <f>IF($A84="","",BDH($A84,$N$3,'參數'!$B$7,'參數'!$B$7,"Days=A","Fill=P","Dates=H"))</f>
        <v/>
      </c>
      <c r="S84" s="32">
        <f>IF($A84="","",IFERROR(INDEX('發行人'!$A$5:$A$44,MATCH(B84,'發行人'!$D$5:$D$44,0)),"未對應"))</f>
        <v/>
      </c>
      <c r="T84" s="24">
        <f>IF($A84="","",IFERROR(INDEX('發行人'!$G$5:$G$44,MATCH(B84,'發行人'!$D$5:$D$44,0))+0,""))</f>
        <v/>
      </c>
      <c r="U84" s="18">
        <f>IF(ISNUMBER(E84),YEARFRAC('參數'!$B$4,E84),"")</f>
        <v/>
      </c>
      <c r="V84" s="8">
        <f>IF(U84="","",IF(U84&lt;3,"1-3y",IF(U84&lt;5,"3-5y",IF(U84&lt;7,"5-7y",IF(U84&lt;10,"7-10y","10y+")))))</f>
        <v/>
      </c>
      <c r="W84" s="30">
        <f>IF($A84="","",IFERROR(INDEX('參數'!$B$24:$B$45,MATCH(G84,'參數'!$A$24:$A$45,0)),""))</f>
        <v/>
      </c>
      <c r="X84" s="8">
        <f>IF($A84="","",IFERROR(INDEX('參數'!$C$24:$C$45,MATCH(G84,'參數'!$A$24:$A$45,0)),""))</f>
        <v/>
      </c>
      <c r="Y84" s="30">
        <f>IF(AND(ISNUMBER(N84),ISNUMBER(O84),ISNUMBER(U84)),IF(AND(O84&gt;0,X84&lt;&gt;""),1,0),0)</f>
        <v/>
      </c>
      <c r="Z84" s="17">
        <f>IF(Y84=1,O84*N84,"")</f>
        <v/>
      </c>
      <c r="AA84" s="33">
        <f>IF(Y84=1,IF(ISNUMBER(Q84),N84-Q84,""),"")</f>
        <v/>
      </c>
      <c r="AB84" s="33">
        <f>IF(Y84=1,IF(AND(ISNUMBER(P84),ISNUMBER(R84)),R84*5/12-O84*(P84-R84),""),"")</f>
        <v/>
      </c>
      <c r="AC84" s="30">
        <f>IF(Y84=1,COUNTIFS($X$5:$X$404,X84,$V$5:$V$404,V84,$Y$5:$Y$404,1),"")</f>
        <v/>
      </c>
      <c r="AD84" s="30">
        <f>IF(Y84=1,IFERROR(IF(AC84&gt;='參數'!$B$9,INDEX('分群統計'!$G$13:$K$16,MATCH(X84,'分群統計'!$A$13:$A$16,0),MATCH(V84,'分群統計'!$G$12:$K$12,0)),INDEX('分群統計'!$I$5:$I$8,MATCH(X84,'分群統計'!$A$5:$A$8,0))),""),"")</f>
        <v/>
      </c>
      <c r="AE84" s="18">
        <f>IF(Y84=1,IFERROR(IF(AC84&gt;='參數'!$B$9,INDEX('分群統計'!$L$13:$P$16,MATCH(X84,'分群統計'!$A$13:$A$16,0),MATCH(V84,'分群統計'!$L$12:$P$12,0)),INDEX('分群統計'!$J$5:$J$8,MATCH(X84,'分群統計'!$A$5:$A$8,0))),""),"")</f>
        <v/>
      </c>
      <c r="AF84" s="31">
        <f>IF(ISNUMBER(AE84),IF(AE84&gt;0,MAX(-3,MIN(3,(N84-AD84)/AE84)),0),"")</f>
        <v/>
      </c>
      <c r="AG84" s="30">
        <f>IF(Y84=1,COUNTIFS($B$5:$B$404,B84,$Y$5:$Y$404,1),"")</f>
        <v/>
      </c>
      <c r="AH84" s="30">
        <f>IF(Y84=1,IFERROR(IF(ISNUMBER(INDEX('分群統計'!$G$20:$G$59,MATCH(B84,'分群統計'!$A$20:$A$59,0))),INDEX('分群統計'!$H$20:$H$59,MATCH(B84,'分群統計'!$A$20:$A$59,0))+INDEX('分群統計'!$G$20:$G$59,MATCH(B84,'分群統計'!$A$20:$A$59,0))*AU84,""),""),"")</f>
        <v/>
      </c>
      <c r="AI84" s="34">
        <f>IF(ISNUMBER(AH84),N84-AH84,"")</f>
        <v/>
      </c>
      <c r="AJ84" s="30">
        <f>IF(Y84=1,IFERROR(IF(ISNUMBER(INDEX('分群統計'!$G$5:$G$8,MATCH(X84,'分群統計'!$A$5:$A$8,0))),INDEX('分群統計'!$H$5:$H$8,MATCH(X84,'分群統計'!$A$5:$A$8,0))+INDEX('分群統計'!$G$5:$G$8,MATCH(X84,'分群統計'!$A$5:$A$8,0))*AU84,""),""),"")</f>
        <v/>
      </c>
      <c r="AK84" s="34">
        <f>IF(ISNUMBER(AJ84),N84-AJ84,"")</f>
        <v/>
      </c>
      <c r="AL84" s="21">
        <f>IF(ISNUMBER(AJ84),IF(AJ84&gt;0,AK84/AJ84,""),"")</f>
        <v/>
      </c>
      <c r="AM84" s="31">
        <f>IF(AY84&lt;&gt;1,"",IFERROR(IF(INDEX('分群統計'!$K$5:$K$8,MATCH(X84,'分群統計'!$A$5:$A$8,0))&lt;3,"",IF(INDEX('分群統計'!$M$5:$M$8,MATCH(X84,'分群統計'!$A$5:$A$8,0))&gt;0,MAX(-3,MIN(3,(AX84-INDEX('分群統計'!$L$5:$L$8,MATCH(X84,'分群統計'!$A$5:$A$8,0)))/INDEX('分群統計'!$M$5:$M$8,MATCH(X84,'分群統計'!$A$5:$A$8,0)))),0)),""))</f>
        <v/>
      </c>
      <c r="AN84" s="31">
        <f>IF(ISNUMBER(AB84),IF(Z84&gt;0,AB84/Z84*100,""),"")</f>
        <v/>
      </c>
      <c r="AO84" s="31">
        <f>IF(BA84&lt;&gt;1,"",IFERROR(IF(INDEX('分群統計'!$N$5:$N$8,MATCH(X84,'分群統計'!$A$5:$A$8,0))&lt;3,"",IF(INDEX('分群統計'!$P$5:$P$8,MATCH(X84,'分群統計'!$A$5:$A$8,0))&gt;0,MAX(-3,MIN(3,(AZ84-INDEX('分群統計'!$O$5:$O$8,MATCH(X84,'分群統計'!$A$5:$A$8,0)))/INDEX('分群統計'!$P$5:$P$8,MATCH(X84,'分群統計'!$A$5:$A$8,0)))),0)),""))</f>
        <v/>
      </c>
      <c r="AP84" s="31">
        <f>IF(BC84&lt;&gt;1,"",IFERROR(IF(INDEX('分群統計'!$Q$5:$Q$8,MATCH(X84,'分群統計'!$A$5:$A$8,0))&lt;3,"",IF(INDEX('分群統計'!$S$5:$S$8,MATCH(X84,'分群統計'!$A$5:$A$8,0))&gt;0,MAX(-3,MIN(3,(BB84-INDEX('分群統計'!$R$5:$R$8,MATCH(X84,'分群統計'!$A$5:$A$8,0)))/INDEX('分群統計'!$S$5:$S$8,MATCH(X84,'分群統計'!$A$5:$A$8,0)))),0)),""))</f>
        <v/>
      </c>
      <c r="AQ84" s="31">
        <f>IF(Y84=1,(IF(ISNUMBER(AF84),AF84,0)*'參數'!$B$13+IF(ISNUMBER(AM84),AM84,0)*'參數'!$B$14+IF(ISNUMBER(AO84),AO84,0)*'參數'!$B$15+IF(ISNUMBER(AP84),AP84,0)*'參數'!$B$16)/('參數'!$B$13+'參數'!$B$14+'參數'!$B$15+'參數'!$B$16),"")</f>
        <v/>
      </c>
      <c r="AR84" s="35">
        <f>IF(Y84=1,(SUMPRODUCT(($X$5:$X$404=X84)*($Y$5:$Y$404=1)*($BD$5:$BD$404&gt;BD84))+1)/COUNTIFS($X$5:$X$404,X84,$Y$5:$Y$404,1),"")</f>
        <v/>
      </c>
      <c r="AS84" s="8">
        <f>IF(ISNUMBER(AR84),IF(AR84&lt;='參數'!$B$18,"加碼候選",IF(AR84&gt;'參數'!$B$19,"減碼候選","")),"")</f>
        <v/>
      </c>
      <c r="AT84" s="7">
        <f>IF(Y84=1,N84,0)</f>
        <v/>
      </c>
      <c r="AU84" s="7">
        <f>IF(Y84=1,LN(O84),0)</f>
        <v/>
      </c>
      <c r="AV84" s="36">
        <f>IF(Y84=1,IF(ISNUMBER(F84),F84,0),0)</f>
        <v/>
      </c>
      <c r="AW84" s="7">
        <f>IF(Y84=1,Z84,0)</f>
        <v/>
      </c>
      <c r="AX84" s="7">
        <f>IF(Y84=1,IF(ISNUMBER(AL84),AL84,0),0)</f>
        <v/>
      </c>
      <c r="AY84" s="7">
        <f>IF(Y84=1,IF(ISNUMBER(AL84),1,0),0)</f>
        <v/>
      </c>
      <c r="AZ84" s="7">
        <f>IF(Y84=1,IF(ISNUMBER(AN84),AN84,0),0)</f>
        <v/>
      </c>
      <c r="BA84" s="7">
        <f>IF(Y84=1,IF(ISNUMBER(AN84),1,0),0)</f>
        <v/>
      </c>
      <c r="BB84" s="7">
        <f>IF(Y84=1,IF(ISNUMBER(T84),T84,0),0)</f>
        <v/>
      </c>
      <c r="BC84" s="7">
        <f>IF(Y84=1,IF(ISNUMBER(T84),1,0),0)</f>
        <v/>
      </c>
      <c r="BD84" s="7">
        <f>IF(Y84=1,AQ84+ROW()/1E9,-1E9)</f>
        <v/>
      </c>
      <c r="BE84" s="7">
        <f>IF(Y84=1,AQ84+ROW()/1E9,1E9)</f>
        <v/>
      </c>
    </row>
    <row r="85">
      <c r="A85" s="16" t="n"/>
      <c r="B85" s="8">
        <f>IF($A85="","",BDP($A85,B$3))</f>
        <v/>
      </c>
      <c r="C85" s="8">
        <f>IF($A85="","",BDP($A85,C$3))</f>
        <v/>
      </c>
      <c r="D85" s="28">
        <f>IF($A85="","",BDP($A85,D$3))</f>
        <v/>
      </c>
      <c r="E85" s="29">
        <f>IF($A85="","",BDP($A85,E$3))</f>
        <v/>
      </c>
      <c r="F85" s="17">
        <f>IF($A85="","",BDP($A85,F$3))</f>
        <v/>
      </c>
      <c r="G85" s="8">
        <f>IF($A85="","",BDP($A85,G$3))</f>
        <v/>
      </c>
      <c r="H85" s="8">
        <f>IF($A85="","",BDP($A85,H$3))</f>
        <v/>
      </c>
      <c r="I85" s="8">
        <f>IF($A85="","",BDP($A85,I$3))</f>
        <v/>
      </c>
      <c r="J85" s="8">
        <f>IF($A85="","",BDP($A85,J$3))</f>
        <v/>
      </c>
      <c r="K85" s="8">
        <f>IF($A85="","",BDP($A85,K$3))</f>
        <v/>
      </c>
      <c r="L85" s="28">
        <f>IF($A85="","",BDP($A85,L$3))</f>
        <v/>
      </c>
      <c r="M85" s="28">
        <f>IF($A85="","",BDP($A85,M$3))</f>
        <v/>
      </c>
      <c r="N85" s="30">
        <f>IF($A85="","",BDP($A85,N$3))</f>
        <v/>
      </c>
      <c r="O85" s="31">
        <f>IF($A85="","",BDP($A85,O$3))</f>
        <v/>
      </c>
      <c r="P85" s="30">
        <f>IF($A85="","",BDH($A85,$N$3,'參數'!$B$5,'參數'!$B$5,"Days=A","Fill=P","Dates=H"))</f>
        <v/>
      </c>
      <c r="Q85" s="30">
        <f>IF($A85="","",BDH($A85,$N$3,'參數'!$B$6,'參數'!$B$6,"Days=A","Fill=P","Dates=H"))</f>
        <v/>
      </c>
      <c r="R85" s="30">
        <f>IF($A85="","",BDH($A85,$N$3,'參數'!$B$7,'參數'!$B$7,"Days=A","Fill=P","Dates=H"))</f>
        <v/>
      </c>
      <c r="S85" s="32">
        <f>IF($A85="","",IFERROR(INDEX('發行人'!$A$5:$A$44,MATCH(B85,'發行人'!$D$5:$D$44,0)),"未對應"))</f>
        <v/>
      </c>
      <c r="T85" s="24">
        <f>IF($A85="","",IFERROR(INDEX('發行人'!$G$5:$G$44,MATCH(B85,'發行人'!$D$5:$D$44,0))+0,""))</f>
        <v/>
      </c>
      <c r="U85" s="18">
        <f>IF(ISNUMBER(E85),YEARFRAC('參數'!$B$4,E85),"")</f>
        <v/>
      </c>
      <c r="V85" s="8">
        <f>IF(U85="","",IF(U85&lt;3,"1-3y",IF(U85&lt;5,"3-5y",IF(U85&lt;7,"5-7y",IF(U85&lt;10,"7-10y","10y+")))))</f>
        <v/>
      </c>
      <c r="W85" s="30">
        <f>IF($A85="","",IFERROR(INDEX('參數'!$B$24:$B$45,MATCH(G85,'參數'!$A$24:$A$45,0)),""))</f>
        <v/>
      </c>
      <c r="X85" s="8">
        <f>IF($A85="","",IFERROR(INDEX('參數'!$C$24:$C$45,MATCH(G85,'參數'!$A$24:$A$45,0)),""))</f>
        <v/>
      </c>
      <c r="Y85" s="30">
        <f>IF(AND(ISNUMBER(N85),ISNUMBER(O85),ISNUMBER(U85)),IF(AND(O85&gt;0,X85&lt;&gt;""),1,0),0)</f>
        <v/>
      </c>
      <c r="Z85" s="17">
        <f>IF(Y85=1,O85*N85,"")</f>
        <v/>
      </c>
      <c r="AA85" s="33">
        <f>IF(Y85=1,IF(ISNUMBER(Q85),N85-Q85,""),"")</f>
        <v/>
      </c>
      <c r="AB85" s="33">
        <f>IF(Y85=1,IF(AND(ISNUMBER(P85),ISNUMBER(R85)),R85*5/12-O85*(P85-R85),""),"")</f>
        <v/>
      </c>
      <c r="AC85" s="30">
        <f>IF(Y85=1,COUNTIFS($X$5:$X$404,X85,$V$5:$V$404,V85,$Y$5:$Y$404,1),"")</f>
        <v/>
      </c>
      <c r="AD85" s="30">
        <f>IF(Y85=1,IFERROR(IF(AC85&gt;='參數'!$B$9,INDEX('分群統計'!$G$13:$K$16,MATCH(X85,'分群統計'!$A$13:$A$16,0),MATCH(V85,'分群統計'!$G$12:$K$12,0)),INDEX('分群統計'!$I$5:$I$8,MATCH(X85,'分群統計'!$A$5:$A$8,0))),""),"")</f>
        <v/>
      </c>
      <c r="AE85" s="18">
        <f>IF(Y85=1,IFERROR(IF(AC85&gt;='參數'!$B$9,INDEX('分群統計'!$L$13:$P$16,MATCH(X85,'分群統計'!$A$13:$A$16,0),MATCH(V85,'分群統計'!$L$12:$P$12,0)),INDEX('分群統計'!$J$5:$J$8,MATCH(X85,'分群統計'!$A$5:$A$8,0))),""),"")</f>
        <v/>
      </c>
      <c r="AF85" s="31">
        <f>IF(ISNUMBER(AE85),IF(AE85&gt;0,MAX(-3,MIN(3,(N85-AD85)/AE85)),0),"")</f>
        <v/>
      </c>
      <c r="AG85" s="30">
        <f>IF(Y85=1,COUNTIFS($B$5:$B$404,B85,$Y$5:$Y$404,1),"")</f>
        <v/>
      </c>
      <c r="AH85" s="30">
        <f>IF(Y85=1,IFERROR(IF(ISNUMBER(INDEX('分群統計'!$G$20:$G$59,MATCH(B85,'分群統計'!$A$20:$A$59,0))),INDEX('分群統計'!$H$20:$H$59,MATCH(B85,'分群統計'!$A$20:$A$59,0))+INDEX('分群統計'!$G$20:$G$59,MATCH(B85,'分群統計'!$A$20:$A$59,0))*AU85,""),""),"")</f>
        <v/>
      </c>
      <c r="AI85" s="34">
        <f>IF(ISNUMBER(AH85),N85-AH85,"")</f>
        <v/>
      </c>
      <c r="AJ85" s="30">
        <f>IF(Y85=1,IFERROR(IF(ISNUMBER(INDEX('分群統計'!$G$5:$G$8,MATCH(X85,'分群統計'!$A$5:$A$8,0))),INDEX('分群統計'!$H$5:$H$8,MATCH(X85,'分群統計'!$A$5:$A$8,0))+INDEX('分群統計'!$G$5:$G$8,MATCH(X85,'分群統計'!$A$5:$A$8,0))*AU85,""),""),"")</f>
        <v/>
      </c>
      <c r="AK85" s="34">
        <f>IF(ISNUMBER(AJ85),N85-AJ85,"")</f>
        <v/>
      </c>
      <c r="AL85" s="21">
        <f>IF(ISNUMBER(AJ85),IF(AJ85&gt;0,AK85/AJ85,""),"")</f>
        <v/>
      </c>
      <c r="AM85" s="31">
        <f>IF(AY85&lt;&gt;1,"",IFERROR(IF(INDEX('分群統計'!$K$5:$K$8,MATCH(X85,'分群統計'!$A$5:$A$8,0))&lt;3,"",IF(INDEX('分群統計'!$M$5:$M$8,MATCH(X85,'分群統計'!$A$5:$A$8,0))&gt;0,MAX(-3,MIN(3,(AX85-INDEX('分群統計'!$L$5:$L$8,MATCH(X85,'分群統計'!$A$5:$A$8,0)))/INDEX('分群統計'!$M$5:$M$8,MATCH(X85,'分群統計'!$A$5:$A$8,0)))),0)),""))</f>
        <v/>
      </c>
      <c r="AN85" s="31">
        <f>IF(ISNUMBER(AB85),IF(Z85&gt;0,AB85/Z85*100,""),"")</f>
        <v/>
      </c>
      <c r="AO85" s="31">
        <f>IF(BA85&lt;&gt;1,"",IFERROR(IF(INDEX('分群統計'!$N$5:$N$8,MATCH(X85,'分群統計'!$A$5:$A$8,0))&lt;3,"",IF(INDEX('分群統計'!$P$5:$P$8,MATCH(X85,'分群統計'!$A$5:$A$8,0))&gt;0,MAX(-3,MIN(3,(AZ85-INDEX('分群統計'!$O$5:$O$8,MATCH(X85,'分群統計'!$A$5:$A$8,0)))/INDEX('分群統計'!$P$5:$P$8,MATCH(X85,'分群統計'!$A$5:$A$8,0)))),0)),""))</f>
        <v/>
      </c>
      <c r="AP85" s="31">
        <f>IF(BC85&lt;&gt;1,"",IFERROR(IF(INDEX('分群統計'!$Q$5:$Q$8,MATCH(X85,'分群統計'!$A$5:$A$8,0))&lt;3,"",IF(INDEX('分群統計'!$S$5:$S$8,MATCH(X85,'分群統計'!$A$5:$A$8,0))&gt;0,MAX(-3,MIN(3,(BB85-INDEX('分群統計'!$R$5:$R$8,MATCH(X85,'分群統計'!$A$5:$A$8,0)))/INDEX('分群統計'!$S$5:$S$8,MATCH(X85,'分群統計'!$A$5:$A$8,0)))),0)),""))</f>
        <v/>
      </c>
      <c r="AQ85" s="31">
        <f>IF(Y85=1,(IF(ISNUMBER(AF85),AF85,0)*'參數'!$B$13+IF(ISNUMBER(AM85),AM85,0)*'參數'!$B$14+IF(ISNUMBER(AO85),AO85,0)*'參數'!$B$15+IF(ISNUMBER(AP85),AP85,0)*'參數'!$B$16)/('參數'!$B$13+'參數'!$B$14+'參數'!$B$15+'參數'!$B$16),"")</f>
        <v/>
      </c>
      <c r="AR85" s="35">
        <f>IF(Y85=1,(SUMPRODUCT(($X$5:$X$404=X85)*($Y$5:$Y$404=1)*($BD$5:$BD$404&gt;BD85))+1)/COUNTIFS($X$5:$X$404,X85,$Y$5:$Y$404,1),"")</f>
        <v/>
      </c>
      <c r="AS85" s="8">
        <f>IF(ISNUMBER(AR85),IF(AR85&lt;='參數'!$B$18,"加碼候選",IF(AR85&gt;'參數'!$B$19,"減碼候選","")),"")</f>
        <v/>
      </c>
      <c r="AT85" s="7">
        <f>IF(Y85=1,N85,0)</f>
        <v/>
      </c>
      <c r="AU85" s="7">
        <f>IF(Y85=1,LN(O85),0)</f>
        <v/>
      </c>
      <c r="AV85" s="36">
        <f>IF(Y85=1,IF(ISNUMBER(F85),F85,0),0)</f>
        <v/>
      </c>
      <c r="AW85" s="7">
        <f>IF(Y85=1,Z85,0)</f>
        <v/>
      </c>
      <c r="AX85" s="7">
        <f>IF(Y85=1,IF(ISNUMBER(AL85),AL85,0),0)</f>
        <v/>
      </c>
      <c r="AY85" s="7">
        <f>IF(Y85=1,IF(ISNUMBER(AL85),1,0),0)</f>
        <v/>
      </c>
      <c r="AZ85" s="7">
        <f>IF(Y85=1,IF(ISNUMBER(AN85),AN85,0),0)</f>
        <v/>
      </c>
      <c r="BA85" s="7">
        <f>IF(Y85=1,IF(ISNUMBER(AN85),1,0),0)</f>
        <v/>
      </c>
      <c r="BB85" s="7">
        <f>IF(Y85=1,IF(ISNUMBER(T85),T85,0),0)</f>
        <v/>
      </c>
      <c r="BC85" s="7">
        <f>IF(Y85=1,IF(ISNUMBER(T85),1,0),0)</f>
        <v/>
      </c>
      <c r="BD85" s="7">
        <f>IF(Y85=1,AQ85+ROW()/1E9,-1E9)</f>
        <v/>
      </c>
      <c r="BE85" s="7">
        <f>IF(Y85=1,AQ85+ROW()/1E9,1E9)</f>
        <v/>
      </c>
    </row>
    <row r="86">
      <c r="A86" s="16" t="n"/>
      <c r="B86" s="8">
        <f>IF($A86="","",BDP($A86,B$3))</f>
        <v/>
      </c>
      <c r="C86" s="8">
        <f>IF($A86="","",BDP($A86,C$3))</f>
        <v/>
      </c>
      <c r="D86" s="28">
        <f>IF($A86="","",BDP($A86,D$3))</f>
        <v/>
      </c>
      <c r="E86" s="29">
        <f>IF($A86="","",BDP($A86,E$3))</f>
        <v/>
      </c>
      <c r="F86" s="17">
        <f>IF($A86="","",BDP($A86,F$3))</f>
        <v/>
      </c>
      <c r="G86" s="8">
        <f>IF($A86="","",BDP($A86,G$3))</f>
        <v/>
      </c>
      <c r="H86" s="8">
        <f>IF($A86="","",BDP($A86,H$3))</f>
        <v/>
      </c>
      <c r="I86" s="8">
        <f>IF($A86="","",BDP($A86,I$3))</f>
        <v/>
      </c>
      <c r="J86" s="8">
        <f>IF($A86="","",BDP($A86,J$3))</f>
        <v/>
      </c>
      <c r="K86" s="8">
        <f>IF($A86="","",BDP($A86,K$3))</f>
        <v/>
      </c>
      <c r="L86" s="28">
        <f>IF($A86="","",BDP($A86,L$3))</f>
        <v/>
      </c>
      <c r="M86" s="28">
        <f>IF($A86="","",BDP($A86,M$3))</f>
        <v/>
      </c>
      <c r="N86" s="30">
        <f>IF($A86="","",BDP($A86,N$3))</f>
        <v/>
      </c>
      <c r="O86" s="31">
        <f>IF($A86="","",BDP($A86,O$3))</f>
        <v/>
      </c>
      <c r="P86" s="30">
        <f>IF($A86="","",BDH($A86,$N$3,'參數'!$B$5,'參數'!$B$5,"Days=A","Fill=P","Dates=H"))</f>
        <v/>
      </c>
      <c r="Q86" s="30">
        <f>IF($A86="","",BDH($A86,$N$3,'參數'!$B$6,'參數'!$B$6,"Days=A","Fill=P","Dates=H"))</f>
        <v/>
      </c>
      <c r="R86" s="30">
        <f>IF($A86="","",BDH($A86,$N$3,'參數'!$B$7,'參數'!$B$7,"Days=A","Fill=P","Dates=H"))</f>
        <v/>
      </c>
      <c r="S86" s="32">
        <f>IF($A86="","",IFERROR(INDEX('發行人'!$A$5:$A$44,MATCH(B86,'發行人'!$D$5:$D$44,0)),"未對應"))</f>
        <v/>
      </c>
      <c r="T86" s="24">
        <f>IF($A86="","",IFERROR(INDEX('發行人'!$G$5:$G$44,MATCH(B86,'發行人'!$D$5:$D$44,0))+0,""))</f>
        <v/>
      </c>
      <c r="U86" s="18">
        <f>IF(ISNUMBER(E86),YEARFRAC('參數'!$B$4,E86),"")</f>
        <v/>
      </c>
      <c r="V86" s="8">
        <f>IF(U86="","",IF(U86&lt;3,"1-3y",IF(U86&lt;5,"3-5y",IF(U86&lt;7,"5-7y",IF(U86&lt;10,"7-10y","10y+")))))</f>
        <v/>
      </c>
      <c r="W86" s="30">
        <f>IF($A86="","",IFERROR(INDEX('參數'!$B$24:$B$45,MATCH(G86,'參數'!$A$24:$A$45,0)),""))</f>
        <v/>
      </c>
      <c r="X86" s="8">
        <f>IF($A86="","",IFERROR(INDEX('參數'!$C$24:$C$45,MATCH(G86,'參數'!$A$24:$A$45,0)),""))</f>
        <v/>
      </c>
      <c r="Y86" s="30">
        <f>IF(AND(ISNUMBER(N86),ISNUMBER(O86),ISNUMBER(U86)),IF(AND(O86&gt;0,X86&lt;&gt;""),1,0),0)</f>
        <v/>
      </c>
      <c r="Z86" s="17">
        <f>IF(Y86=1,O86*N86,"")</f>
        <v/>
      </c>
      <c r="AA86" s="33">
        <f>IF(Y86=1,IF(ISNUMBER(Q86),N86-Q86,""),"")</f>
        <v/>
      </c>
      <c r="AB86" s="33">
        <f>IF(Y86=1,IF(AND(ISNUMBER(P86),ISNUMBER(R86)),R86*5/12-O86*(P86-R86),""),"")</f>
        <v/>
      </c>
      <c r="AC86" s="30">
        <f>IF(Y86=1,COUNTIFS($X$5:$X$404,X86,$V$5:$V$404,V86,$Y$5:$Y$404,1),"")</f>
        <v/>
      </c>
      <c r="AD86" s="30">
        <f>IF(Y86=1,IFERROR(IF(AC86&gt;='參數'!$B$9,INDEX('分群統計'!$G$13:$K$16,MATCH(X86,'分群統計'!$A$13:$A$16,0),MATCH(V86,'分群統計'!$G$12:$K$12,0)),INDEX('分群統計'!$I$5:$I$8,MATCH(X86,'分群統計'!$A$5:$A$8,0))),""),"")</f>
        <v/>
      </c>
      <c r="AE86" s="18">
        <f>IF(Y86=1,IFERROR(IF(AC86&gt;='參數'!$B$9,INDEX('分群統計'!$L$13:$P$16,MATCH(X86,'分群統計'!$A$13:$A$16,0),MATCH(V86,'分群統計'!$L$12:$P$12,0)),INDEX('分群統計'!$J$5:$J$8,MATCH(X86,'分群統計'!$A$5:$A$8,0))),""),"")</f>
        <v/>
      </c>
      <c r="AF86" s="31">
        <f>IF(ISNUMBER(AE86),IF(AE86&gt;0,MAX(-3,MIN(3,(N86-AD86)/AE86)),0),"")</f>
        <v/>
      </c>
      <c r="AG86" s="30">
        <f>IF(Y86=1,COUNTIFS($B$5:$B$404,B86,$Y$5:$Y$404,1),"")</f>
        <v/>
      </c>
      <c r="AH86" s="30">
        <f>IF(Y86=1,IFERROR(IF(ISNUMBER(INDEX('分群統計'!$G$20:$G$59,MATCH(B86,'分群統計'!$A$20:$A$59,0))),INDEX('分群統計'!$H$20:$H$59,MATCH(B86,'分群統計'!$A$20:$A$59,0))+INDEX('分群統計'!$G$20:$G$59,MATCH(B86,'分群統計'!$A$20:$A$59,0))*AU86,""),""),"")</f>
        <v/>
      </c>
      <c r="AI86" s="34">
        <f>IF(ISNUMBER(AH86),N86-AH86,"")</f>
        <v/>
      </c>
      <c r="AJ86" s="30">
        <f>IF(Y86=1,IFERROR(IF(ISNUMBER(INDEX('分群統計'!$G$5:$G$8,MATCH(X86,'分群統計'!$A$5:$A$8,0))),INDEX('分群統計'!$H$5:$H$8,MATCH(X86,'分群統計'!$A$5:$A$8,0))+INDEX('分群統計'!$G$5:$G$8,MATCH(X86,'分群統計'!$A$5:$A$8,0))*AU86,""),""),"")</f>
        <v/>
      </c>
      <c r="AK86" s="34">
        <f>IF(ISNUMBER(AJ86),N86-AJ86,"")</f>
        <v/>
      </c>
      <c r="AL86" s="21">
        <f>IF(ISNUMBER(AJ86),IF(AJ86&gt;0,AK86/AJ86,""),"")</f>
        <v/>
      </c>
      <c r="AM86" s="31">
        <f>IF(AY86&lt;&gt;1,"",IFERROR(IF(INDEX('分群統計'!$K$5:$K$8,MATCH(X86,'分群統計'!$A$5:$A$8,0))&lt;3,"",IF(INDEX('分群統計'!$M$5:$M$8,MATCH(X86,'分群統計'!$A$5:$A$8,0))&gt;0,MAX(-3,MIN(3,(AX86-INDEX('分群統計'!$L$5:$L$8,MATCH(X86,'分群統計'!$A$5:$A$8,0)))/INDEX('分群統計'!$M$5:$M$8,MATCH(X86,'分群統計'!$A$5:$A$8,0)))),0)),""))</f>
        <v/>
      </c>
      <c r="AN86" s="31">
        <f>IF(ISNUMBER(AB86),IF(Z86&gt;0,AB86/Z86*100,""),"")</f>
        <v/>
      </c>
      <c r="AO86" s="31">
        <f>IF(BA86&lt;&gt;1,"",IFERROR(IF(INDEX('分群統計'!$N$5:$N$8,MATCH(X86,'分群統計'!$A$5:$A$8,0))&lt;3,"",IF(INDEX('分群統計'!$P$5:$P$8,MATCH(X86,'分群統計'!$A$5:$A$8,0))&gt;0,MAX(-3,MIN(3,(AZ86-INDEX('分群統計'!$O$5:$O$8,MATCH(X86,'分群統計'!$A$5:$A$8,0)))/INDEX('分群統計'!$P$5:$P$8,MATCH(X86,'分群統計'!$A$5:$A$8,0)))),0)),""))</f>
        <v/>
      </c>
      <c r="AP86" s="31">
        <f>IF(BC86&lt;&gt;1,"",IFERROR(IF(INDEX('分群統計'!$Q$5:$Q$8,MATCH(X86,'分群統計'!$A$5:$A$8,0))&lt;3,"",IF(INDEX('分群統計'!$S$5:$S$8,MATCH(X86,'分群統計'!$A$5:$A$8,0))&gt;0,MAX(-3,MIN(3,(BB86-INDEX('分群統計'!$R$5:$R$8,MATCH(X86,'分群統計'!$A$5:$A$8,0)))/INDEX('分群統計'!$S$5:$S$8,MATCH(X86,'分群統計'!$A$5:$A$8,0)))),0)),""))</f>
        <v/>
      </c>
      <c r="AQ86" s="31">
        <f>IF(Y86=1,(IF(ISNUMBER(AF86),AF86,0)*'參數'!$B$13+IF(ISNUMBER(AM86),AM86,0)*'參數'!$B$14+IF(ISNUMBER(AO86),AO86,0)*'參數'!$B$15+IF(ISNUMBER(AP86),AP86,0)*'參數'!$B$16)/('參數'!$B$13+'參數'!$B$14+'參數'!$B$15+'參數'!$B$16),"")</f>
        <v/>
      </c>
      <c r="AR86" s="35">
        <f>IF(Y86=1,(SUMPRODUCT(($X$5:$X$404=X86)*($Y$5:$Y$404=1)*($BD$5:$BD$404&gt;BD86))+1)/COUNTIFS($X$5:$X$404,X86,$Y$5:$Y$404,1),"")</f>
        <v/>
      </c>
      <c r="AS86" s="8">
        <f>IF(ISNUMBER(AR86),IF(AR86&lt;='參數'!$B$18,"加碼候選",IF(AR86&gt;'參數'!$B$19,"減碼候選","")),"")</f>
        <v/>
      </c>
      <c r="AT86" s="7">
        <f>IF(Y86=1,N86,0)</f>
        <v/>
      </c>
      <c r="AU86" s="7">
        <f>IF(Y86=1,LN(O86),0)</f>
        <v/>
      </c>
      <c r="AV86" s="36">
        <f>IF(Y86=1,IF(ISNUMBER(F86),F86,0),0)</f>
        <v/>
      </c>
      <c r="AW86" s="7">
        <f>IF(Y86=1,Z86,0)</f>
        <v/>
      </c>
      <c r="AX86" s="7">
        <f>IF(Y86=1,IF(ISNUMBER(AL86),AL86,0),0)</f>
        <v/>
      </c>
      <c r="AY86" s="7">
        <f>IF(Y86=1,IF(ISNUMBER(AL86),1,0),0)</f>
        <v/>
      </c>
      <c r="AZ86" s="7">
        <f>IF(Y86=1,IF(ISNUMBER(AN86),AN86,0),0)</f>
        <v/>
      </c>
      <c r="BA86" s="7">
        <f>IF(Y86=1,IF(ISNUMBER(AN86),1,0),0)</f>
        <v/>
      </c>
      <c r="BB86" s="7">
        <f>IF(Y86=1,IF(ISNUMBER(T86),T86,0),0)</f>
        <v/>
      </c>
      <c r="BC86" s="7">
        <f>IF(Y86=1,IF(ISNUMBER(T86),1,0),0)</f>
        <v/>
      </c>
      <c r="BD86" s="7">
        <f>IF(Y86=1,AQ86+ROW()/1E9,-1E9)</f>
        <v/>
      </c>
      <c r="BE86" s="7">
        <f>IF(Y86=1,AQ86+ROW()/1E9,1E9)</f>
        <v/>
      </c>
    </row>
    <row r="87">
      <c r="A87" s="16" t="n"/>
      <c r="B87" s="8">
        <f>IF($A87="","",BDP($A87,B$3))</f>
        <v/>
      </c>
      <c r="C87" s="8">
        <f>IF($A87="","",BDP($A87,C$3))</f>
        <v/>
      </c>
      <c r="D87" s="28">
        <f>IF($A87="","",BDP($A87,D$3))</f>
        <v/>
      </c>
      <c r="E87" s="29">
        <f>IF($A87="","",BDP($A87,E$3))</f>
        <v/>
      </c>
      <c r="F87" s="17">
        <f>IF($A87="","",BDP($A87,F$3))</f>
        <v/>
      </c>
      <c r="G87" s="8">
        <f>IF($A87="","",BDP($A87,G$3))</f>
        <v/>
      </c>
      <c r="H87" s="8">
        <f>IF($A87="","",BDP($A87,H$3))</f>
        <v/>
      </c>
      <c r="I87" s="8">
        <f>IF($A87="","",BDP($A87,I$3))</f>
        <v/>
      </c>
      <c r="J87" s="8">
        <f>IF($A87="","",BDP($A87,J$3))</f>
        <v/>
      </c>
      <c r="K87" s="8">
        <f>IF($A87="","",BDP($A87,K$3))</f>
        <v/>
      </c>
      <c r="L87" s="28">
        <f>IF($A87="","",BDP($A87,L$3))</f>
        <v/>
      </c>
      <c r="M87" s="28">
        <f>IF($A87="","",BDP($A87,M$3))</f>
        <v/>
      </c>
      <c r="N87" s="30">
        <f>IF($A87="","",BDP($A87,N$3))</f>
        <v/>
      </c>
      <c r="O87" s="31">
        <f>IF($A87="","",BDP($A87,O$3))</f>
        <v/>
      </c>
      <c r="P87" s="30">
        <f>IF($A87="","",BDH($A87,$N$3,'參數'!$B$5,'參數'!$B$5,"Days=A","Fill=P","Dates=H"))</f>
        <v/>
      </c>
      <c r="Q87" s="30">
        <f>IF($A87="","",BDH($A87,$N$3,'參數'!$B$6,'參數'!$B$6,"Days=A","Fill=P","Dates=H"))</f>
        <v/>
      </c>
      <c r="R87" s="30">
        <f>IF($A87="","",BDH($A87,$N$3,'參數'!$B$7,'參數'!$B$7,"Days=A","Fill=P","Dates=H"))</f>
        <v/>
      </c>
      <c r="S87" s="32">
        <f>IF($A87="","",IFERROR(INDEX('發行人'!$A$5:$A$44,MATCH(B87,'發行人'!$D$5:$D$44,0)),"未對應"))</f>
        <v/>
      </c>
      <c r="T87" s="24">
        <f>IF($A87="","",IFERROR(INDEX('發行人'!$G$5:$G$44,MATCH(B87,'發行人'!$D$5:$D$44,0))+0,""))</f>
        <v/>
      </c>
      <c r="U87" s="18">
        <f>IF(ISNUMBER(E87),YEARFRAC('參數'!$B$4,E87),"")</f>
        <v/>
      </c>
      <c r="V87" s="8">
        <f>IF(U87="","",IF(U87&lt;3,"1-3y",IF(U87&lt;5,"3-5y",IF(U87&lt;7,"5-7y",IF(U87&lt;10,"7-10y","10y+")))))</f>
        <v/>
      </c>
      <c r="W87" s="30">
        <f>IF($A87="","",IFERROR(INDEX('參數'!$B$24:$B$45,MATCH(G87,'參數'!$A$24:$A$45,0)),""))</f>
        <v/>
      </c>
      <c r="X87" s="8">
        <f>IF($A87="","",IFERROR(INDEX('參數'!$C$24:$C$45,MATCH(G87,'參數'!$A$24:$A$45,0)),""))</f>
        <v/>
      </c>
      <c r="Y87" s="30">
        <f>IF(AND(ISNUMBER(N87),ISNUMBER(O87),ISNUMBER(U87)),IF(AND(O87&gt;0,X87&lt;&gt;""),1,0),0)</f>
        <v/>
      </c>
      <c r="Z87" s="17">
        <f>IF(Y87=1,O87*N87,"")</f>
        <v/>
      </c>
      <c r="AA87" s="33">
        <f>IF(Y87=1,IF(ISNUMBER(Q87),N87-Q87,""),"")</f>
        <v/>
      </c>
      <c r="AB87" s="33">
        <f>IF(Y87=1,IF(AND(ISNUMBER(P87),ISNUMBER(R87)),R87*5/12-O87*(P87-R87),""),"")</f>
        <v/>
      </c>
      <c r="AC87" s="30">
        <f>IF(Y87=1,COUNTIFS($X$5:$X$404,X87,$V$5:$V$404,V87,$Y$5:$Y$404,1),"")</f>
        <v/>
      </c>
      <c r="AD87" s="30">
        <f>IF(Y87=1,IFERROR(IF(AC87&gt;='參數'!$B$9,INDEX('分群統計'!$G$13:$K$16,MATCH(X87,'分群統計'!$A$13:$A$16,0),MATCH(V87,'分群統計'!$G$12:$K$12,0)),INDEX('分群統計'!$I$5:$I$8,MATCH(X87,'分群統計'!$A$5:$A$8,0))),""),"")</f>
        <v/>
      </c>
      <c r="AE87" s="18">
        <f>IF(Y87=1,IFERROR(IF(AC87&gt;='參數'!$B$9,INDEX('分群統計'!$L$13:$P$16,MATCH(X87,'分群統計'!$A$13:$A$16,0),MATCH(V87,'分群統計'!$L$12:$P$12,0)),INDEX('分群統計'!$J$5:$J$8,MATCH(X87,'分群統計'!$A$5:$A$8,0))),""),"")</f>
        <v/>
      </c>
      <c r="AF87" s="31">
        <f>IF(ISNUMBER(AE87),IF(AE87&gt;0,MAX(-3,MIN(3,(N87-AD87)/AE87)),0),"")</f>
        <v/>
      </c>
      <c r="AG87" s="30">
        <f>IF(Y87=1,COUNTIFS($B$5:$B$404,B87,$Y$5:$Y$404,1),"")</f>
        <v/>
      </c>
      <c r="AH87" s="30">
        <f>IF(Y87=1,IFERROR(IF(ISNUMBER(INDEX('分群統計'!$G$20:$G$59,MATCH(B87,'分群統計'!$A$20:$A$59,0))),INDEX('分群統計'!$H$20:$H$59,MATCH(B87,'分群統計'!$A$20:$A$59,0))+INDEX('分群統計'!$G$20:$G$59,MATCH(B87,'分群統計'!$A$20:$A$59,0))*AU87,""),""),"")</f>
        <v/>
      </c>
      <c r="AI87" s="34">
        <f>IF(ISNUMBER(AH87),N87-AH87,"")</f>
        <v/>
      </c>
      <c r="AJ87" s="30">
        <f>IF(Y87=1,IFERROR(IF(ISNUMBER(INDEX('分群統計'!$G$5:$G$8,MATCH(X87,'分群統計'!$A$5:$A$8,0))),INDEX('分群統計'!$H$5:$H$8,MATCH(X87,'分群統計'!$A$5:$A$8,0))+INDEX('分群統計'!$G$5:$G$8,MATCH(X87,'分群統計'!$A$5:$A$8,0))*AU87,""),""),"")</f>
        <v/>
      </c>
      <c r="AK87" s="34">
        <f>IF(ISNUMBER(AJ87),N87-AJ87,"")</f>
        <v/>
      </c>
      <c r="AL87" s="21">
        <f>IF(ISNUMBER(AJ87),IF(AJ87&gt;0,AK87/AJ87,""),"")</f>
        <v/>
      </c>
      <c r="AM87" s="31">
        <f>IF(AY87&lt;&gt;1,"",IFERROR(IF(INDEX('分群統計'!$K$5:$K$8,MATCH(X87,'分群統計'!$A$5:$A$8,0))&lt;3,"",IF(INDEX('分群統計'!$M$5:$M$8,MATCH(X87,'分群統計'!$A$5:$A$8,0))&gt;0,MAX(-3,MIN(3,(AX87-INDEX('分群統計'!$L$5:$L$8,MATCH(X87,'分群統計'!$A$5:$A$8,0)))/INDEX('分群統計'!$M$5:$M$8,MATCH(X87,'分群統計'!$A$5:$A$8,0)))),0)),""))</f>
        <v/>
      </c>
      <c r="AN87" s="31">
        <f>IF(ISNUMBER(AB87),IF(Z87&gt;0,AB87/Z87*100,""),"")</f>
        <v/>
      </c>
      <c r="AO87" s="31">
        <f>IF(BA87&lt;&gt;1,"",IFERROR(IF(INDEX('分群統計'!$N$5:$N$8,MATCH(X87,'分群統計'!$A$5:$A$8,0))&lt;3,"",IF(INDEX('分群統計'!$P$5:$P$8,MATCH(X87,'分群統計'!$A$5:$A$8,0))&gt;0,MAX(-3,MIN(3,(AZ87-INDEX('分群統計'!$O$5:$O$8,MATCH(X87,'分群統計'!$A$5:$A$8,0)))/INDEX('分群統計'!$P$5:$P$8,MATCH(X87,'分群統計'!$A$5:$A$8,0)))),0)),""))</f>
        <v/>
      </c>
      <c r="AP87" s="31">
        <f>IF(BC87&lt;&gt;1,"",IFERROR(IF(INDEX('分群統計'!$Q$5:$Q$8,MATCH(X87,'分群統計'!$A$5:$A$8,0))&lt;3,"",IF(INDEX('分群統計'!$S$5:$S$8,MATCH(X87,'分群統計'!$A$5:$A$8,0))&gt;0,MAX(-3,MIN(3,(BB87-INDEX('分群統計'!$R$5:$R$8,MATCH(X87,'分群統計'!$A$5:$A$8,0)))/INDEX('分群統計'!$S$5:$S$8,MATCH(X87,'分群統計'!$A$5:$A$8,0)))),0)),""))</f>
        <v/>
      </c>
      <c r="AQ87" s="31">
        <f>IF(Y87=1,(IF(ISNUMBER(AF87),AF87,0)*'參數'!$B$13+IF(ISNUMBER(AM87),AM87,0)*'參數'!$B$14+IF(ISNUMBER(AO87),AO87,0)*'參數'!$B$15+IF(ISNUMBER(AP87),AP87,0)*'參數'!$B$16)/('參數'!$B$13+'參數'!$B$14+'參數'!$B$15+'參數'!$B$16),"")</f>
        <v/>
      </c>
      <c r="AR87" s="35">
        <f>IF(Y87=1,(SUMPRODUCT(($X$5:$X$404=X87)*($Y$5:$Y$404=1)*($BD$5:$BD$404&gt;BD87))+1)/COUNTIFS($X$5:$X$404,X87,$Y$5:$Y$404,1),"")</f>
        <v/>
      </c>
      <c r="AS87" s="8">
        <f>IF(ISNUMBER(AR87),IF(AR87&lt;='參數'!$B$18,"加碼候選",IF(AR87&gt;'參數'!$B$19,"減碼候選","")),"")</f>
        <v/>
      </c>
      <c r="AT87" s="7">
        <f>IF(Y87=1,N87,0)</f>
        <v/>
      </c>
      <c r="AU87" s="7">
        <f>IF(Y87=1,LN(O87),0)</f>
        <v/>
      </c>
      <c r="AV87" s="36">
        <f>IF(Y87=1,IF(ISNUMBER(F87),F87,0),0)</f>
        <v/>
      </c>
      <c r="AW87" s="7">
        <f>IF(Y87=1,Z87,0)</f>
        <v/>
      </c>
      <c r="AX87" s="7">
        <f>IF(Y87=1,IF(ISNUMBER(AL87),AL87,0),0)</f>
        <v/>
      </c>
      <c r="AY87" s="7">
        <f>IF(Y87=1,IF(ISNUMBER(AL87),1,0),0)</f>
        <v/>
      </c>
      <c r="AZ87" s="7">
        <f>IF(Y87=1,IF(ISNUMBER(AN87),AN87,0),0)</f>
        <v/>
      </c>
      <c r="BA87" s="7">
        <f>IF(Y87=1,IF(ISNUMBER(AN87),1,0),0)</f>
        <v/>
      </c>
      <c r="BB87" s="7">
        <f>IF(Y87=1,IF(ISNUMBER(T87),T87,0),0)</f>
        <v/>
      </c>
      <c r="BC87" s="7">
        <f>IF(Y87=1,IF(ISNUMBER(T87),1,0),0)</f>
        <v/>
      </c>
      <c r="BD87" s="7">
        <f>IF(Y87=1,AQ87+ROW()/1E9,-1E9)</f>
        <v/>
      </c>
      <c r="BE87" s="7">
        <f>IF(Y87=1,AQ87+ROW()/1E9,1E9)</f>
        <v/>
      </c>
    </row>
    <row r="88">
      <c r="A88" s="16" t="n"/>
      <c r="B88" s="8">
        <f>IF($A88="","",BDP($A88,B$3))</f>
        <v/>
      </c>
      <c r="C88" s="8">
        <f>IF($A88="","",BDP($A88,C$3))</f>
        <v/>
      </c>
      <c r="D88" s="28">
        <f>IF($A88="","",BDP($A88,D$3))</f>
        <v/>
      </c>
      <c r="E88" s="29">
        <f>IF($A88="","",BDP($A88,E$3))</f>
        <v/>
      </c>
      <c r="F88" s="17">
        <f>IF($A88="","",BDP($A88,F$3))</f>
        <v/>
      </c>
      <c r="G88" s="8">
        <f>IF($A88="","",BDP($A88,G$3))</f>
        <v/>
      </c>
      <c r="H88" s="8">
        <f>IF($A88="","",BDP($A88,H$3))</f>
        <v/>
      </c>
      <c r="I88" s="8">
        <f>IF($A88="","",BDP($A88,I$3))</f>
        <v/>
      </c>
      <c r="J88" s="8">
        <f>IF($A88="","",BDP($A88,J$3))</f>
        <v/>
      </c>
      <c r="K88" s="8">
        <f>IF($A88="","",BDP($A88,K$3))</f>
        <v/>
      </c>
      <c r="L88" s="28">
        <f>IF($A88="","",BDP($A88,L$3))</f>
        <v/>
      </c>
      <c r="M88" s="28">
        <f>IF($A88="","",BDP($A88,M$3))</f>
        <v/>
      </c>
      <c r="N88" s="30">
        <f>IF($A88="","",BDP($A88,N$3))</f>
        <v/>
      </c>
      <c r="O88" s="31">
        <f>IF($A88="","",BDP($A88,O$3))</f>
        <v/>
      </c>
      <c r="P88" s="30">
        <f>IF($A88="","",BDH($A88,$N$3,'參數'!$B$5,'參數'!$B$5,"Days=A","Fill=P","Dates=H"))</f>
        <v/>
      </c>
      <c r="Q88" s="30">
        <f>IF($A88="","",BDH($A88,$N$3,'參數'!$B$6,'參數'!$B$6,"Days=A","Fill=P","Dates=H"))</f>
        <v/>
      </c>
      <c r="R88" s="30">
        <f>IF($A88="","",BDH($A88,$N$3,'參數'!$B$7,'參數'!$B$7,"Days=A","Fill=P","Dates=H"))</f>
        <v/>
      </c>
      <c r="S88" s="32">
        <f>IF($A88="","",IFERROR(INDEX('發行人'!$A$5:$A$44,MATCH(B88,'發行人'!$D$5:$D$44,0)),"未對應"))</f>
        <v/>
      </c>
      <c r="T88" s="24">
        <f>IF($A88="","",IFERROR(INDEX('發行人'!$G$5:$G$44,MATCH(B88,'發行人'!$D$5:$D$44,0))+0,""))</f>
        <v/>
      </c>
      <c r="U88" s="18">
        <f>IF(ISNUMBER(E88),YEARFRAC('參數'!$B$4,E88),"")</f>
        <v/>
      </c>
      <c r="V88" s="8">
        <f>IF(U88="","",IF(U88&lt;3,"1-3y",IF(U88&lt;5,"3-5y",IF(U88&lt;7,"5-7y",IF(U88&lt;10,"7-10y","10y+")))))</f>
        <v/>
      </c>
      <c r="W88" s="30">
        <f>IF($A88="","",IFERROR(INDEX('參數'!$B$24:$B$45,MATCH(G88,'參數'!$A$24:$A$45,0)),""))</f>
        <v/>
      </c>
      <c r="X88" s="8">
        <f>IF($A88="","",IFERROR(INDEX('參數'!$C$24:$C$45,MATCH(G88,'參數'!$A$24:$A$45,0)),""))</f>
        <v/>
      </c>
      <c r="Y88" s="30">
        <f>IF(AND(ISNUMBER(N88),ISNUMBER(O88),ISNUMBER(U88)),IF(AND(O88&gt;0,X88&lt;&gt;""),1,0),0)</f>
        <v/>
      </c>
      <c r="Z88" s="17">
        <f>IF(Y88=1,O88*N88,"")</f>
        <v/>
      </c>
      <c r="AA88" s="33">
        <f>IF(Y88=1,IF(ISNUMBER(Q88),N88-Q88,""),"")</f>
        <v/>
      </c>
      <c r="AB88" s="33">
        <f>IF(Y88=1,IF(AND(ISNUMBER(P88),ISNUMBER(R88)),R88*5/12-O88*(P88-R88),""),"")</f>
        <v/>
      </c>
      <c r="AC88" s="30">
        <f>IF(Y88=1,COUNTIFS($X$5:$X$404,X88,$V$5:$V$404,V88,$Y$5:$Y$404,1),"")</f>
        <v/>
      </c>
      <c r="AD88" s="30">
        <f>IF(Y88=1,IFERROR(IF(AC88&gt;='參數'!$B$9,INDEX('分群統計'!$G$13:$K$16,MATCH(X88,'分群統計'!$A$13:$A$16,0),MATCH(V88,'分群統計'!$G$12:$K$12,0)),INDEX('分群統計'!$I$5:$I$8,MATCH(X88,'分群統計'!$A$5:$A$8,0))),""),"")</f>
        <v/>
      </c>
      <c r="AE88" s="18">
        <f>IF(Y88=1,IFERROR(IF(AC88&gt;='參數'!$B$9,INDEX('分群統計'!$L$13:$P$16,MATCH(X88,'分群統計'!$A$13:$A$16,0),MATCH(V88,'分群統計'!$L$12:$P$12,0)),INDEX('分群統計'!$J$5:$J$8,MATCH(X88,'分群統計'!$A$5:$A$8,0))),""),"")</f>
        <v/>
      </c>
      <c r="AF88" s="31">
        <f>IF(ISNUMBER(AE88),IF(AE88&gt;0,MAX(-3,MIN(3,(N88-AD88)/AE88)),0),"")</f>
        <v/>
      </c>
      <c r="AG88" s="30">
        <f>IF(Y88=1,COUNTIFS($B$5:$B$404,B88,$Y$5:$Y$404,1),"")</f>
        <v/>
      </c>
      <c r="AH88" s="30">
        <f>IF(Y88=1,IFERROR(IF(ISNUMBER(INDEX('分群統計'!$G$20:$G$59,MATCH(B88,'分群統計'!$A$20:$A$59,0))),INDEX('分群統計'!$H$20:$H$59,MATCH(B88,'分群統計'!$A$20:$A$59,0))+INDEX('分群統計'!$G$20:$G$59,MATCH(B88,'分群統計'!$A$20:$A$59,0))*AU88,""),""),"")</f>
        <v/>
      </c>
      <c r="AI88" s="34">
        <f>IF(ISNUMBER(AH88),N88-AH88,"")</f>
        <v/>
      </c>
      <c r="AJ88" s="30">
        <f>IF(Y88=1,IFERROR(IF(ISNUMBER(INDEX('分群統計'!$G$5:$G$8,MATCH(X88,'分群統計'!$A$5:$A$8,0))),INDEX('分群統計'!$H$5:$H$8,MATCH(X88,'分群統計'!$A$5:$A$8,0))+INDEX('分群統計'!$G$5:$G$8,MATCH(X88,'分群統計'!$A$5:$A$8,0))*AU88,""),""),"")</f>
        <v/>
      </c>
      <c r="AK88" s="34">
        <f>IF(ISNUMBER(AJ88),N88-AJ88,"")</f>
        <v/>
      </c>
      <c r="AL88" s="21">
        <f>IF(ISNUMBER(AJ88),IF(AJ88&gt;0,AK88/AJ88,""),"")</f>
        <v/>
      </c>
      <c r="AM88" s="31">
        <f>IF(AY88&lt;&gt;1,"",IFERROR(IF(INDEX('分群統計'!$K$5:$K$8,MATCH(X88,'分群統計'!$A$5:$A$8,0))&lt;3,"",IF(INDEX('分群統計'!$M$5:$M$8,MATCH(X88,'分群統計'!$A$5:$A$8,0))&gt;0,MAX(-3,MIN(3,(AX88-INDEX('分群統計'!$L$5:$L$8,MATCH(X88,'分群統計'!$A$5:$A$8,0)))/INDEX('分群統計'!$M$5:$M$8,MATCH(X88,'分群統計'!$A$5:$A$8,0)))),0)),""))</f>
        <v/>
      </c>
      <c r="AN88" s="31">
        <f>IF(ISNUMBER(AB88),IF(Z88&gt;0,AB88/Z88*100,""),"")</f>
        <v/>
      </c>
      <c r="AO88" s="31">
        <f>IF(BA88&lt;&gt;1,"",IFERROR(IF(INDEX('分群統計'!$N$5:$N$8,MATCH(X88,'分群統計'!$A$5:$A$8,0))&lt;3,"",IF(INDEX('分群統計'!$P$5:$P$8,MATCH(X88,'分群統計'!$A$5:$A$8,0))&gt;0,MAX(-3,MIN(3,(AZ88-INDEX('分群統計'!$O$5:$O$8,MATCH(X88,'分群統計'!$A$5:$A$8,0)))/INDEX('分群統計'!$P$5:$P$8,MATCH(X88,'分群統計'!$A$5:$A$8,0)))),0)),""))</f>
        <v/>
      </c>
      <c r="AP88" s="31">
        <f>IF(BC88&lt;&gt;1,"",IFERROR(IF(INDEX('分群統計'!$Q$5:$Q$8,MATCH(X88,'分群統計'!$A$5:$A$8,0))&lt;3,"",IF(INDEX('分群統計'!$S$5:$S$8,MATCH(X88,'分群統計'!$A$5:$A$8,0))&gt;0,MAX(-3,MIN(3,(BB88-INDEX('分群統計'!$R$5:$R$8,MATCH(X88,'分群統計'!$A$5:$A$8,0)))/INDEX('分群統計'!$S$5:$S$8,MATCH(X88,'分群統計'!$A$5:$A$8,0)))),0)),""))</f>
        <v/>
      </c>
      <c r="AQ88" s="31">
        <f>IF(Y88=1,(IF(ISNUMBER(AF88),AF88,0)*'參數'!$B$13+IF(ISNUMBER(AM88),AM88,0)*'參數'!$B$14+IF(ISNUMBER(AO88),AO88,0)*'參數'!$B$15+IF(ISNUMBER(AP88),AP88,0)*'參數'!$B$16)/('參數'!$B$13+'參數'!$B$14+'參數'!$B$15+'參數'!$B$16),"")</f>
        <v/>
      </c>
      <c r="AR88" s="35">
        <f>IF(Y88=1,(SUMPRODUCT(($X$5:$X$404=X88)*($Y$5:$Y$404=1)*($BD$5:$BD$404&gt;BD88))+1)/COUNTIFS($X$5:$X$404,X88,$Y$5:$Y$404,1),"")</f>
        <v/>
      </c>
      <c r="AS88" s="8">
        <f>IF(ISNUMBER(AR88),IF(AR88&lt;='參數'!$B$18,"加碼候選",IF(AR88&gt;'參數'!$B$19,"減碼候選","")),"")</f>
        <v/>
      </c>
      <c r="AT88" s="7">
        <f>IF(Y88=1,N88,0)</f>
        <v/>
      </c>
      <c r="AU88" s="7">
        <f>IF(Y88=1,LN(O88),0)</f>
        <v/>
      </c>
      <c r="AV88" s="36">
        <f>IF(Y88=1,IF(ISNUMBER(F88),F88,0),0)</f>
        <v/>
      </c>
      <c r="AW88" s="7">
        <f>IF(Y88=1,Z88,0)</f>
        <v/>
      </c>
      <c r="AX88" s="7">
        <f>IF(Y88=1,IF(ISNUMBER(AL88),AL88,0),0)</f>
        <v/>
      </c>
      <c r="AY88" s="7">
        <f>IF(Y88=1,IF(ISNUMBER(AL88),1,0),0)</f>
        <v/>
      </c>
      <c r="AZ88" s="7">
        <f>IF(Y88=1,IF(ISNUMBER(AN88),AN88,0),0)</f>
        <v/>
      </c>
      <c r="BA88" s="7">
        <f>IF(Y88=1,IF(ISNUMBER(AN88),1,0),0)</f>
        <v/>
      </c>
      <c r="BB88" s="7">
        <f>IF(Y88=1,IF(ISNUMBER(T88),T88,0),0)</f>
        <v/>
      </c>
      <c r="BC88" s="7">
        <f>IF(Y88=1,IF(ISNUMBER(T88),1,0),0)</f>
        <v/>
      </c>
      <c r="BD88" s="7">
        <f>IF(Y88=1,AQ88+ROW()/1E9,-1E9)</f>
        <v/>
      </c>
      <c r="BE88" s="7">
        <f>IF(Y88=1,AQ88+ROW()/1E9,1E9)</f>
        <v/>
      </c>
    </row>
    <row r="89">
      <c r="A89" s="16" t="n"/>
      <c r="B89" s="8">
        <f>IF($A89="","",BDP($A89,B$3))</f>
        <v/>
      </c>
      <c r="C89" s="8">
        <f>IF($A89="","",BDP($A89,C$3))</f>
        <v/>
      </c>
      <c r="D89" s="28">
        <f>IF($A89="","",BDP($A89,D$3))</f>
        <v/>
      </c>
      <c r="E89" s="29">
        <f>IF($A89="","",BDP($A89,E$3))</f>
        <v/>
      </c>
      <c r="F89" s="17">
        <f>IF($A89="","",BDP($A89,F$3))</f>
        <v/>
      </c>
      <c r="G89" s="8">
        <f>IF($A89="","",BDP($A89,G$3))</f>
        <v/>
      </c>
      <c r="H89" s="8">
        <f>IF($A89="","",BDP($A89,H$3))</f>
        <v/>
      </c>
      <c r="I89" s="8">
        <f>IF($A89="","",BDP($A89,I$3))</f>
        <v/>
      </c>
      <c r="J89" s="8">
        <f>IF($A89="","",BDP($A89,J$3))</f>
        <v/>
      </c>
      <c r="K89" s="8">
        <f>IF($A89="","",BDP($A89,K$3))</f>
        <v/>
      </c>
      <c r="L89" s="28">
        <f>IF($A89="","",BDP($A89,L$3))</f>
        <v/>
      </c>
      <c r="M89" s="28">
        <f>IF($A89="","",BDP($A89,M$3))</f>
        <v/>
      </c>
      <c r="N89" s="30">
        <f>IF($A89="","",BDP($A89,N$3))</f>
        <v/>
      </c>
      <c r="O89" s="31">
        <f>IF($A89="","",BDP($A89,O$3))</f>
        <v/>
      </c>
      <c r="P89" s="30">
        <f>IF($A89="","",BDH($A89,$N$3,'參數'!$B$5,'參數'!$B$5,"Days=A","Fill=P","Dates=H"))</f>
        <v/>
      </c>
      <c r="Q89" s="30">
        <f>IF($A89="","",BDH($A89,$N$3,'參數'!$B$6,'參數'!$B$6,"Days=A","Fill=P","Dates=H"))</f>
        <v/>
      </c>
      <c r="R89" s="30">
        <f>IF($A89="","",BDH($A89,$N$3,'參數'!$B$7,'參數'!$B$7,"Days=A","Fill=P","Dates=H"))</f>
        <v/>
      </c>
      <c r="S89" s="32">
        <f>IF($A89="","",IFERROR(INDEX('發行人'!$A$5:$A$44,MATCH(B89,'發行人'!$D$5:$D$44,0)),"未對應"))</f>
        <v/>
      </c>
      <c r="T89" s="24">
        <f>IF($A89="","",IFERROR(INDEX('發行人'!$G$5:$G$44,MATCH(B89,'發行人'!$D$5:$D$44,0))+0,""))</f>
        <v/>
      </c>
      <c r="U89" s="18">
        <f>IF(ISNUMBER(E89),YEARFRAC('參數'!$B$4,E89),"")</f>
        <v/>
      </c>
      <c r="V89" s="8">
        <f>IF(U89="","",IF(U89&lt;3,"1-3y",IF(U89&lt;5,"3-5y",IF(U89&lt;7,"5-7y",IF(U89&lt;10,"7-10y","10y+")))))</f>
        <v/>
      </c>
      <c r="W89" s="30">
        <f>IF($A89="","",IFERROR(INDEX('參數'!$B$24:$B$45,MATCH(G89,'參數'!$A$24:$A$45,0)),""))</f>
        <v/>
      </c>
      <c r="X89" s="8">
        <f>IF($A89="","",IFERROR(INDEX('參數'!$C$24:$C$45,MATCH(G89,'參數'!$A$24:$A$45,0)),""))</f>
        <v/>
      </c>
      <c r="Y89" s="30">
        <f>IF(AND(ISNUMBER(N89),ISNUMBER(O89),ISNUMBER(U89)),IF(AND(O89&gt;0,X89&lt;&gt;""),1,0),0)</f>
        <v/>
      </c>
      <c r="Z89" s="17">
        <f>IF(Y89=1,O89*N89,"")</f>
        <v/>
      </c>
      <c r="AA89" s="33">
        <f>IF(Y89=1,IF(ISNUMBER(Q89),N89-Q89,""),"")</f>
        <v/>
      </c>
      <c r="AB89" s="33">
        <f>IF(Y89=1,IF(AND(ISNUMBER(P89),ISNUMBER(R89)),R89*5/12-O89*(P89-R89),""),"")</f>
        <v/>
      </c>
      <c r="AC89" s="30">
        <f>IF(Y89=1,COUNTIFS($X$5:$X$404,X89,$V$5:$V$404,V89,$Y$5:$Y$404,1),"")</f>
        <v/>
      </c>
      <c r="AD89" s="30">
        <f>IF(Y89=1,IFERROR(IF(AC89&gt;='參數'!$B$9,INDEX('分群統計'!$G$13:$K$16,MATCH(X89,'分群統計'!$A$13:$A$16,0),MATCH(V89,'分群統計'!$G$12:$K$12,0)),INDEX('分群統計'!$I$5:$I$8,MATCH(X89,'分群統計'!$A$5:$A$8,0))),""),"")</f>
        <v/>
      </c>
      <c r="AE89" s="18">
        <f>IF(Y89=1,IFERROR(IF(AC89&gt;='參數'!$B$9,INDEX('分群統計'!$L$13:$P$16,MATCH(X89,'分群統計'!$A$13:$A$16,0),MATCH(V89,'分群統計'!$L$12:$P$12,0)),INDEX('分群統計'!$J$5:$J$8,MATCH(X89,'分群統計'!$A$5:$A$8,0))),""),"")</f>
        <v/>
      </c>
      <c r="AF89" s="31">
        <f>IF(ISNUMBER(AE89),IF(AE89&gt;0,MAX(-3,MIN(3,(N89-AD89)/AE89)),0),"")</f>
        <v/>
      </c>
      <c r="AG89" s="30">
        <f>IF(Y89=1,COUNTIFS($B$5:$B$404,B89,$Y$5:$Y$404,1),"")</f>
        <v/>
      </c>
      <c r="AH89" s="30">
        <f>IF(Y89=1,IFERROR(IF(ISNUMBER(INDEX('分群統計'!$G$20:$G$59,MATCH(B89,'分群統計'!$A$20:$A$59,0))),INDEX('分群統計'!$H$20:$H$59,MATCH(B89,'分群統計'!$A$20:$A$59,0))+INDEX('分群統計'!$G$20:$G$59,MATCH(B89,'分群統計'!$A$20:$A$59,0))*AU89,""),""),"")</f>
        <v/>
      </c>
      <c r="AI89" s="34">
        <f>IF(ISNUMBER(AH89),N89-AH89,"")</f>
        <v/>
      </c>
      <c r="AJ89" s="30">
        <f>IF(Y89=1,IFERROR(IF(ISNUMBER(INDEX('分群統計'!$G$5:$G$8,MATCH(X89,'分群統計'!$A$5:$A$8,0))),INDEX('分群統計'!$H$5:$H$8,MATCH(X89,'分群統計'!$A$5:$A$8,0))+INDEX('分群統計'!$G$5:$G$8,MATCH(X89,'分群統計'!$A$5:$A$8,0))*AU89,""),""),"")</f>
        <v/>
      </c>
      <c r="AK89" s="34">
        <f>IF(ISNUMBER(AJ89),N89-AJ89,"")</f>
        <v/>
      </c>
      <c r="AL89" s="21">
        <f>IF(ISNUMBER(AJ89),IF(AJ89&gt;0,AK89/AJ89,""),"")</f>
        <v/>
      </c>
      <c r="AM89" s="31">
        <f>IF(AY89&lt;&gt;1,"",IFERROR(IF(INDEX('分群統計'!$K$5:$K$8,MATCH(X89,'分群統計'!$A$5:$A$8,0))&lt;3,"",IF(INDEX('分群統計'!$M$5:$M$8,MATCH(X89,'分群統計'!$A$5:$A$8,0))&gt;0,MAX(-3,MIN(3,(AX89-INDEX('分群統計'!$L$5:$L$8,MATCH(X89,'分群統計'!$A$5:$A$8,0)))/INDEX('分群統計'!$M$5:$M$8,MATCH(X89,'分群統計'!$A$5:$A$8,0)))),0)),""))</f>
        <v/>
      </c>
      <c r="AN89" s="31">
        <f>IF(ISNUMBER(AB89),IF(Z89&gt;0,AB89/Z89*100,""),"")</f>
        <v/>
      </c>
      <c r="AO89" s="31">
        <f>IF(BA89&lt;&gt;1,"",IFERROR(IF(INDEX('分群統計'!$N$5:$N$8,MATCH(X89,'分群統計'!$A$5:$A$8,0))&lt;3,"",IF(INDEX('分群統計'!$P$5:$P$8,MATCH(X89,'分群統計'!$A$5:$A$8,0))&gt;0,MAX(-3,MIN(3,(AZ89-INDEX('分群統計'!$O$5:$O$8,MATCH(X89,'分群統計'!$A$5:$A$8,0)))/INDEX('分群統計'!$P$5:$P$8,MATCH(X89,'分群統計'!$A$5:$A$8,0)))),0)),""))</f>
        <v/>
      </c>
      <c r="AP89" s="31">
        <f>IF(BC89&lt;&gt;1,"",IFERROR(IF(INDEX('分群統計'!$Q$5:$Q$8,MATCH(X89,'分群統計'!$A$5:$A$8,0))&lt;3,"",IF(INDEX('分群統計'!$S$5:$S$8,MATCH(X89,'分群統計'!$A$5:$A$8,0))&gt;0,MAX(-3,MIN(3,(BB89-INDEX('分群統計'!$R$5:$R$8,MATCH(X89,'分群統計'!$A$5:$A$8,0)))/INDEX('分群統計'!$S$5:$S$8,MATCH(X89,'分群統計'!$A$5:$A$8,0)))),0)),""))</f>
        <v/>
      </c>
      <c r="AQ89" s="31">
        <f>IF(Y89=1,(IF(ISNUMBER(AF89),AF89,0)*'參數'!$B$13+IF(ISNUMBER(AM89),AM89,0)*'參數'!$B$14+IF(ISNUMBER(AO89),AO89,0)*'參數'!$B$15+IF(ISNUMBER(AP89),AP89,0)*'參數'!$B$16)/('參數'!$B$13+'參數'!$B$14+'參數'!$B$15+'參數'!$B$16),"")</f>
        <v/>
      </c>
      <c r="AR89" s="35">
        <f>IF(Y89=1,(SUMPRODUCT(($X$5:$X$404=X89)*($Y$5:$Y$404=1)*($BD$5:$BD$404&gt;BD89))+1)/COUNTIFS($X$5:$X$404,X89,$Y$5:$Y$404,1),"")</f>
        <v/>
      </c>
      <c r="AS89" s="8">
        <f>IF(ISNUMBER(AR89),IF(AR89&lt;='參數'!$B$18,"加碼候選",IF(AR89&gt;'參數'!$B$19,"減碼候選","")),"")</f>
        <v/>
      </c>
      <c r="AT89" s="7">
        <f>IF(Y89=1,N89,0)</f>
        <v/>
      </c>
      <c r="AU89" s="7">
        <f>IF(Y89=1,LN(O89),0)</f>
        <v/>
      </c>
      <c r="AV89" s="36">
        <f>IF(Y89=1,IF(ISNUMBER(F89),F89,0),0)</f>
        <v/>
      </c>
      <c r="AW89" s="7">
        <f>IF(Y89=1,Z89,0)</f>
        <v/>
      </c>
      <c r="AX89" s="7">
        <f>IF(Y89=1,IF(ISNUMBER(AL89),AL89,0),0)</f>
        <v/>
      </c>
      <c r="AY89" s="7">
        <f>IF(Y89=1,IF(ISNUMBER(AL89),1,0),0)</f>
        <v/>
      </c>
      <c r="AZ89" s="7">
        <f>IF(Y89=1,IF(ISNUMBER(AN89),AN89,0),0)</f>
        <v/>
      </c>
      <c r="BA89" s="7">
        <f>IF(Y89=1,IF(ISNUMBER(AN89),1,0),0)</f>
        <v/>
      </c>
      <c r="BB89" s="7">
        <f>IF(Y89=1,IF(ISNUMBER(T89),T89,0),0)</f>
        <v/>
      </c>
      <c r="BC89" s="7">
        <f>IF(Y89=1,IF(ISNUMBER(T89),1,0),0)</f>
        <v/>
      </c>
      <c r="BD89" s="7">
        <f>IF(Y89=1,AQ89+ROW()/1E9,-1E9)</f>
        <v/>
      </c>
      <c r="BE89" s="7">
        <f>IF(Y89=1,AQ89+ROW()/1E9,1E9)</f>
        <v/>
      </c>
    </row>
    <row r="90">
      <c r="A90" s="16" t="n"/>
      <c r="B90" s="8">
        <f>IF($A90="","",BDP($A90,B$3))</f>
        <v/>
      </c>
      <c r="C90" s="8">
        <f>IF($A90="","",BDP($A90,C$3))</f>
        <v/>
      </c>
      <c r="D90" s="28">
        <f>IF($A90="","",BDP($A90,D$3))</f>
        <v/>
      </c>
      <c r="E90" s="29">
        <f>IF($A90="","",BDP($A90,E$3))</f>
        <v/>
      </c>
      <c r="F90" s="17">
        <f>IF($A90="","",BDP($A90,F$3))</f>
        <v/>
      </c>
      <c r="G90" s="8">
        <f>IF($A90="","",BDP($A90,G$3))</f>
        <v/>
      </c>
      <c r="H90" s="8">
        <f>IF($A90="","",BDP($A90,H$3))</f>
        <v/>
      </c>
      <c r="I90" s="8">
        <f>IF($A90="","",BDP($A90,I$3))</f>
        <v/>
      </c>
      <c r="J90" s="8">
        <f>IF($A90="","",BDP($A90,J$3))</f>
        <v/>
      </c>
      <c r="K90" s="8">
        <f>IF($A90="","",BDP($A90,K$3))</f>
        <v/>
      </c>
      <c r="L90" s="28">
        <f>IF($A90="","",BDP($A90,L$3))</f>
        <v/>
      </c>
      <c r="M90" s="28">
        <f>IF($A90="","",BDP($A90,M$3))</f>
        <v/>
      </c>
      <c r="N90" s="30">
        <f>IF($A90="","",BDP($A90,N$3))</f>
        <v/>
      </c>
      <c r="O90" s="31">
        <f>IF($A90="","",BDP($A90,O$3))</f>
        <v/>
      </c>
      <c r="P90" s="30">
        <f>IF($A90="","",BDH($A90,$N$3,'參數'!$B$5,'參數'!$B$5,"Days=A","Fill=P","Dates=H"))</f>
        <v/>
      </c>
      <c r="Q90" s="30">
        <f>IF($A90="","",BDH($A90,$N$3,'參數'!$B$6,'參數'!$B$6,"Days=A","Fill=P","Dates=H"))</f>
        <v/>
      </c>
      <c r="R90" s="30">
        <f>IF($A90="","",BDH($A90,$N$3,'參數'!$B$7,'參數'!$B$7,"Days=A","Fill=P","Dates=H"))</f>
        <v/>
      </c>
      <c r="S90" s="32">
        <f>IF($A90="","",IFERROR(INDEX('發行人'!$A$5:$A$44,MATCH(B90,'發行人'!$D$5:$D$44,0)),"未對應"))</f>
        <v/>
      </c>
      <c r="T90" s="24">
        <f>IF($A90="","",IFERROR(INDEX('發行人'!$G$5:$G$44,MATCH(B90,'發行人'!$D$5:$D$44,0))+0,""))</f>
        <v/>
      </c>
      <c r="U90" s="18">
        <f>IF(ISNUMBER(E90),YEARFRAC('參數'!$B$4,E90),"")</f>
        <v/>
      </c>
      <c r="V90" s="8">
        <f>IF(U90="","",IF(U90&lt;3,"1-3y",IF(U90&lt;5,"3-5y",IF(U90&lt;7,"5-7y",IF(U90&lt;10,"7-10y","10y+")))))</f>
        <v/>
      </c>
      <c r="W90" s="30">
        <f>IF($A90="","",IFERROR(INDEX('參數'!$B$24:$B$45,MATCH(G90,'參數'!$A$24:$A$45,0)),""))</f>
        <v/>
      </c>
      <c r="X90" s="8">
        <f>IF($A90="","",IFERROR(INDEX('參數'!$C$24:$C$45,MATCH(G90,'參數'!$A$24:$A$45,0)),""))</f>
        <v/>
      </c>
      <c r="Y90" s="30">
        <f>IF(AND(ISNUMBER(N90),ISNUMBER(O90),ISNUMBER(U90)),IF(AND(O90&gt;0,X90&lt;&gt;""),1,0),0)</f>
        <v/>
      </c>
      <c r="Z90" s="17">
        <f>IF(Y90=1,O90*N90,"")</f>
        <v/>
      </c>
      <c r="AA90" s="33">
        <f>IF(Y90=1,IF(ISNUMBER(Q90),N90-Q90,""),"")</f>
        <v/>
      </c>
      <c r="AB90" s="33">
        <f>IF(Y90=1,IF(AND(ISNUMBER(P90),ISNUMBER(R90)),R90*5/12-O90*(P90-R90),""),"")</f>
        <v/>
      </c>
      <c r="AC90" s="30">
        <f>IF(Y90=1,COUNTIFS($X$5:$X$404,X90,$V$5:$V$404,V90,$Y$5:$Y$404,1),"")</f>
        <v/>
      </c>
      <c r="AD90" s="30">
        <f>IF(Y90=1,IFERROR(IF(AC90&gt;='參數'!$B$9,INDEX('分群統計'!$G$13:$K$16,MATCH(X90,'分群統計'!$A$13:$A$16,0),MATCH(V90,'分群統計'!$G$12:$K$12,0)),INDEX('分群統計'!$I$5:$I$8,MATCH(X90,'分群統計'!$A$5:$A$8,0))),""),"")</f>
        <v/>
      </c>
      <c r="AE90" s="18">
        <f>IF(Y90=1,IFERROR(IF(AC90&gt;='參數'!$B$9,INDEX('分群統計'!$L$13:$P$16,MATCH(X90,'分群統計'!$A$13:$A$16,0),MATCH(V90,'分群統計'!$L$12:$P$12,0)),INDEX('分群統計'!$J$5:$J$8,MATCH(X90,'分群統計'!$A$5:$A$8,0))),""),"")</f>
        <v/>
      </c>
      <c r="AF90" s="31">
        <f>IF(ISNUMBER(AE90),IF(AE90&gt;0,MAX(-3,MIN(3,(N90-AD90)/AE90)),0),"")</f>
        <v/>
      </c>
      <c r="AG90" s="30">
        <f>IF(Y90=1,COUNTIFS($B$5:$B$404,B90,$Y$5:$Y$404,1),"")</f>
        <v/>
      </c>
      <c r="AH90" s="30">
        <f>IF(Y90=1,IFERROR(IF(ISNUMBER(INDEX('分群統計'!$G$20:$G$59,MATCH(B90,'分群統計'!$A$20:$A$59,0))),INDEX('分群統計'!$H$20:$H$59,MATCH(B90,'分群統計'!$A$20:$A$59,0))+INDEX('分群統計'!$G$20:$G$59,MATCH(B90,'分群統計'!$A$20:$A$59,0))*AU90,""),""),"")</f>
        <v/>
      </c>
      <c r="AI90" s="34">
        <f>IF(ISNUMBER(AH90),N90-AH90,"")</f>
        <v/>
      </c>
      <c r="AJ90" s="30">
        <f>IF(Y90=1,IFERROR(IF(ISNUMBER(INDEX('分群統計'!$G$5:$G$8,MATCH(X90,'分群統計'!$A$5:$A$8,0))),INDEX('分群統計'!$H$5:$H$8,MATCH(X90,'分群統計'!$A$5:$A$8,0))+INDEX('分群統計'!$G$5:$G$8,MATCH(X90,'分群統計'!$A$5:$A$8,0))*AU90,""),""),"")</f>
        <v/>
      </c>
      <c r="AK90" s="34">
        <f>IF(ISNUMBER(AJ90),N90-AJ90,"")</f>
        <v/>
      </c>
      <c r="AL90" s="21">
        <f>IF(ISNUMBER(AJ90),IF(AJ90&gt;0,AK90/AJ90,""),"")</f>
        <v/>
      </c>
      <c r="AM90" s="31">
        <f>IF(AY90&lt;&gt;1,"",IFERROR(IF(INDEX('分群統計'!$K$5:$K$8,MATCH(X90,'分群統計'!$A$5:$A$8,0))&lt;3,"",IF(INDEX('分群統計'!$M$5:$M$8,MATCH(X90,'分群統計'!$A$5:$A$8,0))&gt;0,MAX(-3,MIN(3,(AX90-INDEX('分群統計'!$L$5:$L$8,MATCH(X90,'分群統計'!$A$5:$A$8,0)))/INDEX('分群統計'!$M$5:$M$8,MATCH(X90,'分群統計'!$A$5:$A$8,0)))),0)),""))</f>
        <v/>
      </c>
      <c r="AN90" s="31">
        <f>IF(ISNUMBER(AB90),IF(Z90&gt;0,AB90/Z90*100,""),"")</f>
        <v/>
      </c>
      <c r="AO90" s="31">
        <f>IF(BA90&lt;&gt;1,"",IFERROR(IF(INDEX('分群統計'!$N$5:$N$8,MATCH(X90,'分群統計'!$A$5:$A$8,0))&lt;3,"",IF(INDEX('分群統計'!$P$5:$P$8,MATCH(X90,'分群統計'!$A$5:$A$8,0))&gt;0,MAX(-3,MIN(3,(AZ90-INDEX('分群統計'!$O$5:$O$8,MATCH(X90,'分群統計'!$A$5:$A$8,0)))/INDEX('分群統計'!$P$5:$P$8,MATCH(X90,'分群統計'!$A$5:$A$8,0)))),0)),""))</f>
        <v/>
      </c>
      <c r="AP90" s="31">
        <f>IF(BC90&lt;&gt;1,"",IFERROR(IF(INDEX('分群統計'!$Q$5:$Q$8,MATCH(X90,'分群統計'!$A$5:$A$8,0))&lt;3,"",IF(INDEX('分群統計'!$S$5:$S$8,MATCH(X90,'分群統計'!$A$5:$A$8,0))&gt;0,MAX(-3,MIN(3,(BB90-INDEX('分群統計'!$R$5:$R$8,MATCH(X90,'分群統計'!$A$5:$A$8,0)))/INDEX('分群統計'!$S$5:$S$8,MATCH(X90,'分群統計'!$A$5:$A$8,0)))),0)),""))</f>
        <v/>
      </c>
      <c r="AQ90" s="31">
        <f>IF(Y90=1,(IF(ISNUMBER(AF90),AF90,0)*'參數'!$B$13+IF(ISNUMBER(AM90),AM90,0)*'參數'!$B$14+IF(ISNUMBER(AO90),AO90,0)*'參數'!$B$15+IF(ISNUMBER(AP90),AP90,0)*'參數'!$B$16)/('參數'!$B$13+'參數'!$B$14+'參數'!$B$15+'參數'!$B$16),"")</f>
        <v/>
      </c>
      <c r="AR90" s="35">
        <f>IF(Y90=1,(SUMPRODUCT(($X$5:$X$404=X90)*($Y$5:$Y$404=1)*($BD$5:$BD$404&gt;BD90))+1)/COUNTIFS($X$5:$X$404,X90,$Y$5:$Y$404,1),"")</f>
        <v/>
      </c>
      <c r="AS90" s="8">
        <f>IF(ISNUMBER(AR90),IF(AR90&lt;='參數'!$B$18,"加碼候選",IF(AR90&gt;'參數'!$B$19,"減碼候選","")),"")</f>
        <v/>
      </c>
      <c r="AT90" s="7">
        <f>IF(Y90=1,N90,0)</f>
        <v/>
      </c>
      <c r="AU90" s="7">
        <f>IF(Y90=1,LN(O90),0)</f>
        <v/>
      </c>
      <c r="AV90" s="36">
        <f>IF(Y90=1,IF(ISNUMBER(F90),F90,0),0)</f>
        <v/>
      </c>
      <c r="AW90" s="7">
        <f>IF(Y90=1,Z90,0)</f>
        <v/>
      </c>
      <c r="AX90" s="7">
        <f>IF(Y90=1,IF(ISNUMBER(AL90),AL90,0),0)</f>
        <v/>
      </c>
      <c r="AY90" s="7">
        <f>IF(Y90=1,IF(ISNUMBER(AL90),1,0),0)</f>
        <v/>
      </c>
      <c r="AZ90" s="7">
        <f>IF(Y90=1,IF(ISNUMBER(AN90),AN90,0),0)</f>
        <v/>
      </c>
      <c r="BA90" s="7">
        <f>IF(Y90=1,IF(ISNUMBER(AN90),1,0),0)</f>
        <v/>
      </c>
      <c r="BB90" s="7">
        <f>IF(Y90=1,IF(ISNUMBER(T90),T90,0),0)</f>
        <v/>
      </c>
      <c r="BC90" s="7">
        <f>IF(Y90=1,IF(ISNUMBER(T90),1,0),0)</f>
        <v/>
      </c>
      <c r="BD90" s="7">
        <f>IF(Y90=1,AQ90+ROW()/1E9,-1E9)</f>
        <v/>
      </c>
      <c r="BE90" s="7">
        <f>IF(Y90=1,AQ90+ROW()/1E9,1E9)</f>
        <v/>
      </c>
    </row>
    <row r="91">
      <c r="A91" s="16" t="n"/>
      <c r="B91" s="8">
        <f>IF($A91="","",BDP($A91,B$3))</f>
        <v/>
      </c>
      <c r="C91" s="8">
        <f>IF($A91="","",BDP($A91,C$3))</f>
        <v/>
      </c>
      <c r="D91" s="28">
        <f>IF($A91="","",BDP($A91,D$3))</f>
        <v/>
      </c>
      <c r="E91" s="29">
        <f>IF($A91="","",BDP($A91,E$3))</f>
        <v/>
      </c>
      <c r="F91" s="17">
        <f>IF($A91="","",BDP($A91,F$3))</f>
        <v/>
      </c>
      <c r="G91" s="8">
        <f>IF($A91="","",BDP($A91,G$3))</f>
        <v/>
      </c>
      <c r="H91" s="8">
        <f>IF($A91="","",BDP($A91,H$3))</f>
        <v/>
      </c>
      <c r="I91" s="8">
        <f>IF($A91="","",BDP($A91,I$3))</f>
        <v/>
      </c>
      <c r="J91" s="8">
        <f>IF($A91="","",BDP($A91,J$3))</f>
        <v/>
      </c>
      <c r="K91" s="8">
        <f>IF($A91="","",BDP($A91,K$3))</f>
        <v/>
      </c>
      <c r="L91" s="28">
        <f>IF($A91="","",BDP($A91,L$3))</f>
        <v/>
      </c>
      <c r="M91" s="28">
        <f>IF($A91="","",BDP($A91,M$3))</f>
        <v/>
      </c>
      <c r="N91" s="30">
        <f>IF($A91="","",BDP($A91,N$3))</f>
        <v/>
      </c>
      <c r="O91" s="31">
        <f>IF($A91="","",BDP($A91,O$3))</f>
        <v/>
      </c>
      <c r="P91" s="30">
        <f>IF($A91="","",BDH($A91,$N$3,'參數'!$B$5,'參數'!$B$5,"Days=A","Fill=P","Dates=H"))</f>
        <v/>
      </c>
      <c r="Q91" s="30">
        <f>IF($A91="","",BDH($A91,$N$3,'參數'!$B$6,'參數'!$B$6,"Days=A","Fill=P","Dates=H"))</f>
        <v/>
      </c>
      <c r="R91" s="30">
        <f>IF($A91="","",BDH($A91,$N$3,'參數'!$B$7,'參數'!$B$7,"Days=A","Fill=P","Dates=H"))</f>
        <v/>
      </c>
      <c r="S91" s="32">
        <f>IF($A91="","",IFERROR(INDEX('發行人'!$A$5:$A$44,MATCH(B91,'發行人'!$D$5:$D$44,0)),"未對應"))</f>
        <v/>
      </c>
      <c r="T91" s="24">
        <f>IF($A91="","",IFERROR(INDEX('發行人'!$G$5:$G$44,MATCH(B91,'發行人'!$D$5:$D$44,0))+0,""))</f>
        <v/>
      </c>
      <c r="U91" s="18">
        <f>IF(ISNUMBER(E91),YEARFRAC('參數'!$B$4,E91),"")</f>
        <v/>
      </c>
      <c r="V91" s="8">
        <f>IF(U91="","",IF(U91&lt;3,"1-3y",IF(U91&lt;5,"3-5y",IF(U91&lt;7,"5-7y",IF(U91&lt;10,"7-10y","10y+")))))</f>
        <v/>
      </c>
      <c r="W91" s="30">
        <f>IF($A91="","",IFERROR(INDEX('參數'!$B$24:$B$45,MATCH(G91,'參數'!$A$24:$A$45,0)),""))</f>
        <v/>
      </c>
      <c r="X91" s="8">
        <f>IF($A91="","",IFERROR(INDEX('參數'!$C$24:$C$45,MATCH(G91,'參數'!$A$24:$A$45,0)),""))</f>
        <v/>
      </c>
      <c r="Y91" s="30">
        <f>IF(AND(ISNUMBER(N91),ISNUMBER(O91),ISNUMBER(U91)),IF(AND(O91&gt;0,X91&lt;&gt;""),1,0),0)</f>
        <v/>
      </c>
      <c r="Z91" s="17">
        <f>IF(Y91=1,O91*N91,"")</f>
        <v/>
      </c>
      <c r="AA91" s="33">
        <f>IF(Y91=1,IF(ISNUMBER(Q91),N91-Q91,""),"")</f>
        <v/>
      </c>
      <c r="AB91" s="33">
        <f>IF(Y91=1,IF(AND(ISNUMBER(P91),ISNUMBER(R91)),R91*5/12-O91*(P91-R91),""),"")</f>
        <v/>
      </c>
      <c r="AC91" s="30">
        <f>IF(Y91=1,COUNTIFS($X$5:$X$404,X91,$V$5:$V$404,V91,$Y$5:$Y$404,1),"")</f>
        <v/>
      </c>
      <c r="AD91" s="30">
        <f>IF(Y91=1,IFERROR(IF(AC91&gt;='參數'!$B$9,INDEX('分群統計'!$G$13:$K$16,MATCH(X91,'分群統計'!$A$13:$A$16,0),MATCH(V91,'分群統計'!$G$12:$K$12,0)),INDEX('分群統計'!$I$5:$I$8,MATCH(X91,'分群統計'!$A$5:$A$8,0))),""),"")</f>
        <v/>
      </c>
      <c r="AE91" s="18">
        <f>IF(Y91=1,IFERROR(IF(AC91&gt;='參數'!$B$9,INDEX('分群統計'!$L$13:$P$16,MATCH(X91,'分群統計'!$A$13:$A$16,0),MATCH(V91,'分群統計'!$L$12:$P$12,0)),INDEX('分群統計'!$J$5:$J$8,MATCH(X91,'分群統計'!$A$5:$A$8,0))),""),"")</f>
        <v/>
      </c>
      <c r="AF91" s="31">
        <f>IF(ISNUMBER(AE91),IF(AE91&gt;0,MAX(-3,MIN(3,(N91-AD91)/AE91)),0),"")</f>
        <v/>
      </c>
      <c r="AG91" s="30">
        <f>IF(Y91=1,COUNTIFS($B$5:$B$404,B91,$Y$5:$Y$404,1),"")</f>
        <v/>
      </c>
      <c r="AH91" s="30">
        <f>IF(Y91=1,IFERROR(IF(ISNUMBER(INDEX('分群統計'!$G$20:$G$59,MATCH(B91,'分群統計'!$A$20:$A$59,0))),INDEX('分群統計'!$H$20:$H$59,MATCH(B91,'分群統計'!$A$20:$A$59,0))+INDEX('分群統計'!$G$20:$G$59,MATCH(B91,'分群統計'!$A$20:$A$59,0))*AU91,""),""),"")</f>
        <v/>
      </c>
      <c r="AI91" s="34">
        <f>IF(ISNUMBER(AH91),N91-AH91,"")</f>
        <v/>
      </c>
      <c r="AJ91" s="30">
        <f>IF(Y91=1,IFERROR(IF(ISNUMBER(INDEX('分群統計'!$G$5:$G$8,MATCH(X91,'分群統計'!$A$5:$A$8,0))),INDEX('分群統計'!$H$5:$H$8,MATCH(X91,'分群統計'!$A$5:$A$8,0))+INDEX('分群統計'!$G$5:$G$8,MATCH(X91,'分群統計'!$A$5:$A$8,0))*AU91,""),""),"")</f>
        <v/>
      </c>
      <c r="AK91" s="34">
        <f>IF(ISNUMBER(AJ91),N91-AJ91,"")</f>
        <v/>
      </c>
      <c r="AL91" s="21">
        <f>IF(ISNUMBER(AJ91),IF(AJ91&gt;0,AK91/AJ91,""),"")</f>
        <v/>
      </c>
      <c r="AM91" s="31">
        <f>IF(AY91&lt;&gt;1,"",IFERROR(IF(INDEX('分群統計'!$K$5:$K$8,MATCH(X91,'分群統計'!$A$5:$A$8,0))&lt;3,"",IF(INDEX('分群統計'!$M$5:$M$8,MATCH(X91,'分群統計'!$A$5:$A$8,0))&gt;0,MAX(-3,MIN(3,(AX91-INDEX('分群統計'!$L$5:$L$8,MATCH(X91,'分群統計'!$A$5:$A$8,0)))/INDEX('分群統計'!$M$5:$M$8,MATCH(X91,'分群統計'!$A$5:$A$8,0)))),0)),""))</f>
        <v/>
      </c>
      <c r="AN91" s="31">
        <f>IF(ISNUMBER(AB91),IF(Z91&gt;0,AB91/Z91*100,""),"")</f>
        <v/>
      </c>
      <c r="AO91" s="31">
        <f>IF(BA91&lt;&gt;1,"",IFERROR(IF(INDEX('分群統計'!$N$5:$N$8,MATCH(X91,'分群統計'!$A$5:$A$8,0))&lt;3,"",IF(INDEX('分群統計'!$P$5:$P$8,MATCH(X91,'分群統計'!$A$5:$A$8,0))&gt;0,MAX(-3,MIN(3,(AZ91-INDEX('分群統計'!$O$5:$O$8,MATCH(X91,'分群統計'!$A$5:$A$8,0)))/INDEX('分群統計'!$P$5:$P$8,MATCH(X91,'分群統計'!$A$5:$A$8,0)))),0)),""))</f>
        <v/>
      </c>
      <c r="AP91" s="31">
        <f>IF(BC91&lt;&gt;1,"",IFERROR(IF(INDEX('分群統計'!$Q$5:$Q$8,MATCH(X91,'分群統計'!$A$5:$A$8,0))&lt;3,"",IF(INDEX('分群統計'!$S$5:$S$8,MATCH(X91,'分群統計'!$A$5:$A$8,0))&gt;0,MAX(-3,MIN(3,(BB91-INDEX('分群統計'!$R$5:$R$8,MATCH(X91,'分群統計'!$A$5:$A$8,0)))/INDEX('分群統計'!$S$5:$S$8,MATCH(X91,'分群統計'!$A$5:$A$8,0)))),0)),""))</f>
        <v/>
      </c>
      <c r="AQ91" s="31">
        <f>IF(Y91=1,(IF(ISNUMBER(AF91),AF91,0)*'參數'!$B$13+IF(ISNUMBER(AM91),AM91,0)*'參數'!$B$14+IF(ISNUMBER(AO91),AO91,0)*'參數'!$B$15+IF(ISNUMBER(AP91),AP91,0)*'參數'!$B$16)/('參數'!$B$13+'參數'!$B$14+'參數'!$B$15+'參數'!$B$16),"")</f>
        <v/>
      </c>
      <c r="AR91" s="35">
        <f>IF(Y91=1,(SUMPRODUCT(($X$5:$X$404=X91)*($Y$5:$Y$404=1)*($BD$5:$BD$404&gt;BD91))+1)/COUNTIFS($X$5:$X$404,X91,$Y$5:$Y$404,1),"")</f>
        <v/>
      </c>
      <c r="AS91" s="8">
        <f>IF(ISNUMBER(AR91),IF(AR91&lt;='參數'!$B$18,"加碼候選",IF(AR91&gt;'參數'!$B$19,"減碼候選","")),"")</f>
        <v/>
      </c>
      <c r="AT91" s="7">
        <f>IF(Y91=1,N91,0)</f>
        <v/>
      </c>
      <c r="AU91" s="7">
        <f>IF(Y91=1,LN(O91),0)</f>
        <v/>
      </c>
      <c r="AV91" s="36">
        <f>IF(Y91=1,IF(ISNUMBER(F91),F91,0),0)</f>
        <v/>
      </c>
      <c r="AW91" s="7">
        <f>IF(Y91=1,Z91,0)</f>
        <v/>
      </c>
      <c r="AX91" s="7">
        <f>IF(Y91=1,IF(ISNUMBER(AL91),AL91,0),0)</f>
        <v/>
      </c>
      <c r="AY91" s="7">
        <f>IF(Y91=1,IF(ISNUMBER(AL91),1,0),0)</f>
        <v/>
      </c>
      <c r="AZ91" s="7">
        <f>IF(Y91=1,IF(ISNUMBER(AN91),AN91,0),0)</f>
        <v/>
      </c>
      <c r="BA91" s="7">
        <f>IF(Y91=1,IF(ISNUMBER(AN91),1,0),0)</f>
        <v/>
      </c>
      <c r="BB91" s="7">
        <f>IF(Y91=1,IF(ISNUMBER(T91),T91,0),0)</f>
        <v/>
      </c>
      <c r="BC91" s="7">
        <f>IF(Y91=1,IF(ISNUMBER(T91),1,0),0)</f>
        <v/>
      </c>
      <c r="BD91" s="7">
        <f>IF(Y91=1,AQ91+ROW()/1E9,-1E9)</f>
        <v/>
      </c>
      <c r="BE91" s="7">
        <f>IF(Y91=1,AQ91+ROW()/1E9,1E9)</f>
        <v/>
      </c>
    </row>
    <row r="92">
      <c r="A92" s="16" t="n"/>
      <c r="B92" s="8">
        <f>IF($A92="","",BDP($A92,B$3))</f>
        <v/>
      </c>
      <c r="C92" s="8">
        <f>IF($A92="","",BDP($A92,C$3))</f>
        <v/>
      </c>
      <c r="D92" s="28">
        <f>IF($A92="","",BDP($A92,D$3))</f>
        <v/>
      </c>
      <c r="E92" s="29">
        <f>IF($A92="","",BDP($A92,E$3))</f>
        <v/>
      </c>
      <c r="F92" s="17">
        <f>IF($A92="","",BDP($A92,F$3))</f>
        <v/>
      </c>
      <c r="G92" s="8">
        <f>IF($A92="","",BDP($A92,G$3))</f>
        <v/>
      </c>
      <c r="H92" s="8">
        <f>IF($A92="","",BDP($A92,H$3))</f>
        <v/>
      </c>
      <c r="I92" s="8">
        <f>IF($A92="","",BDP($A92,I$3))</f>
        <v/>
      </c>
      <c r="J92" s="8">
        <f>IF($A92="","",BDP($A92,J$3))</f>
        <v/>
      </c>
      <c r="K92" s="8">
        <f>IF($A92="","",BDP($A92,K$3))</f>
        <v/>
      </c>
      <c r="L92" s="28">
        <f>IF($A92="","",BDP($A92,L$3))</f>
        <v/>
      </c>
      <c r="M92" s="28">
        <f>IF($A92="","",BDP($A92,M$3))</f>
        <v/>
      </c>
      <c r="N92" s="30">
        <f>IF($A92="","",BDP($A92,N$3))</f>
        <v/>
      </c>
      <c r="O92" s="31">
        <f>IF($A92="","",BDP($A92,O$3))</f>
        <v/>
      </c>
      <c r="P92" s="30">
        <f>IF($A92="","",BDH($A92,$N$3,'參數'!$B$5,'參數'!$B$5,"Days=A","Fill=P","Dates=H"))</f>
        <v/>
      </c>
      <c r="Q92" s="30">
        <f>IF($A92="","",BDH($A92,$N$3,'參數'!$B$6,'參數'!$B$6,"Days=A","Fill=P","Dates=H"))</f>
        <v/>
      </c>
      <c r="R92" s="30">
        <f>IF($A92="","",BDH($A92,$N$3,'參數'!$B$7,'參數'!$B$7,"Days=A","Fill=P","Dates=H"))</f>
        <v/>
      </c>
      <c r="S92" s="32">
        <f>IF($A92="","",IFERROR(INDEX('發行人'!$A$5:$A$44,MATCH(B92,'發行人'!$D$5:$D$44,0)),"未對應"))</f>
        <v/>
      </c>
      <c r="T92" s="24">
        <f>IF($A92="","",IFERROR(INDEX('發行人'!$G$5:$G$44,MATCH(B92,'發行人'!$D$5:$D$44,0))+0,""))</f>
        <v/>
      </c>
      <c r="U92" s="18">
        <f>IF(ISNUMBER(E92),YEARFRAC('參數'!$B$4,E92),"")</f>
        <v/>
      </c>
      <c r="V92" s="8">
        <f>IF(U92="","",IF(U92&lt;3,"1-3y",IF(U92&lt;5,"3-5y",IF(U92&lt;7,"5-7y",IF(U92&lt;10,"7-10y","10y+")))))</f>
        <v/>
      </c>
      <c r="W92" s="30">
        <f>IF($A92="","",IFERROR(INDEX('參數'!$B$24:$B$45,MATCH(G92,'參數'!$A$24:$A$45,0)),""))</f>
        <v/>
      </c>
      <c r="X92" s="8">
        <f>IF($A92="","",IFERROR(INDEX('參數'!$C$24:$C$45,MATCH(G92,'參數'!$A$24:$A$45,0)),""))</f>
        <v/>
      </c>
      <c r="Y92" s="30">
        <f>IF(AND(ISNUMBER(N92),ISNUMBER(O92),ISNUMBER(U92)),IF(AND(O92&gt;0,X92&lt;&gt;""),1,0),0)</f>
        <v/>
      </c>
      <c r="Z92" s="17">
        <f>IF(Y92=1,O92*N92,"")</f>
        <v/>
      </c>
      <c r="AA92" s="33">
        <f>IF(Y92=1,IF(ISNUMBER(Q92),N92-Q92,""),"")</f>
        <v/>
      </c>
      <c r="AB92" s="33">
        <f>IF(Y92=1,IF(AND(ISNUMBER(P92),ISNUMBER(R92)),R92*5/12-O92*(P92-R92),""),"")</f>
        <v/>
      </c>
      <c r="AC92" s="30">
        <f>IF(Y92=1,COUNTIFS($X$5:$X$404,X92,$V$5:$V$404,V92,$Y$5:$Y$404,1),"")</f>
        <v/>
      </c>
      <c r="AD92" s="30">
        <f>IF(Y92=1,IFERROR(IF(AC92&gt;='參數'!$B$9,INDEX('分群統計'!$G$13:$K$16,MATCH(X92,'分群統計'!$A$13:$A$16,0),MATCH(V92,'分群統計'!$G$12:$K$12,0)),INDEX('分群統計'!$I$5:$I$8,MATCH(X92,'分群統計'!$A$5:$A$8,0))),""),"")</f>
        <v/>
      </c>
      <c r="AE92" s="18">
        <f>IF(Y92=1,IFERROR(IF(AC92&gt;='參數'!$B$9,INDEX('分群統計'!$L$13:$P$16,MATCH(X92,'分群統計'!$A$13:$A$16,0),MATCH(V92,'分群統計'!$L$12:$P$12,0)),INDEX('分群統計'!$J$5:$J$8,MATCH(X92,'分群統計'!$A$5:$A$8,0))),""),"")</f>
        <v/>
      </c>
      <c r="AF92" s="31">
        <f>IF(ISNUMBER(AE92),IF(AE92&gt;0,MAX(-3,MIN(3,(N92-AD92)/AE92)),0),"")</f>
        <v/>
      </c>
      <c r="AG92" s="30">
        <f>IF(Y92=1,COUNTIFS($B$5:$B$404,B92,$Y$5:$Y$404,1),"")</f>
        <v/>
      </c>
      <c r="AH92" s="30">
        <f>IF(Y92=1,IFERROR(IF(ISNUMBER(INDEX('分群統計'!$G$20:$G$59,MATCH(B92,'分群統計'!$A$20:$A$59,0))),INDEX('分群統計'!$H$20:$H$59,MATCH(B92,'分群統計'!$A$20:$A$59,0))+INDEX('分群統計'!$G$20:$G$59,MATCH(B92,'分群統計'!$A$20:$A$59,0))*AU92,""),""),"")</f>
        <v/>
      </c>
      <c r="AI92" s="34">
        <f>IF(ISNUMBER(AH92),N92-AH92,"")</f>
        <v/>
      </c>
      <c r="AJ92" s="30">
        <f>IF(Y92=1,IFERROR(IF(ISNUMBER(INDEX('分群統計'!$G$5:$G$8,MATCH(X92,'分群統計'!$A$5:$A$8,0))),INDEX('分群統計'!$H$5:$H$8,MATCH(X92,'分群統計'!$A$5:$A$8,0))+INDEX('分群統計'!$G$5:$G$8,MATCH(X92,'分群統計'!$A$5:$A$8,0))*AU92,""),""),"")</f>
        <v/>
      </c>
      <c r="AK92" s="34">
        <f>IF(ISNUMBER(AJ92),N92-AJ92,"")</f>
        <v/>
      </c>
      <c r="AL92" s="21">
        <f>IF(ISNUMBER(AJ92),IF(AJ92&gt;0,AK92/AJ92,""),"")</f>
        <v/>
      </c>
      <c r="AM92" s="31">
        <f>IF(AY92&lt;&gt;1,"",IFERROR(IF(INDEX('分群統計'!$K$5:$K$8,MATCH(X92,'分群統計'!$A$5:$A$8,0))&lt;3,"",IF(INDEX('分群統計'!$M$5:$M$8,MATCH(X92,'分群統計'!$A$5:$A$8,0))&gt;0,MAX(-3,MIN(3,(AX92-INDEX('分群統計'!$L$5:$L$8,MATCH(X92,'分群統計'!$A$5:$A$8,0)))/INDEX('分群統計'!$M$5:$M$8,MATCH(X92,'分群統計'!$A$5:$A$8,0)))),0)),""))</f>
        <v/>
      </c>
      <c r="AN92" s="31">
        <f>IF(ISNUMBER(AB92),IF(Z92&gt;0,AB92/Z92*100,""),"")</f>
        <v/>
      </c>
      <c r="AO92" s="31">
        <f>IF(BA92&lt;&gt;1,"",IFERROR(IF(INDEX('分群統計'!$N$5:$N$8,MATCH(X92,'分群統計'!$A$5:$A$8,0))&lt;3,"",IF(INDEX('分群統計'!$P$5:$P$8,MATCH(X92,'分群統計'!$A$5:$A$8,0))&gt;0,MAX(-3,MIN(3,(AZ92-INDEX('分群統計'!$O$5:$O$8,MATCH(X92,'分群統計'!$A$5:$A$8,0)))/INDEX('分群統計'!$P$5:$P$8,MATCH(X92,'分群統計'!$A$5:$A$8,0)))),0)),""))</f>
        <v/>
      </c>
      <c r="AP92" s="31">
        <f>IF(BC92&lt;&gt;1,"",IFERROR(IF(INDEX('分群統計'!$Q$5:$Q$8,MATCH(X92,'分群統計'!$A$5:$A$8,0))&lt;3,"",IF(INDEX('分群統計'!$S$5:$S$8,MATCH(X92,'分群統計'!$A$5:$A$8,0))&gt;0,MAX(-3,MIN(3,(BB92-INDEX('分群統計'!$R$5:$R$8,MATCH(X92,'分群統計'!$A$5:$A$8,0)))/INDEX('分群統計'!$S$5:$S$8,MATCH(X92,'分群統計'!$A$5:$A$8,0)))),0)),""))</f>
        <v/>
      </c>
      <c r="AQ92" s="31">
        <f>IF(Y92=1,(IF(ISNUMBER(AF92),AF92,0)*'參數'!$B$13+IF(ISNUMBER(AM92),AM92,0)*'參數'!$B$14+IF(ISNUMBER(AO92),AO92,0)*'參數'!$B$15+IF(ISNUMBER(AP92),AP92,0)*'參數'!$B$16)/('參數'!$B$13+'參數'!$B$14+'參數'!$B$15+'參數'!$B$16),"")</f>
        <v/>
      </c>
      <c r="AR92" s="35">
        <f>IF(Y92=1,(SUMPRODUCT(($X$5:$X$404=X92)*($Y$5:$Y$404=1)*($BD$5:$BD$404&gt;BD92))+1)/COUNTIFS($X$5:$X$404,X92,$Y$5:$Y$404,1),"")</f>
        <v/>
      </c>
      <c r="AS92" s="8">
        <f>IF(ISNUMBER(AR92),IF(AR92&lt;='參數'!$B$18,"加碼候選",IF(AR92&gt;'參數'!$B$19,"減碼候選","")),"")</f>
        <v/>
      </c>
      <c r="AT92" s="7">
        <f>IF(Y92=1,N92,0)</f>
        <v/>
      </c>
      <c r="AU92" s="7">
        <f>IF(Y92=1,LN(O92),0)</f>
        <v/>
      </c>
      <c r="AV92" s="36">
        <f>IF(Y92=1,IF(ISNUMBER(F92),F92,0),0)</f>
        <v/>
      </c>
      <c r="AW92" s="7">
        <f>IF(Y92=1,Z92,0)</f>
        <v/>
      </c>
      <c r="AX92" s="7">
        <f>IF(Y92=1,IF(ISNUMBER(AL92),AL92,0),0)</f>
        <v/>
      </c>
      <c r="AY92" s="7">
        <f>IF(Y92=1,IF(ISNUMBER(AL92),1,0),0)</f>
        <v/>
      </c>
      <c r="AZ92" s="7">
        <f>IF(Y92=1,IF(ISNUMBER(AN92),AN92,0),0)</f>
        <v/>
      </c>
      <c r="BA92" s="7">
        <f>IF(Y92=1,IF(ISNUMBER(AN92),1,0),0)</f>
        <v/>
      </c>
      <c r="BB92" s="7">
        <f>IF(Y92=1,IF(ISNUMBER(T92),T92,0),0)</f>
        <v/>
      </c>
      <c r="BC92" s="7">
        <f>IF(Y92=1,IF(ISNUMBER(T92),1,0),0)</f>
        <v/>
      </c>
      <c r="BD92" s="7">
        <f>IF(Y92=1,AQ92+ROW()/1E9,-1E9)</f>
        <v/>
      </c>
      <c r="BE92" s="7">
        <f>IF(Y92=1,AQ92+ROW()/1E9,1E9)</f>
        <v/>
      </c>
    </row>
    <row r="93">
      <c r="A93" s="16" t="n"/>
      <c r="B93" s="8">
        <f>IF($A93="","",BDP($A93,B$3))</f>
        <v/>
      </c>
      <c r="C93" s="8">
        <f>IF($A93="","",BDP($A93,C$3))</f>
        <v/>
      </c>
      <c r="D93" s="28">
        <f>IF($A93="","",BDP($A93,D$3))</f>
        <v/>
      </c>
      <c r="E93" s="29">
        <f>IF($A93="","",BDP($A93,E$3))</f>
        <v/>
      </c>
      <c r="F93" s="17">
        <f>IF($A93="","",BDP($A93,F$3))</f>
        <v/>
      </c>
      <c r="G93" s="8">
        <f>IF($A93="","",BDP($A93,G$3))</f>
        <v/>
      </c>
      <c r="H93" s="8">
        <f>IF($A93="","",BDP($A93,H$3))</f>
        <v/>
      </c>
      <c r="I93" s="8">
        <f>IF($A93="","",BDP($A93,I$3))</f>
        <v/>
      </c>
      <c r="J93" s="8">
        <f>IF($A93="","",BDP($A93,J$3))</f>
        <v/>
      </c>
      <c r="K93" s="8">
        <f>IF($A93="","",BDP($A93,K$3))</f>
        <v/>
      </c>
      <c r="L93" s="28">
        <f>IF($A93="","",BDP($A93,L$3))</f>
        <v/>
      </c>
      <c r="M93" s="28">
        <f>IF($A93="","",BDP($A93,M$3))</f>
        <v/>
      </c>
      <c r="N93" s="30">
        <f>IF($A93="","",BDP($A93,N$3))</f>
        <v/>
      </c>
      <c r="O93" s="31">
        <f>IF($A93="","",BDP($A93,O$3))</f>
        <v/>
      </c>
      <c r="P93" s="30">
        <f>IF($A93="","",BDH($A93,$N$3,'參數'!$B$5,'參數'!$B$5,"Days=A","Fill=P","Dates=H"))</f>
        <v/>
      </c>
      <c r="Q93" s="30">
        <f>IF($A93="","",BDH($A93,$N$3,'參數'!$B$6,'參數'!$B$6,"Days=A","Fill=P","Dates=H"))</f>
        <v/>
      </c>
      <c r="R93" s="30">
        <f>IF($A93="","",BDH($A93,$N$3,'參數'!$B$7,'參數'!$B$7,"Days=A","Fill=P","Dates=H"))</f>
        <v/>
      </c>
      <c r="S93" s="32">
        <f>IF($A93="","",IFERROR(INDEX('發行人'!$A$5:$A$44,MATCH(B93,'發行人'!$D$5:$D$44,0)),"未對應"))</f>
        <v/>
      </c>
      <c r="T93" s="24">
        <f>IF($A93="","",IFERROR(INDEX('發行人'!$G$5:$G$44,MATCH(B93,'發行人'!$D$5:$D$44,0))+0,""))</f>
        <v/>
      </c>
      <c r="U93" s="18">
        <f>IF(ISNUMBER(E93),YEARFRAC('參數'!$B$4,E93),"")</f>
        <v/>
      </c>
      <c r="V93" s="8">
        <f>IF(U93="","",IF(U93&lt;3,"1-3y",IF(U93&lt;5,"3-5y",IF(U93&lt;7,"5-7y",IF(U93&lt;10,"7-10y","10y+")))))</f>
        <v/>
      </c>
      <c r="W93" s="30">
        <f>IF($A93="","",IFERROR(INDEX('參數'!$B$24:$B$45,MATCH(G93,'參數'!$A$24:$A$45,0)),""))</f>
        <v/>
      </c>
      <c r="X93" s="8">
        <f>IF($A93="","",IFERROR(INDEX('參數'!$C$24:$C$45,MATCH(G93,'參數'!$A$24:$A$45,0)),""))</f>
        <v/>
      </c>
      <c r="Y93" s="30">
        <f>IF(AND(ISNUMBER(N93),ISNUMBER(O93),ISNUMBER(U93)),IF(AND(O93&gt;0,X93&lt;&gt;""),1,0),0)</f>
        <v/>
      </c>
      <c r="Z93" s="17">
        <f>IF(Y93=1,O93*N93,"")</f>
        <v/>
      </c>
      <c r="AA93" s="33">
        <f>IF(Y93=1,IF(ISNUMBER(Q93),N93-Q93,""),"")</f>
        <v/>
      </c>
      <c r="AB93" s="33">
        <f>IF(Y93=1,IF(AND(ISNUMBER(P93),ISNUMBER(R93)),R93*5/12-O93*(P93-R93),""),"")</f>
        <v/>
      </c>
      <c r="AC93" s="30">
        <f>IF(Y93=1,COUNTIFS($X$5:$X$404,X93,$V$5:$V$404,V93,$Y$5:$Y$404,1),"")</f>
        <v/>
      </c>
      <c r="AD93" s="30">
        <f>IF(Y93=1,IFERROR(IF(AC93&gt;='參數'!$B$9,INDEX('分群統計'!$G$13:$K$16,MATCH(X93,'分群統計'!$A$13:$A$16,0),MATCH(V93,'分群統計'!$G$12:$K$12,0)),INDEX('分群統計'!$I$5:$I$8,MATCH(X93,'分群統計'!$A$5:$A$8,0))),""),"")</f>
        <v/>
      </c>
      <c r="AE93" s="18">
        <f>IF(Y93=1,IFERROR(IF(AC93&gt;='參數'!$B$9,INDEX('分群統計'!$L$13:$P$16,MATCH(X93,'分群統計'!$A$13:$A$16,0),MATCH(V93,'分群統計'!$L$12:$P$12,0)),INDEX('分群統計'!$J$5:$J$8,MATCH(X93,'分群統計'!$A$5:$A$8,0))),""),"")</f>
        <v/>
      </c>
      <c r="AF93" s="31">
        <f>IF(ISNUMBER(AE93),IF(AE93&gt;0,MAX(-3,MIN(3,(N93-AD93)/AE93)),0),"")</f>
        <v/>
      </c>
      <c r="AG93" s="30">
        <f>IF(Y93=1,COUNTIFS($B$5:$B$404,B93,$Y$5:$Y$404,1),"")</f>
        <v/>
      </c>
      <c r="AH93" s="30">
        <f>IF(Y93=1,IFERROR(IF(ISNUMBER(INDEX('分群統計'!$G$20:$G$59,MATCH(B93,'分群統計'!$A$20:$A$59,0))),INDEX('分群統計'!$H$20:$H$59,MATCH(B93,'分群統計'!$A$20:$A$59,0))+INDEX('分群統計'!$G$20:$G$59,MATCH(B93,'分群統計'!$A$20:$A$59,0))*AU93,""),""),"")</f>
        <v/>
      </c>
      <c r="AI93" s="34">
        <f>IF(ISNUMBER(AH93),N93-AH93,"")</f>
        <v/>
      </c>
      <c r="AJ93" s="30">
        <f>IF(Y93=1,IFERROR(IF(ISNUMBER(INDEX('分群統計'!$G$5:$G$8,MATCH(X93,'分群統計'!$A$5:$A$8,0))),INDEX('分群統計'!$H$5:$H$8,MATCH(X93,'分群統計'!$A$5:$A$8,0))+INDEX('分群統計'!$G$5:$G$8,MATCH(X93,'分群統計'!$A$5:$A$8,0))*AU93,""),""),"")</f>
        <v/>
      </c>
      <c r="AK93" s="34">
        <f>IF(ISNUMBER(AJ93),N93-AJ93,"")</f>
        <v/>
      </c>
      <c r="AL93" s="21">
        <f>IF(ISNUMBER(AJ93),IF(AJ93&gt;0,AK93/AJ93,""),"")</f>
        <v/>
      </c>
      <c r="AM93" s="31">
        <f>IF(AY93&lt;&gt;1,"",IFERROR(IF(INDEX('分群統計'!$K$5:$K$8,MATCH(X93,'分群統計'!$A$5:$A$8,0))&lt;3,"",IF(INDEX('分群統計'!$M$5:$M$8,MATCH(X93,'分群統計'!$A$5:$A$8,0))&gt;0,MAX(-3,MIN(3,(AX93-INDEX('分群統計'!$L$5:$L$8,MATCH(X93,'分群統計'!$A$5:$A$8,0)))/INDEX('分群統計'!$M$5:$M$8,MATCH(X93,'分群統計'!$A$5:$A$8,0)))),0)),""))</f>
        <v/>
      </c>
      <c r="AN93" s="31">
        <f>IF(ISNUMBER(AB93),IF(Z93&gt;0,AB93/Z93*100,""),"")</f>
        <v/>
      </c>
      <c r="AO93" s="31">
        <f>IF(BA93&lt;&gt;1,"",IFERROR(IF(INDEX('分群統計'!$N$5:$N$8,MATCH(X93,'分群統計'!$A$5:$A$8,0))&lt;3,"",IF(INDEX('分群統計'!$P$5:$P$8,MATCH(X93,'分群統計'!$A$5:$A$8,0))&gt;0,MAX(-3,MIN(3,(AZ93-INDEX('分群統計'!$O$5:$O$8,MATCH(X93,'分群統計'!$A$5:$A$8,0)))/INDEX('分群統計'!$P$5:$P$8,MATCH(X93,'分群統計'!$A$5:$A$8,0)))),0)),""))</f>
        <v/>
      </c>
      <c r="AP93" s="31">
        <f>IF(BC93&lt;&gt;1,"",IFERROR(IF(INDEX('分群統計'!$Q$5:$Q$8,MATCH(X93,'分群統計'!$A$5:$A$8,0))&lt;3,"",IF(INDEX('分群統計'!$S$5:$S$8,MATCH(X93,'分群統計'!$A$5:$A$8,0))&gt;0,MAX(-3,MIN(3,(BB93-INDEX('分群統計'!$R$5:$R$8,MATCH(X93,'分群統計'!$A$5:$A$8,0)))/INDEX('分群統計'!$S$5:$S$8,MATCH(X93,'分群統計'!$A$5:$A$8,0)))),0)),""))</f>
        <v/>
      </c>
      <c r="AQ93" s="31">
        <f>IF(Y93=1,(IF(ISNUMBER(AF93),AF93,0)*'參數'!$B$13+IF(ISNUMBER(AM93),AM93,0)*'參數'!$B$14+IF(ISNUMBER(AO93),AO93,0)*'參數'!$B$15+IF(ISNUMBER(AP93),AP93,0)*'參數'!$B$16)/('參數'!$B$13+'參數'!$B$14+'參數'!$B$15+'參數'!$B$16),"")</f>
        <v/>
      </c>
      <c r="AR93" s="35">
        <f>IF(Y93=1,(SUMPRODUCT(($X$5:$X$404=X93)*($Y$5:$Y$404=1)*($BD$5:$BD$404&gt;BD93))+1)/COUNTIFS($X$5:$X$404,X93,$Y$5:$Y$404,1),"")</f>
        <v/>
      </c>
      <c r="AS93" s="8">
        <f>IF(ISNUMBER(AR93),IF(AR93&lt;='參數'!$B$18,"加碼候選",IF(AR93&gt;'參數'!$B$19,"減碼候選","")),"")</f>
        <v/>
      </c>
      <c r="AT93" s="7">
        <f>IF(Y93=1,N93,0)</f>
        <v/>
      </c>
      <c r="AU93" s="7">
        <f>IF(Y93=1,LN(O93),0)</f>
        <v/>
      </c>
      <c r="AV93" s="36">
        <f>IF(Y93=1,IF(ISNUMBER(F93),F93,0),0)</f>
        <v/>
      </c>
      <c r="AW93" s="7">
        <f>IF(Y93=1,Z93,0)</f>
        <v/>
      </c>
      <c r="AX93" s="7">
        <f>IF(Y93=1,IF(ISNUMBER(AL93),AL93,0),0)</f>
        <v/>
      </c>
      <c r="AY93" s="7">
        <f>IF(Y93=1,IF(ISNUMBER(AL93),1,0),0)</f>
        <v/>
      </c>
      <c r="AZ93" s="7">
        <f>IF(Y93=1,IF(ISNUMBER(AN93),AN93,0),0)</f>
        <v/>
      </c>
      <c r="BA93" s="7">
        <f>IF(Y93=1,IF(ISNUMBER(AN93),1,0),0)</f>
        <v/>
      </c>
      <c r="BB93" s="7">
        <f>IF(Y93=1,IF(ISNUMBER(T93),T93,0),0)</f>
        <v/>
      </c>
      <c r="BC93" s="7">
        <f>IF(Y93=1,IF(ISNUMBER(T93),1,0),0)</f>
        <v/>
      </c>
      <c r="BD93" s="7">
        <f>IF(Y93=1,AQ93+ROW()/1E9,-1E9)</f>
        <v/>
      </c>
      <c r="BE93" s="7">
        <f>IF(Y93=1,AQ93+ROW()/1E9,1E9)</f>
        <v/>
      </c>
    </row>
    <row r="94">
      <c r="A94" s="16" t="n"/>
      <c r="B94" s="8">
        <f>IF($A94="","",BDP($A94,B$3))</f>
        <v/>
      </c>
      <c r="C94" s="8">
        <f>IF($A94="","",BDP($A94,C$3))</f>
        <v/>
      </c>
      <c r="D94" s="28">
        <f>IF($A94="","",BDP($A94,D$3))</f>
        <v/>
      </c>
      <c r="E94" s="29">
        <f>IF($A94="","",BDP($A94,E$3))</f>
        <v/>
      </c>
      <c r="F94" s="17">
        <f>IF($A94="","",BDP($A94,F$3))</f>
        <v/>
      </c>
      <c r="G94" s="8">
        <f>IF($A94="","",BDP($A94,G$3))</f>
        <v/>
      </c>
      <c r="H94" s="8">
        <f>IF($A94="","",BDP($A94,H$3))</f>
        <v/>
      </c>
      <c r="I94" s="8">
        <f>IF($A94="","",BDP($A94,I$3))</f>
        <v/>
      </c>
      <c r="J94" s="8">
        <f>IF($A94="","",BDP($A94,J$3))</f>
        <v/>
      </c>
      <c r="K94" s="8">
        <f>IF($A94="","",BDP($A94,K$3))</f>
        <v/>
      </c>
      <c r="L94" s="28">
        <f>IF($A94="","",BDP($A94,L$3))</f>
        <v/>
      </c>
      <c r="M94" s="28">
        <f>IF($A94="","",BDP($A94,M$3))</f>
        <v/>
      </c>
      <c r="N94" s="30">
        <f>IF($A94="","",BDP($A94,N$3))</f>
        <v/>
      </c>
      <c r="O94" s="31">
        <f>IF($A94="","",BDP($A94,O$3))</f>
        <v/>
      </c>
      <c r="P94" s="30">
        <f>IF($A94="","",BDH($A94,$N$3,'參數'!$B$5,'參數'!$B$5,"Days=A","Fill=P","Dates=H"))</f>
        <v/>
      </c>
      <c r="Q94" s="30">
        <f>IF($A94="","",BDH($A94,$N$3,'參數'!$B$6,'參數'!$B$6,"Days=A","Fill=P","Dates=H"))</f>
        <v/>
      </c>
      <c r="R94" s="30">
        <f>IF($A94="","",BDH($A94,$N$3,'參數'!$B$7,'參數'!$B$7,"Days=A","Fill=P","Dates=H"))</f>
        <v/>
      </c>
      <c r="S94" s="32">
        <f>IF($A94="","",IFERROR(INDEX('發行人'!$A$5:$A$44,MATCH(B94,'發行人'!$D$5:$D$44,0)),"未對應"))</f>
        <v/>
      </c>
      <c r="T94" s="24">
        <f>IF($A94="","",IFERROR(INDEX('發行人'!$G$5:$G$44,MATCH(B94,'發行人'!$D$5:$D$44,0))+0,""))</f>
        <v/>
      </c>
      <c r="U94" s="18">
        <f>IF(ISNUMBER(E94),YEARFRAC('參數'!$B$4,E94),"")</f>
        <v/>
      </c>
      <c r="V94" s="8">
        <f>IF(U94="","",IF(U94&lt;3,"1-3y",IF(U94&lt;5,"3-5y",IF(U94&lt;7,"5-7y",IF(U94&lt;10,"7-10y","10y+")))))</f>
        <v/>
      </c>
      <c r="W94" s="30">
        <f>IF($A94="","",IFERROR(INDEX('參數'!$B$24:$B$45,MATCH(G94,'參數'!$A$24:$A$45,0)),""))</f>
        <v/>
      </c>
      <c r="X94" s="8">
        <f>IF($A94="","",IFERROR(INDEX('參數'!$C$24:$C$45,MATCH(G94,'參數'!$A$24:$A$45,0)),""))</f>
        <v/>
      </c>
      <c r="Y94" s="30">
        <f>IF(AND(ISNUMBER(N94),ISNUMBER(O94),ISNUMBER(U94)),IF(AND(O94&gt;0,X94&lt;&gt;""),1,0),0)</f>
        <v/>
      </c>
      <c r="Z94" s="17">
        <f>IF(Y94=1,O94*N94,"")</f>
        <v/>
      </c>
      <c r="AA94" s="33">
        <f>IF(Y94=1,IF(ISNUMBER(Q94),N94-Q94,""),"")</f>
        <v/>
      </c>
      <c r="AB94" s="33">
        <f>IF(Y94=1,IF(AND(ISNUMBER(P94),ISNUMBER(R94)),R94*5/12-O94*(P94-R94),""),"")</f>
        <v/>
      </c>
      <c r="AC94" s="30">
        <f>IF(Y94=1,COUNTIFS($X$5:$X$404,X94,$V$5:$V$404,V94,$Y$5:$Y$404,1),"")</f>
        <v/>
      </c>
      <c r="AD94" s="30">
        <f>IF(Y94=1,IFERROR(IF(AC94&gt;='參數'!$B$9,INDEX('分群統計'!$G$13:$K$16,MATCH(X94,'分群統計'!$A$13:$A$16,0),MATCH(V94,'分群統計'!$G$12:$K$12,0)),INDEX('分群統計'!$I$5:$I$8,MATCH(X94,'分群統計'!$A$5:$A$8,0))),""),"")</f>
        <v/>
      </c>
      <c r="AE94" s="18">
        <f>IF(Y94=1,IFERROR(IF(AC94&gt;='參數'!$B$9,INDEX('分群統計'!$L$13:$P$16,MATCH(X94,'分群統計'!$A$13:$A$16,0),MATCH(V94,'分群統計'!$L$12:$P$12,0)),INDEX('分群統計'!$J$5:$J$8,MATCH(X94,'分群統計'!$A$5:$A$8,0))),""),"")</f>
        <v/>
      </c>
      <c r="AF94" s="31">
        <f>IF(ISNUMBER(AE94),IF(AE94&gt;0,MAX(-3,MIN(3,(N94-AD94)/AE94)),0),"")</f>
        <v/>
      </c>
      <c r="AG94" s="30">
        <f>IF(Y94=1,COUNTIFS($B$5:$B$404,B94,$Y$5:$Y$404,1),"")</f>
        <v/>
      </c>
      <c r="AH94" s="30">
        <f>IF(Y94=1,IFERROR(IF(ISNUMBER(INDEX('分群統計'!$G$20:$G$59,MATCH(B94,'分群統計'!$A$20:$A$59,0))),INDEX('分群統計'!$H$20:$H$59,MATCH(B94,'分群統計'!$A$20:$A$59,0))+INDEX('分群統計'!$G$20:$G$59,MATCH(B94,'分群統計'!$A$20:$A$59,0))*AU94,""),""),"")</f>
        <v/>
      </c>
      <c r="AI94" s="34">
        <f>IF(ISNUMBER(AH94),N94-AH94,"")</f>
        <v/>
      </c>
      <c r="AJ94" s="30">
        <f>IF(Y94=1,IFERROR(IF(ISNUMBER(INDEX('分群統計'!$G$5:$G$8,MATCH(X94,'分群統計'!$A$5:$A$8,0))),INDEX('分群統計'!$H$5:$H$8,MATCH(X94,'分群統計'!$A$5:$A$8,0))+INDEX('分群統計'!$G$5:$G$8,MATCH(X94,'分群統計'!$A$5:$A$8,0))*AU94,""),""),"")</f>
        <v/>
      </c>
      <c r="AK94" s="34">
        <f>IF(ISNUMBER(AJ94),N94-AJ94,"")</f>
        <v/>
      </c>
      <c r="AL94" s="21">
        <f>IF(ISNUMBER(AJ94),IF(AJ94&gt;0,AK94/AJ94,""),"")</f>
        <v/>
      </c>
      <c r="AM94" s="31">
        <f>IF(AY94&lt;&gt;1,"",IFERROR(IF(INDEX('分群統計'!$K$5:$K$8,MATCH(X94,'分群統計'!$A$5:$A$8,0))&lt;3,"",IF(INDEX('分群統計'!$M$5:$M$8,MATCH(X94,'分群統計'!$A$5:$A$8,0))&gt;0,MAX(-3,MIN(3,(AX94-INDEX('分群統計'!$L$5:$L$8,MATCH(X94,'分群統計'!$A$5:$A$8,0)))/INDEX('分群統計'!$M$5:$M$8,MATCH(X94,'分群統計'!$A$5:$A$8,0)))),0)),""))</f>
        <v/>
      </c>
      <c r="AN94" s="31">
        <f>IF(ISNUMBER(AB94),IF(Z94&gt;0,AB94/Z94*100,""),"")</f>
        <v/>
      </c>
      <c r="AO94" s="31">
        <f>IF(BA94&lt;&gt;1,"",IFERROR(IF(INDEX('分群統計'!$N$5:$N$8,MATCH(X94,'分群統計'!$A$5:$A$8,0))&lt;3,"",IF(INDEX('分群統計'!$P$5:$P$8,MATCH(X94,'分群統計'!$A$5:$A$8,0))&gt;0,MAX(-3,MIN(3,(AZ94-INDEX('分群統計'!$O$5:$O$8,MATCH(X94,'分群統計'!$A$5:$A$8,0)))/INDEX('分群統計'!$P$5:$P$8,MATCH(X94,'分群統計'!$A$5:$A$8,0)))),0)),""))</f>
        <v/>
      </c>
      <c r="AP94" s="31">
        <f>IF(BC94&lt;&gt;1,"",IFERROR(IF(INDEX('分群統計'!$Q$5:$Q$8,MATCH(X94,'分群統計'!$A$5:$A$8,0))&lt;3,"",IF(INDEX('分群統計'!$S$5:$S$8,MATCH(X94,'分群統計'!$A$5:$A$8,0))&gt;0,MAX(-3,MIN(3,(BB94-INDEX('分群統計'!$R$5:$R$8,MATCH(X94,'分群統計'!$A$5:$A$8,0)))/INDEX('分群統計'!$S$5:$S$8,MATCH(X94,'分群統計'!$A$5:$A$8,0)))),0)),""))</f>
        <v/>
      </c>
      <c r="AQ94" s="31">
        <f>IF(Y94=1,(IF(ISNUMBER(AF94),AF94,0)*'參數'!$B$13+IF(ISNUMBER(AM94),AM94,0)*'參數'!$B$14+IF(ISNUMBER(AO94),AO94,0)*'參數'!$B$15+IF(ISNUMBER(AP94),AP94,0)*'參數'!$B$16)/('參數'!$B$13+'參數'!$B$14+'參數'!$B$15+'參數'!$B$16),"")</f>
        <v/>
      </c>
      <c r="AR94" s="35">
        <f>IF(Y94=1,(SUMPRODUCT(($X$5:$X$404=X94)*($Y$5:$Y$404=1)*($BD$5:$BD$404&gt;BD94))+1)/COUNTIFS($X$5:$X$404,X94,$Y$5:$Y$404,1),"")</f>
        <v/>
      </c>
      <c r="AS94" s="8">
        <f>IF(ISNUMBER(AR94),IF(AR94&lt;='參數'!$B$18,"加碼候選",IF(AR94&gt;'參數'!$B$19,"減碼候選","")),"")</f>
        <v/>
      </c>
      <c r="AT94" s="7">
        <f>IF(Y94=1,N94,0)</f>
        <v/>
      </c>
      <c r="AU94" s="7">
        <f>IF(Y94=1,LN(O94),0)</f>
        <v/>
      </c>
      <c r="AV94" s="36">
        <f>IF(Y94=1,IF(ISNUMBER(F94),F94,0),0)</f>
        <v/>
      </c>
      <c r="AW94" s="7">
        <f>IF(Y94=1,Z94,0)</f>
        <v/>
      </c>
      <c r="AX94" s="7">
        <f>IF(Y94=1,IF(ISNUMBER(AL94),AL94,0),0)</f>
        <v/>
      </c>
      <c r="AY94" s="7">
        <f>IF(Y94=1,IF(ISNUMBER(AL94),1,0),0)</f>
        <v/>
      </c>
      <c r="AZ94" s="7">
        <f>IF(Y94=1,IF(ISNUMBER(AN94),AN94,0),0)</f>
        <v/>
      </c>
      <c r="BA94" s="7">
        <f>IF(Y94=1,IF(ISNUMBER(AN94),1,0),0)</f>
        <v/>
      </c>
      <c r="BB94" s="7">
        <f>IF(Y94=1,IF(ISNUMBER(T94),T94,0),0)</f>
        <v/>
      </c>
      <c r="BC94" s="7">
        <f>IF(Y94=1,IF(ISNUMBER(T94),1,0),0)</f>
        <v/>
      </c>
      <c r="BD94" s="7">
        <f>IF(Y94=1,AQ94+ROW()/1E9,-1E9)</f>
        <v/>
      </c>
      <c r="BE94" s="7">
        <f>IF(Y94=1,AQ94+ROW()/1E9,1E9)</f>
        <v/>
      </c>
    </row>
    <row r="95">
      <c r="A95" s="16" t="n"/>
      <c r="B95" s="8">
        <f>IF($A95="","",BDP($A95,B$3))</f>
        <v/>
      </c>
      <c r="C95" s="8">
        <f>IF($A95="","",BDP($A95,C$3))</f>
        <v/>
      </c>
      <c r="D95" s="28">
        <f>IF($A95="","",BDP($A95,D$3))</f>
        <v/>
      </c>
      <c r="E95" s="29">
        <f>IF($A95="","",BDP($A95,E$3))</f>
        <v/>
      </c>
      <c r="F95" s="17">
        <f>IF($A95="","",BDP($A95,F$3))</f>
        <v/>
      </c>
      <c r="G95" s="8">
        <f>IF($A95="","",BDP($A95,G$3))</f>
        <v/>
      </c>
      <c r="H95" s="8">
        <f>IF($A95="","",BDP($A95,H$3))</f>
        <v/>
      </c>
      <c r="I95" s="8">
        <f>IF($A95="","",BDP($A95,I$3))</f>
        <v/>
      </c>
      <c r="J95" s="8">
        <f>IF($A95="","",BDP($A95,J$3))</f>
        <v/>
      </c>
      <c r="K95" s="8">
        <f>IF($A95="","",BDP($A95,K$3))</f>
        <v/>
      </c>
      <c r="L95" s="28">
        <f>IF($A95="","",BDP($A95,L$3))</f>
        <v/>
      </c>
      <c r="M95" s="28">
        <f>IF($A95="","",BDP($A95,M$3))</f>
        <v/>
      </c>
      <c r="N95" s="30">
        <f>IF($A95="","",BDP($A95,N$3))</f>
        <v/>
      </c>
      <c r="O95" s="31">
        <f>IF($A95="","",BDP($A95,O$3))</f>
        <v/>
      </c>
      <c r="P95" s="30">
        <f>IF($A95="","",BDH($A95,$N$3,'參數'!$B$5,'參數'!$B$5,"Days=A","Fill=P","Dates=H"))</f>
        <v/>
      </c>
      <c r="Q95" s="30">
        <f>IF($A95="","",BDH($A95,$N$3,'參數'!$B$6,'參數'!$B$6,"Days=A","Fill=P","Dates=H"))</f>
        <v/>
      </c>
      <c r="R95" s="30">
        <f>IF($A95="","",BDH($A95,$N$3,'參數'!$B$7,'參數'!$B$7,"Days=A","Fill=P","Dates=H"))</f>
        <v/>
      </c>
      <c r="S95" s="32">
        <f>IF($A95="","",IFERROR(INDEX('發行人'!$A$5:$A$44,MATCH(B95,'發行人'!$D$5:$D$44,0)),"未對應"))</f>
        <v/>
      </c>
      <c r="T95" s="24">
        <f>IF($A95="","",IFERROR(INDEX('發行人'!$G$5:$G$44,MATCH(B95,'發行人'!$D$5:$D$44,0))+0,""))</f>
        <v/>
      </c>
      <c r="U95" s="18">
        <f>IF(ISNUMBER(E95),YEARFRAC('參數'!$B$4,E95),"")</f>
        <v/>
      </c>
      <c r="V95" s="8">
        <f>IF(U95="","",IF(U95&lt;3,"1-3y",IF(U95&lt;5,"3-5y",IF(U95&lt;7,"5-7y",IF(U95&lt;10,"7-10y","10y+")))))</f>
        <v/>
      </c>
      <c r="W95" s="30">
        <f>IF($A95="","",IFERROR(INDEX('參數'!$B$24:$B$45,MATCH(G95,'參數'!$A$24:$A$45,0)),""))</f>
        <v/>
      </c>
      <c r="X95" s="8">
        <f>IF($A95="","",IFERROR(INDEX('參數'!$C$24:$C$45,MATCH(G95,'參數'!$A$24:$A$45,0)),""))</f>
        <v/>
      </c>
      <c r="Y95" s="30">
        <f>IF(AND(ISNUMBER(N95),ISNUMBER(O95),ISNUMBER(U95)),IF(AND(O95&gt;0,X95&lt;&gt;""),1,0),0)</f>
        <v/>
      </c>
      <c r="Z95" s="17">
        <f>IF(Y95=1,O95*N95,"")</f>
        <v/>
      </c>
      <c r="AA95" s="33">
        <f>IF(Y95=1,IF(ISNUMBER(Q95),N95-Q95,""),"")</f>
        <v/>
      </c>
      <c r="AB95" s="33">
        <f>IF(Y95=1,IF(AND(ISNUMBER(P95),ISNUMBER(R95)),R95*5/12-O95*(P95-R95),""),"")</f>
        <v/>
      </c>
      <c r="AC95" s="30">
        <f>IF(Y95=1,COUNTIFS($X$5:$X$404,X95,$V$5:$V$404,V95,$Y$5:$Y$404,1),"")</f>
        <v/>
      </c>
      <c r="AD95" s="30">
        <f>IF(Y95=1,IFERROR(IF(AC95&gt;='參數'!$B$9,INDEX('分群統計'!$G$13:$K$16,MATCH(X95,'分群統計'!$A$13:$A$16,0),MATCH(V95,'分群統計'!$G$12:$K$12,0)),INDEX('分群統計'!$I$5:$I$8,MATCH(X95,'分群統計'!$A$5:$A$8,0))),""),"")</f>
        <v/>
      </c>
      <c r="AE95" s="18">
        <f>IF(Y95=1,IFERROR(IF(AC95&gt;='參數'!$B$9,INDEX('分群統計'!$L$13:$P$16,MATCH(X95,'分群統計'!$A$13:$A$16,0),MATCH(V95,'分群統計'!$L$12:$P$12,0)),INDEX('分群統計'!$J$5:$J$8,MATCH(X95,'分群統計'!$A$5:$A$8,0))),""),"")</f>
        <v/>
      </c>
      <c r="AF95" s="31">
        <f>IF(ISNUMBER(AE95),IF(AE95&gt;0,MAX(-3,MIN(3,(N95-AD95)/AE95)),0),"")</f>
        <v/>
      </c>
      <c r="AG95" s="30">
        <f>IF(Y95=1,COUNTIFS($B$5:$B$404,B95,$Y$5:$Y$404,1),"")</f>
        <v/>
      </c>
      <c r="AH95" s="30">
        <f>IF(Y95=1,IFERROR(IF(ISNUMBER(INDEX('分群統計'!$G$20:$G$59,MATCH(B95,'分群統計'!$A$20:$A$59,0))),INDEX('分群統計'!$H$20:$H$59,MATCH(B95,'分群統計'!$A$20:$A$59,0))+INDEX('分群統計'!$G$20:$G$59,MATCH(B95,'分群統計'!$A$20:$A$59,0))*AU95,""),""),"")</f>
        <v/>
      </c>
      <c r="AI95" s="34">
        <f>IF(ISNUMBER(AH95),N95-AH95,"")</f>
        <v/>
      </c>
      <c r="AJ95" s="30">
        <f>IF(Y95=1,IFERROR(IF(ISNUMBER(INDEX('分群統計'!$G$5:$G$8,MATCH(X95,'分群統計'!$A$5:$A$8,0))),INDEX('分群統計'!$H$5:$H$8,MATCH(X95,'分群統計'!$A$5:$A$8,0))+INDEX('分群統計'!$G$5:$G$8,MATCH(X95,'分群統計'!$A$5:$A$8,0))*AU95,""),""),"")</f>
        <v/>
      </c>
      <c r="AK95" s="34">
        <f>IF(ISNUMBER(AJ95),N95-AJ95,"")</f>
        <v/>
      </c>
      <c r="AL95" s="21">
        <f>IF(ISNUMBER(AJ95),IF(AJ95&gt;0,AK95/AJ95,""),"")</f>
        <v/>
      </c>
      <c r="AM95" s="31">
        <f>IF(AY95&lt;&gt;1,"",IFERROR(IF(INDEX('分群統計'!$K$5:$K$8,MATCH(X95,'分群統計'!$A$5:$A$8,0))&lt;3,"",IF(INDEX('分群統計'!$M$5:$M$8,MATCH(X95,'分群統計'!$A$5:$A$8,0))&gt;0,MAX(-3,MIN(3,(AX95-INDEX('分群統計'!$L$5:$L$8,MATCH(X95,'分群統計'!$A$5:$A$8,0)))/INDEX('分群統計'!$M$5:$M$8,MATCH(X95,'分群統計'!$A$5:$A$8,0)))),0)),""))</f>
        <v/>
      </c>
      <c r="AN95" s="31">
        <f>IF(ISNUMBER(AB95),IF(Z95&gt;0,AB95/Z95*100,""),"")</f>
        <v/>
      </c>
      <c r="AO95" s="31">
        <f>IF(BA95&lt;&gt;1,"",IFERROR(IF(INDEX('分群統計'!$N$5:$N$8,MATCH(X95,'分群統計'!$A$5:$A$8,0))&lt;3,"",IF(INDEX('分群統計'!$P$5:$P$8,MATCH(X95,'分群統計'!$A$5:$A$8,0))&gt;0,MAX(-3,MIN(3,(AZ95-INDEX('分群統計'!$O$5:$O$8,MATCH(X95,'分群統計'!$A$5:$A$8,0)))/INDEX('分群統計'!$P$5:$P$8,MATCH(X95,'分群統計'!$A$5:$A$8,0)))),0)),""))</f>
        <v/>
      </c>
      <c r="AP95" s="31">
        <f>IF(BC95&lt;&gt;1,"",IFERROR(IF(INDEX('分群統計'!$Q$5:$Q$8,MATCH(X95,'分群統計'!$A$5:$A$8,0))&lt;3,"",IF(INDEX('分群統計'!$S$5:$S$8,MATCH(X95,'分群統計'!$A$5:$A$8,0))&gt;0,MAX(-3,MIN(3,(BB95-INDEX('分群統計'!$R$5:$R$8,MATCH(X95,'分群統計'!$A$5:$A$8,0)))/INDEX('分群統計'!$S$5:$S$8,MATCH(X95,'分群統計'!$A$5:$A$8,0)))),0)),""))</f>
        <v/>
      </c>
      <c r="AQ95" s="31">
        <f>IF(Y95=1,(IF(ISNUMBER(AF95),AF95,0)*'參數'!$B$13+IF(ISNUMBER(AM95),AM95,0)*'參數'!$B$14+IF(ISNUMBER(AO95),AO95,0)*'參數'!$B$15+IF(ISNUMBER(AP95),AP95,0)*'參數'!$B$16)/('參數'!$B$13+'參數'!$B$14+'參數'!$B$15+'參數'!$B$16),"")</f>
        <v/>
      </c>
      <c r="AR95" s="35">
        <f>IF(Y95=1,(SUMPRODUCT(($X$5:$X$404=X95)*($Y$5:$Y$404=1)*($BD$5:$BD$404&gt;BD95))+1)/COUNTIFS($X$5:$X$404,X95,$Y$5:$Y$404,1),"")</f>
        <v/>
      </c>
      <c r="AS95" s="8">
        <f>IF(ISNUMBER(AR95),IF(AR95&lt;='參數'!$B$18,"加碼候選",IF(AR95&gt;'參數'!$B$19,"減碼候選","")),"")</f>
        <v/>
      </c>
      <c r="AT95" s="7">
        <f>IF(Y95=1,N95,0)</f>
        <v/>
      </c>
      <c r="AU95" s="7">
        <f>IF(Y95=1,LN(O95),0)</f>
        <v/>
      </c>
      <c r="AV95" s="36">
        <f>IF(Y95=1,IF(ISNUMBER(F95),F95,0),0)</f>
        <v/>
      </c>
      <c r="AW95" s="7">
        <f>IF(Y95=1,Z95,0)</f>
        <v/>
      </c>
      <c r="AX95" s="7">
        <f>IF(Y95=1,IF(ISNUMBER(AL95),AL95,0),0)</f>
        <v/>
      </c>
      <c r="AY95" s="7">
        <f>IF(Y95=1,IF(ISNUMBER(AL95),1,0),0)</f>
        <v/>
      </c>
      <c r="AZ95" s="7">
        <f>IF(Y95=1,IF(ISNUMBER(AN95),AN95,0),0)</f>
        <v/>
      </c>
      <c r="BA95" s="7">
        <f>IF(Y95=1,IF(ISNUMBER(AN95),1,0),0)</f>
        <v/>
      </c>
      <c r="BB95" s="7">
        <f>IF(Y95=1,IF(ISNUMBER(T95),T95,0),0)</f>
        <v/>
      </c>
      <c r="BC95" s="7">
        <f>IF(Y95=1,IF(ISNUMBER(T95),1,0),0)</f>
        <v/>
      </c>
      <c r="BD95" s="7">
        <f>IF(Y95=1,AQ95+ROW()/1E9,-1E9)</f>
        <v/>
      </c>
      <c r="BE95" s="7">
        <f>IF(Y95=1,AQ95+ROW()/1E9,1E9)</f>
        <v/>
      </c>
    </row>
    <row r="96">
      <c r="A96" s="16" t="n"/>
      <c r="B96" s="8">
        <f>IF($A96="","",BDP($A96,B$3))</f>
        <v/>
      </c>
      <c r="C96" s="8">
        <f>IF($A96="","",BDP($A96,C$3))</f>
        <v/>
      </c>
      <c r="D96" s="28">
        <f>IF($A96="","",BDP($A96,D$3))</f>
        <v/>
      </c>
      <c r="E96" s="29">
        <f>IF($A96="","",BDP($A96,E$3))</f>
        <v/>
      </c>
      <c r="F96" s="17">
        <f>IF($A96="","",BDP($A96,F$3))</f>
        <v/>
      </c>
      <c r="G96" s="8">
        <f>IF($A96="","",BDP($A96,G$3))</f>
        <v/>
      </c>
      <c r="H96" s="8">
        <f>IF($A96="","",BDP($A96,H$3))</f>
        <v/>
      </c>
      <c r="I96" s="8">
        <f>IF($A96="","",BDP($A96,I$3))</f>
        <v/>
      </c>
      <c r="J96" s="8">
        <f>IF($A96="","",BDP($A96,J$3))</f>
        <v/>
      </c>
      <c r="K96" s="8">
        <f>IF($A96="","",BDP($A96,K$3))</f>
        <v/>
      </c>
      <c r="L96" s="28">
        <f>IF($A96="","",BDP($A96,L$3))</f>
        <v/>
      </c>
      <c r="M96" s="28">
        <f>IF($A96="","",BDP($A96,M$3))</f>
        <v/>
      </c>
      <c r="N96" s="30">
        <f>IF($A96="","",BDP($A96,N$3))</f>
        <v/>
      </c>
      <c r="O96" s="31">
        <f>IF($A96="","",BDP($A96,O$3))</f>
        <v/>
      </c>
      <c r="P96" s="30">
        <f>IF($A96="","",BDH($A96,$N$3,'參數'!$B$5,'參數'!$B$5,"Days=A","Fill=P","Dates=H"))</f>
        <v/>
      </c>
      <c r="Q96" s="30">
        <f>IF($A96="","",BDH($A96,$N$3,'參數'!$B$6,'參數'!$B$6,"Days=A","Fill=P","Dates=H"))</f>
        <v/>
      </c>
      <c r="R96" s="30">
        <f>IF($A96="","",BDH($A96,$N$3,'參數'!$B$7,'參數'!$B$7,"Days=A","Fill=P","Dates=H"))</f>
        <v/>
      </c>
      <c r="S96" s="32">
        <f>IF($A96="","",IFERROR(INDEX('發行人'!$A$5:$A$44,MATCH(B96,'發行人'!$D$5:$D$44,0)),"未對應"))</f>
        <v/>
      </c>
      <c r="T96" s="24">
        <f>IF($A96="","",IFERROR(INDEX('發行人'!$G$5:$G$44,MATCH(B96,'發行人'!$D$5:$D$44,0))+0,""))</f>
        <v/>
      </c>
      <c r="U96" s="18">
        <f>IF(ISNUMBER(E96),YEARFRAC('參數'!$B$4,E96),"")</f>
        <v/>
      </c>
      <c r="V96" s="8">
        <f>IF(U96="","",IF(U96&lt;3,"1-3y",IF(U96&lt;5,"3-5y",IF(U96&lt;7,"5-7y",IF(U96&lt;10,"7-10y","10y+")))))</f>
        <v/>
      </c>
      <c r="W96" s="30">
        <f>IF($A96="","",IFERROR(INDEX('參數'!$B$24:$B$45,MATCH(G96,'參數'!$A$24:$A$45,0)),""))</f>
        <v/>
      </c>
      <c r="X96" s="8">
        <f>IF($A96="","",IFERROR(INDEX('參數'!$C$24:$C$45,MATCH(G96,'參數'!$A$24:$A$45,0)),""))</f>
        <v/>
      </c>
      <c r="Y96" s="30">
        <f>IF(AND(ISNUMBER(N96),ISNUMBER(O96),ISNUMBER(U96)),IF(AND(O96&gt;0,X96&lt;&gt;""),1,0),0)</f>
        <v/>
      </c>
      <c r="Z96" s="17">
        <f>IF(Y96=1,O96*N96,"")</f>
        <v/>
      </c>
      <c r="AA96" s="33">
        <f>IF(Y96=1,IF(ISNUMBER(Q96),N96-Q96,""),"")</f>
        <v/>
      </c>
      <c r="AB96" s="33">
        <f>IF(Y96=1,IF(AND(ISNUMBER(P96),ISNUMBER(R96)),R96*5/12-O96*(P96-R96),""),"")</f>
        <v/>
      </c>
      <c r="AC96" s="30">
        <f>IF(Y96=1,COUNTIFS($X$5:$X$404,X96,$V$5:$V$404,V96,$Y$5:$Y$404,1),"")</f>
        <v/>
      </c>
      <c r="AD96" s="30">
        <f>IF(Y96=1,IFERROR(IF(AC96&gt;='參數'!$B$9,INDEX('分群統計'!$G$13:$K$16,MATCH(X96,'分群統計'!$A$13:$A$16,0),MATCH(V96,'分群統計'!$G$12:$K$12,0)),INDEX('分群統計'!$I$5:$I$8,MATCH(X96,'分群統計'!$A$5:$A$8,0))),""),"")</f>
        <v/>
      </c>
      <c r="AE96" s="18">
        <f>IF(Y96=1,IFERROR(IF(AC96&gt;='參數'!$B$9,INDEX('分群統計'!$L$13:$P$16,MATCH(X96,'分群統計'!$A$13:$A$16,0),MATCH(V96,'分群統計'!$L$12:$P$12,0)),INDEX('分群統計'!$J$5:$J$8,MATCH(X96,'分群統計'!$A$5:$A$8,0))),""),"")</f>
        <v/>
      </c>
      <c r="AF96" s="31">
        <f>IF(ISNUMBER(AE96),IF(AE96&gt;0,MAX(-3,MIN(3,(N96-AD96)/AE96)),0),"")</f>
        <v/>
      </c>
      <c r="AG96" s="30">
        <f>IF(Y96=1,COUNTIFS($B$5:$B$404,B96,$Y$5:$Y$404,1),"")</f>
        <v/>
      </c>
      <c r="AH96" s="30">
        <f>IF(Y96=1,IFERROR(IF(ISNUMBER(INDEX('分群統計'!$G$20:$G$59,MATCH(B96,'分群統計'!$A$20:$A$59,0))),INDEX('分群統計'!$H$20:$H$59,MATCH(B96,'分群統計'!$A$20:$A$59,0))+INDEX('分群統計'!$G$20:$G$59,MATCH(B96,'分群統計'!$A$20:$A$59,0))*AU96,""),""),"")</f>
        <v/>
      </c>
      <c r="AI96" s="34">
        <f>IF(ISNUMBER(AH96),N96-AH96,"")</f>
        <v/>
      </c>
      <c r="AJ96" s="30">
        <f>IF(Y96=1,IFERROR(IF(ISNUMBER(INDEX('分群統計'!$G$5:$G$8,MATCH(X96,'分群統計'!$A$5:$A$8,0))),INDEX('分群統計'!$H$5:$H$8,MATCH(X96,'分群統計'!$A$5:$A$8,0))+INDEX('分群統計'!$G$5:$G$8,MATCH(X96,'分群統計'!$A$5:$A$8,0))*AU96,""),""),"")</f>
        <v/>
      </c>
      <c r="AK96" s="34">
        <f>IF(ISNUMBER(AJ96),N96-AJ96,"")</f>
        <v/>
      </c>
      <c r="AL96" s="21">
        <f>IF(ISNUMBER(AJ96),IF(AJ96&gt;0,AK96/AJ96,""),"")</f>
        <v/>
      </c>
      <c r="AM96" s="31">
        <f>IF(AY96&lt;&gt;1,"",IFERROR(IF(INDEX('分群統計'!$K$5:$K$8,MATCH(X96,'分群統計'!$A$5:$A$8,0))&lt;3,"",IF(INDEX('分群統計'!$M$5:$M$8,MATCH(X96,'分群統計'!$A$5:$A$8,0))&gt;0,MAX(-3,MIN(3,(AX96-INDEX('分群統計'!$L$5:$L$8,MATCH(X96,'分群統計'!$A$5:$A$8,0)))/INDEX('分群統計'!$M$5:$M$8,MATCH(X96,'分群統計'!$A$5:$A$8,0)))),0)),""))</f>
        <v/>
      </c>
      <c r="AN96" s="31">
        <f>IF(ISNUMBER(AB96),IF(Z96&gt;0,AB96/Z96*100,""),"")</f>
        <v/>
      </c>
      <c r="AO96" s="31">
        <f>IF(BA96&lt;&gt;1,"",IFERROR(IF(INDEX('分群統計'!$N$5:$N$8,MATCH(X96,'分群統計'!$A$5:$A$8,0))&lt;3,"",IF(INDEX('分群統計'!$P$5:$P$8,MATCH(X96,'分群統計'!$A$5:$A$8,0))&gt;0,MAX(-3,MIN(3,(AZ96-INDEX('分群統計'!$O$5:$O$8,MATCH(X96,'分群統計'!$A$5:$A$8,0)))/INDEX('分群統計'!$P$5:$P$8,MATCH(X96,'分群統計'!$A$5:$A$8,0)))),0)),""))</f>
        <v/>
      </c>
      <c r="AP96" s="31">
        <f>IF(BC96&lt;&gt;1,"",IFERROR(IF(INDEX('分群統計'!$Q$5:$Q$8,MATCH(X96,'分群統計'!$A$5:$A$8,0))&lt;3,"",IF(INDEX('分群統計'!$S$5:$S$8,MATCH(X96,'分群統計'!$A$5:$A$8,0))&gt;0,MAX(-3,MIN(3,(BB96-INDEX('分群統計'!$R$5:$R$8,MATCH(X96,'分群統計'!$A$5:$A$8,0)))/INDEX('分群統計'!$S$5:$S$8,MATCH(X96,'分群統計'!$A$5:$A$8,0)))),0)),""))</f>
        <v/>
      </c>
      <c r="AQ96" s="31">
        <f>IF(Y96=1,(IF(ISNUMBER(AF96),AF96,0)*'參數'!$B$13+IF(ISNUMBER(AM96),AM96,0)*'參數'!$B$14+IF(ISNUMBER(AO96),AO96,0)*'參數'!$B$15+IF(ISNUMBER(AP96),AP96,0)*'參數'!$B$16)/('參數'!$B$13+'參數'!$B$14+'參數'!$B$15+'參數'!$B$16),"")</f>
        <v/>
      </c>
      <c r="AR96" s="35">
        <f>IF(Y96=1,(SUMPRODUCT(($X$5:$X$404=X96)*($Y$5:$Y$404=1)*($BD$5:$BD$404&gt;BD96))+1)/COUNTIFS($X$5:$X$404,X96,$Y$5:$Y$404,1),"")</f>
        <v/>
      </c>
      <c r="AS96" s="8">
        <f>IF(ISNUMBER(AR96),IF(AR96&lt;='參數'!$B$18,"加碼候選",IF(AR96&gt;'參數'!$B$19,"減碼候選","")),"")</f>
        <v/>
      </c>
      <c r="AT96" s="7">
        <f>IF(Y96=1,N96,0)</f>
        <v/>
      </c>
      <c r="AU96" s="7">
        <f>IF(Y96=1,LN(O96),0)</f>
        <v/>
      </c>
      <c r="AV96" s="36">
        <f>IF(Y96=1,IF(ISNUMBER(F96),F96,0),0)</f>
        <v/>
      </c>
      <c r="AW96" s="7">
        <f>IF(Y96=1,Z96,0)</f>
        <v/>
      </c>
      <c r="AX96" s="7">
        <f>IF(Y96=1,IF(ISNUMBER(AL96),AL96,0),0)</f>
        <v/>
      </c>
      <c r="AY96" s="7">
        <f>IF(Y96=1,IF(ISNUMBER(AL96),1,0),0)</f>
        <v/>
      </c>
      <c r="AZ96" s="7">
        <f>IF(Y96=1,IF(ISNUMBER(AN96),AN96,0),0)</f>
        <v/>
      </c>
      <c r="BA96" s="7">
        <f>IF(Y96=1,IF(ISNUMBER(AN96),1,0),0)</f>
        <v/>
      </c>
      <c r="BB96" s="7">
        <f>IF(Y96=1,IF(ISNUMBER(T96),T96,0),0)</f>
        <v/>
      </c>
      <c r="BC96" s="7">
        <f>IF(Y96=1,IF(ISNUMBER(T96),1,0),0)</f>
        <v/>
      </c>
      <c r="BD96" s="7">
        <f>IF(Y96=1,AQ96+ROW()/1E9,-1E9)</f>
        <v/>
      </c>
      <c r="BE96" s="7">
        <f>IF(Y96=1,AQ96+ROW()/1E9,1E9)</f>
        <v/>
      </c>
    </row>
    <row r="97">
      <c r="A97" s="16" t="n"/>
      <c r="B97" s="8">
        <f>IF($A97="","",BDP($A97,B$3))</f>
        <v/>
      </c>
      <c r="C97" s="8">
        <f>IF($A97="","",BDP($A97,C$3))</f>
        <v/>
      </c>
      <c r="D97" s="28">
        <f>IF($A97="","",BDP($A97,D$3))</f>
        <v/>
      </c>
      <c r="E97" s="29">
        <f>IF($A97="","",BDP($A97,E$3))</f>
        <v/>
      </c>
      <c r="F97" s="17">
        <f>IF($A97="","",BDP($A97,F$3))</f>
        <v/>
      </c>
      <c r="G97" s="8">
        <f>IF($A97="","",BDP($A97,G$3))</f>
        <v/>
      </c>
      <c r="H97" s="8">
        <f>IF($A97="","",BDP($A97,H$3))</f>
        <v/>
      </c>
      <c r="I97" s="8">
        <f>IF($A97="","",BDP($A97,I$3))</f>
        <v/>
      </c>
      <c r="J97" s="8">
        <f>IF($A97="","",BDP($A97,J$3))</f>
        <v/>
      </c>
      <c r="K97" s="8">
        <f>IF($A97="","",BDP($A97,K$3))</f>
        <v/>
      </c>
      <c r="L97" s="28">
        <f>IF($A97="","",BDP($A97,L$3))</f>
        <v/>
      </c>
      <c r="M97" s="28">
        <f>IF($A97="","",BDP($A97,M$3))</f>
        <v/>
      </c>
      <c r="N97" s="30">
        <f>IF($A97="","",BDP($A97,N$3))</f>
        <v/>
      </c>
      <c r="O97" s="31">
        <f>IF($A97="","",BDP($A97,O$3))</f>
        <v/>
      </c>
      <c r="P97" s="30">
        <f>IF($A97="","",BDH($A97,$N$3,'參數'!$B$5,'參數'!$B$5,"Days=A","Fill=P","Dates=H"))</f>
        <v/>
      </c>
      <c r="Q97" s="30">
        <f>IF($A97="","",BDH($A97,$N$3,'參數'!$B$6,'參數'!$B$6,"Days=A","Fill=P","Dates=H"))</f>
        <v/>
      </c>
      <c r="R97" s="30">
        <f>IF($A97="","",BDH($A97,$N$3,'參數'!$B$7,'參數'!$B$7,"Days=A","Fill=P","Dates=H"))</f>
        <v/>
      </c>
      <c r="S97" s="32">
        <f>IF($A97="","",IFERROR(INDEX('發行人'!$A$5:$A$44,MATCH(B97,'發行人'!$D$5:$D$44,0)),"未對應"))</f>
        <v/>
      </c>
      <c r="T97" s="24">
        <f>IF($A97="","",IFERROR(INDEX('發行人'!$G$5:$G$44,MATCH(B97,'發行人'!$D$5:$D$44,0))+0,""))</f>
        <v/>
      </c>
      <c r="U97" s="18">
        <f>IF(ISNUMBER(E97),YEARFRAC('參數'!$B$4,E97),"")</f>
        <v/>
      </c>
      <c r="V97" s="8">
        <f>IF(U97="","",IF(U97&lt;3,"1-3y",IF(U97&lt;5,"3-5y",IF(U97&lt;7,"5-7y",IF(U97&lt;10,"7-10y","10y+")))))</f>
        <v/>
      </c>
      <c r="W97" s="30">
        <f>IF($A97="","",IFERROR(INDEX('參數'!$B$24:$B$45,MATCH(G97,'參數'!$A$24:$A$45,0)),""))</f>
        <v/>
      </c>
      <c r="X97" s="8">
        <f>IF($A97="","",IFERROR(INDEX('參數'!$C$24:$C$45,MATCH(G97,'參數'!$A$24:$A$45,0)),""))</f>
        <v/>
      </c>
      <c r="Y97" s="30">
        <f>IF(AND(ISNUMBER(N97),ISNUMBER(O97),ISNUMBER(U97)),IF(AND(O97&gt;0,X97&lt;&gt;""),1,0),0)</f>
        <v/>
      </c>
      <c r="Z97" s="17">
        <f>IF(Y97=1,O97*N97,"")</f>
        <v/>
      </c>
      <c r="AA97" s="33">
        <f>IF(Y97=1,IF(ISNUMBER(Q97),N97-Q97,""),"")</f>
        <v/>
      </c>
      <c r="AB97" s="33">
        <f>IF(Y97=1,IF(AND(ISNUMBER(P97),ISNUMBER(R97)),R97*5/12-O97*(P97-R97),""),"")</f>
        <v/>
      </c>
      <c r="AC97" s="30">
        <f>IF(Y97=1,COUNTIFS($X$5:$X$404,X97,$V$5:$V$404,V97,$Y$5:$Y$404,1),"")</f>
        <v/>
      </c>
      <c r="AD97" s="30">
        <f>IF(Y97=1,IFERROR(IF(AC97&gt;='參數'!$B$9,INDEX('分群統計'!$G$13:$K$16,MATCH(X97,'分群統計'!$A$13:$A$16,0),MATCH(V97,'分群統計'!$G$12:$K$12,0)),INDEX('分群統計'!$I$5:$I$8,MATCH(X97,'分群統計'!$A$5:$A$8,0))),""),"")</f>
        <v/>
      </c>
      <c r="AE97" s="18">
        <f>IF(Y97=1,IFERROR(IF(AC97&gt;='參數'!$B$9,INDEX('分群統計'!$L$13:$P$16,MATCH(X97,'分群統計'!$A$13:$A$16,0),MATCH(V97,'分群統計'!$L$12:$P$12,0)),INDEX('分群統計'!$J$5:$J$8,MATCH(X97,'分群統計'!$A$5:$A$8,0))),""),"")</f>
        <v/>
      </c>
      <c r="AF97" s="31">
        <f>IF(ISNUMBER(AE97),IF(AE97&gt;0,MAX(-3,MIN(3,(N97-AD97)/AE97)),0),"")</f>
        <v/>
      </c>
      <c r="AG97" s="30">
        <f>IF(Y97=1,COUNTIFS($B$5:$B$404,B97,$Y$5:$Y$404,1),"")</f>
        <v/>
      </c>
      <c r="AH97" s="30">
        <f>IF(Y97=1,IFERROR(IF(ISNUMBER(INDEX('分群統計'!$G$20:$G$59,MATCH(B97,'分群統計'!$A$20:$A$59,0))),INDEX('分群統計'!$H$20:$H$59,MATCH(B97,'分群統計'!$A$20:$A$59,0))+INDEX('分群統計'!$G$20:$G$59,MATCH(B97,'分群統計'!$A$20:$A$59,0))*AU97,""),""),"")</f>
        <v/>
      </c>
      <c r="AI97" s="34">
        <f>IF(ISNUMBER(AH97),N97-AH97,"")</f>
        <v/>
      </c>
      <c r="AJ97" s="30">
        <f>IF(Y97=1,IFERROR(IF(ISNUMBER(INDEX('分群統計'!$G$5:$G$8,MATCH(X97,'分群統計'!$A$5:$A$8,0))),INDEX('分群統計'!$H$5:$H$8,MATCH(X97,'分群統計'!$A$5:$A$8,0))+INDEX('分群統計'!$G$5:$G$8,MATCH(X97,'分群統計'!$A$5:$A$8,0))*AU97,""),""),"")</f>
        <v/>
      </c>
      <c r="AK97" s="34">
        <f>IF(ISNUMBER(AJ97),N97-AJ97,"")</f>
        <v/>
      </c>
      <c r="AL97" s="21">
        <f>IF(ISNUMBER(AJ97),IF(AJ97&gt;0,AK97/AJ97,""),"")</f>
        <v/>
      </c>
      <c r="AM97" s="31">
        <f>IF(AY97&lt;&gt;1,"",IFERROR(IF(INDEX('分群統計'!$K$5:$K$8,MATCH(X97,'分群統計'!$A$5:$A$8,0))&lt;3,"",IF(INDEX('分群統計'!$M$5:$M$8,MATCH(X97,'分群統計'!$A$5:$A$8,0))&gt;0,MAX(-3,MIN(3,(AX97-INDEX('分群統計'!$L$5:$L$8,MATCH(X97,'分群統計'!$A$5:$A$8,0)))/INDEX('分群統計'!$M$5:$M$8,MATCH(X97,'分群統計'!$A$5:$A$8,0)))),0)),""))</f>
        <v/>
      </c>
      <c r="AN97" s="31">
        <f>IF(ISNUMBER(AB97),IF(Z97&gt;0,AB97/Z97*100,""),"")</f>
        <v/>
      </c>
      <c r="AO97" s="31">
        <f>IF(BA97&lt;&gt;1,"",IFERROR(IF(INDEX('分群統計'!$N$5:$N$8,MATCH(X97,'分群統計'!$A$5:$A$8,0))&lt;3,"",IF(INDEX('分群統計'!$P$5:$P$8,MATCH(X97,'分群統計'!$A$5:$A$8,0))&gt;0,MAX(-3,MIN(3,(AZ97-INDEX('分群統計'!$O$5:$O$8,MATCH(X97,'分群統計'!$A$5:$A$8,0)))/INDEX('分群統計'!$P$5:$P$8,MATCH(X97,'分群統計'!$A$5:$A$8,0)))),0)),""))</f>
        <v/>
      </c>
      <c r="AP97" s="31">
        <f>IF(BC97&lt;&gt;1,"",IFERROR(IF(INDEX('分群統計'!$Q$5:$Q$8,MATCH(X97,'分群統計'!$A$5:$A$8,0))&lt;3,"",IF(INDEX('分群統計'!$S$5:$S$8,MATCH(X97,'分群統計'!$A$5:$A$8,0))&gt;0,MAX(-3,MIN(3,(BB97-INDEX('分群統計'!$R$5:$R$8,MATCH(X97,'分群統計'!$A$5:$A$8,0)))/INDEX('分群統計'!$S$5:$S$8,MATCH(X97,'分群統計'!$A$5:$A$8,0)))),0)),""))</f>
        <v/>
      </c>
      <c r="AQ97" s="31">
        <f>IF(Y97=1,(IF(ISNUMBER(AF97),AF97,0)*'參數'!$B$13+IF(ISNUMBER(AM97),AM97,0)*'參數'!$B$14+IF(ISNUMBER(AO97),AO97,0)*'參數'!$B$15+IF(ISNUMBER(AP97),AP97,0)*'參數'!$B$16)/('參數'!$B$13+'參數'!$B$14+'參數'!$B$15+'參數'!$B$16),"")</f>
        <v/>
      </c>
      <c r="AR97" s="35">
        <f>IF(Y97=1,(SUMPRODUCT(($X$5:$X$404=X97)*($Y$5:$Y$404=1)*($BD$5:$BD$404&gt;BD97))+1)/COUNTIFS($X$5:$X$404,X97,$Y$5:$Y$404,1),"")</f>
        <v/>
      </c>
      <c r="AS97" s="8">
        <f>IF(ISNUMBER(AR97),IF(AR97&lt;='參數'!$B$18,"加碼候選",IF(AR97&gt;'參數'!$B$19,"減碼候選","")),"")</f>
        <v/>
      </c>
      <c r="AT97" s="7">
        <f>IF(Y97=1,N97,0)</f>
        <v/>
      </c>
      <c r="AU97" s="7">
        <f>IF(Y97=1,LN(O97),0)</f>
        <v/>
      </c>
      <c r="AV97" s="36">
        <f>IF(Y97=1,IF(ISNUMBER(F97),F97,0),0)</f>
        <v/>
      </c>
      <c r="AW97" s="7">
        <f>IF(Y97=1,Z97,0)</f>
        <v/>
      </c>
      <c r="AX97" s="7">
        <f>IF(Y97=1,IF(ISNUMBER(AL97),AL97,0),0)</f>
        <v/>
      </c>
      <c r="AY97" s="7">
        <f>IF(Y97=1,IF(ISNUMBER(AL97),1,0),0)</f>
        <v/>
      </c>
      <c r="AZ97" s="7">
        <f>IF(Y97=1,IF(ISNUMBER(AN97),AN97,0),0)</f>
        <v/>
      </c>
      <c r="BA97" s="7">
        <f>IF(Y97=1,IF(ISNUMBER(AN97),1,0),0)</f>
        <v/>
      </c>
      <c r="BB97" s="7">
        <f>IF(Y97=1,IF(ISNUMBER(T97),T97,0),0)</f>
        <v/>
      </c>
      <c r="BC97" s="7">
        <f>IF(Y97=1,IF(ISNUMBER(T97),1,0),0)</f>
        <v/>
      </c>
      <c r="BD97" s="7">
        <f>IF(Y97=1,AQ97+ROW()/1E9,-1E9)</f>
        <v/>
      </c>
      <c r="BE97" s="7">
        <f>IF(Y97=1,AQ97+ROW()/1E9,1E9)</f>
        <v/>
      </c>
    </row>
    <row r="98">
      <c r="A98" s="16" t="n"/>
      <c r="B98" s="8">
        <f>IF($A98="","",BDP($A98,B$3))</f>
        <v/>
      </c>
      <c r="C98" s="8">
        <f>IF($A98="","",BDP($A98,C$3))</f>
        <v/>
      </c>
      <c r="D98" s="28">
        <f>IF($A98="","",BDP($A98,D$3))</f>
        <v/>
      </c>
      <c r="E98" s="29">
        <f>IF($A98="","",BDP($A98,E$3))</f>
        <v/>
      </c>
      <c r="F98" s="17">
        <f>IF($A98="","",BDP($A98,F$3))</f>
        <v/>
      </c>
      <c r="G98" s="8">
        <f>IF($A98="","",BDP($A98,G$3))</f>
        <v/>
      </c>
      <c r="H98" s="8">
        <f>IF($A98="","",BDP($A98,H$3))</f>
        <v/>
      </c>
      <c r="I98" s="8">
        <f>IF($A98="","",BDP($A98,I$3))</f>
        <v/>
      </c>
      <c r="J98" s="8">
        <f>IF($A98="","",BDP($A98,J$3))</f>
        <v/>
      </c>
      <c r="K98" s="8">
        <f>IF($A98="","",BDP($A98,K$3))</f>
        <v/>
      </c>
      <c r="L98" s="28">
        <f>IF($A98="","",BDP($A98,L$3))</f>
        <v/>
      </c>
      <c r="M98" s="28">
        <f>IF($A98="","",BDP($A98,M$3))</f>
        <v/>
      </c>
      <c r="N98" s="30">
        <f>IF($A98="","",BDP($A98,N$3))</f>
        <v/>
      </c>
      <c r="O98" s="31">
        <f>IF($A98="","",BDP($A98,O$3))</f>
        <v/>
      </c>
      <c r="P98" s="30">
        <f>IF($A98="","",BDH($A98,$N$3,'參數'!$B$5,'參數'!$B$5,"Days=A","Fill=P","Dates=H"))</f>
        <v/>
      </c>
      <c r="Q98" s="30">
        <f>IF($A98="","",BDH($A98,$N$3,'參數'!$B$6,'參數'!$B$6,"Days=A","Fill=P","Dates=H"))</f>
        <v/>
      </c>
      <c r="R98" s="30">
        <f>IF($A98="","",BDH($A98,$N$3,'參數'!$B$7,'參數'!$B$7,"Days=A","Fill=P","Dates=H"))</f>
        <v/>
      </c>
      <c r="S98" s="32">
        <f>IF($A98="","",IFERROR(INDEX('發行人'!$A$5:$A$44,MATCH(B98,'發行人'!$D$5:$D$44,0)),"未對應"))</f>
        <v/>
      </c>
      <c r="T98" s="24">
        <f>IF($A98="","",IFERROR(INDEX('發行人'!$G$5:$G$44,MATCH(B98,'發行人'!$D$5:$D$44,0))+0,""))</f>
        <v/>
      </c>
      <c r="U98" s="18">
        <f>IF(ISNUMBER(E98),YEARFRAC('參數'!$B$4,E98),"")</f>
        <v/>
      </c>
      <c r="V98" s="8">
        <f>IF(U98="","",IF(U98&lt;3,"1-3y",IF(U98&lt;5,"3-5y",IF(U98&lt;7,"5-7y",IF(U98&lt;10,"7-10y","10y+")))))</f>
        <v/>
      </c>
      <c r="W98" s="30">
        <f>IF($A98="","",IFERROR(INDEX('參數'!$B$24:$B$45,MATCH(G98,'參數'!$A$24:$A$45,0)),""))</f>
        <v/>
      </c>
      <c r="X98" s="8">
        <f>IF($A98="","",IFERROR(INDEX('參數'!$C$24:$C$45,MATCH(G98,'參數'!$A$24:$A$45,0)),""))</f>
        <v/>
      </c>
      <c r="Y98" s="30">
        <f>IF(AND(ISNUMBER(N98),ISNUMBER(O98),ISNUMBER(U98)),IF(AND(O98&gt;0,X98&lt;&gt;""),1,0),0)</f>
        <v/>
      </c>
      <c r="Z98" s="17">
        <f>IF(Y98=1,O98*N98,"")</f>
        <v/>
      </c>
      <c r="AA98" s="33">
        <f>IF(Y98=1,IF(ISNUMBER(Q98),N98-Q98,""),"")</f>
        <v/>
      </c>
      <c r="AB98" s="33">
        <f>IF(Y98=1,IF(AND(ISNUMBER(P98),ISNUMBER(R98)),R98*5/12-O98*(P98-R98),""),"")</f>
        <v/>
      </c>
      <c r="AC98" s="30">
        <f>IF(Y98=1,COUNTIFS($X$5:$X$404,X98,$V$5:$V$404,V98,$Y$5:$Y$404,1),"")</f>
        <v/>
      </c>
      <c r="AD98" s="30">
        <f>IF(Y98=1,IFERROR(IF(AC98&gt;='參數'!$B$9,INDEX('分群統計'!$G$13:$K$16,MATCH(X98,'分群統計'!$A$13:$A$16,0),MATCH(V98,'分群統計'!$G$12:$K$12,0)),INDEX('分群統計'!$I$5:$I$8,MATCH(X98,'分群統計'!$A$5:$A$8,0))),""),"")</f>
        <v/>
      </c>
      <c r="AE98" s="18">
        <f>IF(Y98=1,IFERROR(IF(AC98&gt;='參數'!$B$9,INDEX('分群統計'!$L$13:$P$16,MATCH(X98,'分群統計'!$A$13:$A$16,0),MATCH(V98,'分群統計'!$L$12:$P$12,0)),INDEX('分群統計'!$J$5:$J$8,MATCH(X98,'分群統計'!$A$5:$A$8,0))),""),"")</f>
        <v/>
      </c>
      <c r="AF98" s="31">
        <f>IF(ISNUMBER(AE98),IF(AE98&gt;0,MAX(-3,MIN(3,(N98-AD98)/AE98)),0),"")</f>
        <v/>
      </c>
      <c r="AG98" s="30">
        <f>IF(Y98=1,COUNTIFS($B$5:$B$404,B98,$Y$5:$Y$404,1),"")</f>
        <v/>
      </c>
      <c r="AH98" s="30">
        <f>IF(Y98=1,IFERROR(IF(ISNUMBER(INDEX('分群統計'!$G$20:$G$59,MATCH(B98,'分群統計'!$A$20:$A$59,0))),INDEX('分群統計'!$H$20:$H$59,MATCH(B98,'分群統計'!$A$20:$A$59,0))+INDEX('分群統計'!$G$20:$G$59,MATCH(B98,'分群統計'!$A$20:$A$59,0))*AU98,""),""),"")</f>
        <v/>
      </c>
      <c r="AI98" s="34">
        <f>IF(ISNUMBER(AH98),N98-AH98,"")</f>
        <v/>
      </c>
      <c r="AJ98" s="30">
        <f>IF(Y98=1,IFERROR(IF(ISNUMBER(INDEX('分群統計'!$G$5:$G$8,MATCH(X98,'分群統計'!$A$5:$A$8,0))),INDEX('分群統計'!$H$5:$H$8,MATCH(X98,'分群統計'!$A$5:$A$8,0))+INDEX('分群統計'!$G$5:$G$8,MATCH(X98,'分群統計'!$A$5:$A$8,0))*AU98,""),""),"")</f>
        <v/>
      </c>
      <c r="AK98" s="34">
        <f>IF(ISNUMBER(AJ98),N98-AJ98,"")</f>
        <v/>
      </c>
      <c r="AL98" s="21">
        <f>IF(ISNUMBER(AJ98),IF(AJ98&gt;0,AK98/AJ98,""),"")</f>
        <v/>
      </c>
      <c r="AM98" s="31">
        <f>IF(AY98&lt;&gt;1,"",IFERROR(IF(INDEX('分群統計'!$K$5:$K$8,MATCH(X98,'分群統計'!$A$5:$A$8,0))&lt;3,"",IF(INDEX('分群統計'!$M$5:$M$8,MATCH(X98,'分群統計'!$A$5:$A$8,0))&gt;0,MAX(-3,MIN(3,(AX98-INDEX('分群統計'!$L$5:$L$8,MATCH(X98,'分群統計'!$A$5:$A$8,0)))/INDEX('分群統計'!$M$5:$M$8,MATCH(X98,'分群統計'!$A$5:$A$8,0)))),0)),""))</f>
        <v/>
      </c>
      <c r="AN98" s="31">
        <f>IF(ISNUMBER(AB98),IF(Z98&gt;0,AB98/Z98*100,""),"")</f>
        <v/>
      </c>
      <c r="AO98" s="31">
        <f>IF(BA98&lt;&gt;1,"",IFERROR(IF(INDEX('分群統計'!$N$5:$N$8,MATCH(X98,'分群統計'!$A$5:$A$8,0))&lt;3,"",IF(INDEX('分群統計'!$P$5:$P$8,MATCH(X98,'分群統計'!$A$5:$A$8,0))&gt;0,MAX(-3,MIN(3,(AZ98-INDEX('分群統計'!$O$5:$O$8,MATCH(X98,'分群統計'!$A$5:$A$8,0)))/INDEX('分群統計'!$P$5:$P$8,MATCH(X98,'分群統計'!$A$5:$A$8,0)))),0)),""))</f>
        <v/>
      </c>
      <c r="AP98" s="31">
        <f>IF(BC98&lt;&gt;1,"",IFERROR(IF(INDEX('分群統計'!$Q$5:$Q$8,MATCH(X98,'分群統計'!$A$5:$A$8,0))&lt;3,"",IF(INDEX('分群統計'!$S$5:$S$8,MATCH(X98,'分群統計'!$A$5:$A$8,0))&gt;0,MAX(-3,MIN(3,(BB98-INDEX('分群統計'!$R$5:$R$8,MATCH(X98,'分群統計'!$A$5:$A$8,0)))/INDEX('分群統計'!$S$5:$S$8,MATCH(X98,'分群統計'!$A$5:$A$8,0)))),0)),""))</f>
        <v/>
      </c>
      <c r="AQ98" s="31">
        <f>IF(Y98=1,(IF(ISNUMBER(AF98),AF98,0)*'參數'!$B$13+IF(ISNUMBER(AM98),AM98,0)*'參數'!$B$14+IF(ISNUMBER(AO98),AO98,0)*'參數'!$B$15+IF(ISNUMBER(AP98),AP98,0)*'參數'!$B$16)/('參數'!$B$13+'參數'!$B$14+'參數'!$B$15+'參數'!$B$16),"")</f>
        <v/>
      </c>
      <c r="AR98" s="35">
        <f>IF(Y98=1,(SUMPRODUCT(($X$5:$X$404=X98)*($Y$5:$Y$404=1)*($BD$5:$BD$404&gt;BD98))+1)/COUNTIFS($X$5:$X$404,X98,$Y$5:$Y$404,1),"")</f>
        <v/>
      </c>
      <c r="AS98" s="8">
        <f>IF(ISNUMBER(AR98),IF(AR98&lt;='參數'!$B$18,"加碼候選",IF(AR98&gt;'參數'!$B$19,"減碼候選","")),"")</f>
        <v/>
      </c>
      <c r="AT98" s="7">
        <f>IF(Y98=1,N98,0)</f>
        <v/>
      </c>
      <c r="AU98" s="7">
        <f>IF(Y98=1,LN(O98),0)</f>
        <v/>
      </c>
      <c r="AV98" s="36">
        <f>IF(Y98=1,IF(ISNUMBER(F98),F98,0),0)</f>
        <v/>
      </c>
      <c r="AW98" s="7">
        <f>IF(Y98=1,Z98,0)</f>
        <v/>
      </c>
      <c r="AX98" s="7">
        <f>IF(Y98=1,IF(ISNUMBER(AL98),AL98,0),0)</f>
        <v/>
      </c>
      <c r="AY98" s="7">
        <f>IF(Y98=1,IF(ISNUMBER(AL98),1,0),0)</f>
        <v/>
      </c>
      <c r="AZ98" s="7">
        <f>IF(Y98=1,IF(ISNUMBER(AN98),AN98,0),0)</f>
        <v/>
      </c>
      <c r="BA98" s="7">
        <f>IF(Y98=1,IF(ISNUMBER(AN98),1,0),0)</f>
        <v/>
      </c>
      <c r="BB98" s="7">
        <f>IF(Y98=1,IF(ISNUMBER(T98),T98,0),0)</f>
        <v/>
      </c>
      <c r="BC98" s="7">
        <f>IF(Y98=1,IF(ISNUMBER(T98),1,0),0)</f>
        <v/>
      </c>
      <c r="BD98" s="7">
        <f>IF(Y98=1,AQ98+ROW()/1E9,-1E9)</f>
        <v/>
      </c>
      <c r="BE98" s="7">
        <f>IF(Y98=1,AQ98+ROW()/1E9,1E9)</f>
        <v/>
      </c>
    </row>
    <row r="99">
      <c r="A99" s="16" t="n"/>
      <c r="B99" s="8">
        <f>IF($A99="","",BDP($A99,B$3))</f>
        <v/>
      </c>
      <c r="C99" s="8">
        <f>IF($A99="","",BDP($A99,C$3))</f>
        <v/>
      </c>
      <c r="D99" s="28">
        <f>IF($A99="","",BDP($A99,D$3))</f>
        <v/>
      </c>
      <c r="E99" s="29">
        <f>IF($A99="","",BDP($A99,E$3))</f>
        <v/>
      </c>
      <c r="F99" s="17">
        <f>IF($A99="","",BDP($A99,F$3))</f>
        <v/>
      </c>
      <c r="G99" s="8">
        <f>IF($A99="","",BDP($A99,G$3))</f>
        <v/>
      </c>
      <c r="H99" s="8">
        <f>IF($A99="","",BDP($A99,H$3))</f>
        <v/>
      </c>
      <c r="I99" s="8">
        <f>IF($A99="","",BDP($A99,I$3))</f>
        <v/>
      </c>
      <c r="J99" s="8">
        <f>IF($A99="","",BDP($A99,J$3))</f>
        <v/>
      </c>
      <c r="K99" s="8">
        <f>IF($A99="","",BDP($A99,K$3))</f>
        <v/>
      </c>
      <c r="L99" s="28">
        <f>IF($A99="","",BDP($A99,L$3))</f>
        <v/>
      </c>
      <c r="M99" s="28">
        <f>IF($A99="","",BDP($A99,M$3))</f>
        <v/>
      </c>
      <c r="N99" s="30">
        <f>IF($A99="","",BDP($A99,N$3))</f>
        <v/>
      </c>
      <c r="O99" s="31">
        <f>IF($A99="","",BDP($A99,O$3))</f>
        <v/>
      </c>
      <c r="P99" s="30">
        <f>IF($A99="","",BDH($A99,$N$3,'參數'!$B$5,'參數'!$B$5,"Days=A","Fill=P","Dates=H"))</f>
        <v/>
      </c>
      <c r="Q99" s="30">
        <f>IF($A99="","",BDH($A99,$N$3,'參數'!$B$6,'參數'!$B$6,"Days=A","Fill=P","Dates=H"))</f>
        <v/>
      </c>
      <c r="R99" s="30">
        <f>IF($A99="","",BDH($A99,$N$3,'參數'!$B$7,'參數'!$B$7,"Days=A","Fill=P","Dates=H"))</f>
        <v/>
      </c>
      <c r="S99" s="32">
        <f>IF($A99="","",IFERROR(INDEX('發行人'!$A$5:$A$44,MATCH(B99,'發行人'!$D$5:$D$44,0)),"未對應"))</f>
        <v/>
      </c>
      <c r="T99" s="24">
        <f>IF($A99="","",IFERROR(INDEX('發行人'!$G$5:$G$44,MATCH(B99,'發行人'!$D$5:$D$44,0))+0,""))</f>
        <v/>
      </c>
      <c r="U99" s="18">
        <f>IF(ISNUMBER(E99),YEARFRAC('參數'!$B$4,E99),"")</f>
        <v/>
      </c>
      <c r="V99" s="8">
        <f>IF(U99="","",IF(U99&lt;3,"1-3y",IF(U99&lt;5,"3-5y",IF(U99&lt;7,"5-7y",IF(U99&lt;10,"7-10y","10y+")))))</f>
        <v/>
      </c>
      <c r="W99" s="30">
        <f>IF($A99="","",IFERROR(INDEX('參數'!$B$24:$B$45,MATCH(G99,'參數'!$A$24:$A$45,0)),""))</f>
        <v/>
      </c>
      <c r="X99" s="8">
        <f>IF($A99="","",IFERROR(INDEX('參數'!$C$24:$C$45,MATCH(G99,'參數'!$A$24:$A$45,0)),""))</f>
        <v/>
      </c>
      <c r="Y99" s="30">
        <f>IF(AND(ISNUMBER(N99),ISNUMBER(O99),ISNUMBER(U99)),IF(AND(O99&gt;0,X99&lt;&gt;""),1,0),0)</f>
        <v/>
      </c>
      <c r="Z99" s="17">
        <f>IF(Y99=1,O99*N99,"")</f>
        <v/>
      </c>
      <c r="AA99" s="33">
        <f>IF(Y99=1,IF(ISNUMBER(Q99),N99-Q99,""),"")</f>
        <v/>
      </c>
      <c r="AB99" s="33">
        <f>IF(Y99=1,IF(AND(ISNUMBER(P99),ISNUMBER(R99)),R99*5/12-O99*(P99-R99),""),"")</f>
        <v/>
      </c>
      <c r="AC99" s="30">
        <f>IF(Y99=1,COUNTIFS($X$5:$X$404,X99,$V$5:$V$404,V99,$Y$5:$Y$404,1),"")</f>
        <v/>
      </c>
      <c r="AD99" s="30">
        <f>IF(Y99=1,IFERROR(IF(AC99&gt;='參數'!$B$9,INDEX('分群統計'!$G$13:$K$16,MATCH(X99,'分群統計'!$A$13:$A$16,0),MATCH(V99,'分群統計'!$G$12:$K$12,0)),INDEX('分群統計'!$I$5:$I$8,MATCH(X99,'分群統計'!$A$5:$A$8,0))),""),"")</f>
        <v/>
      </c>
      <c r="AE99" s="18">
        <f>IF(Y99=1,IFERROR(IF(AC99&gt;='參數'!$B$9,INDEX('分群統計'!$L$13:$P$16,MATCH(X99,'分群統計'!$A$13:$A$16,0),MATCH(V99,'分群統計'!$L$12:$P$12,0)),INDEX('分群統計'!$J$5:$J$8,MATCH(X99,'分群統計'!$A$5:$A$8,0))),""),"")</f>
        <v/>
      </c>
      <c r="AF99" s="31">
        <f>IF(ISNUMBER(AE99),IF(AE99&gt;0,MAX(-3,MIN(3,(N99-AD99)/AE99)),0),"")</f>
        <v/>
      </c>
      <c r="AG99" s="30">
        <f>IF(Y99=1,COUNTIFS($B$5:$B$404,B99,$Y$5:$Y$404,1),"")</f>
        <v/>
      </c>
      <c r="AH99" s="30">
        <f>IF(Y99=1,IFERROR(IF(ISNUMBER(INDEX('分群統計'!$G$20:$G$59,MATCH(B99,'分群統計'!$A$20:$A$59,0))),INDEX('分群統計'!$H$20:$H$59,MATCH(B99,'分群統計'!$A$20:$A$59,0))+INDEX('分群統計'!$G$20:$G$59,MATCH(B99,'分群統計'!$A$20:$A$59,0))*AU99,""),""),"")</f>
        <v/>
      </c>
      <c r="AI99" s="34">
        <f>IF(ISNUMBER(AH99),N99-AH99,"")</f>
        <v/>
      </c>
      <c r="AJ99" s="30">
        <f>IF(Y99=1,IFERROR(IF(ISNUMBER(INDEX('分群統計'!$G$5:$G$8,MATCH(X99,'分群統計'!$A$5:$A$8,0))),INDEX('分群統計'!$H$5:$H$8,MATCH(X99,'分群統計'!$A$5:$A$8,0))+INDEX('分群統計'!$G$5:$G$8,MATCH(X99,'分群統計'!$A$5:$A$8,0))*AU99,""),""),"")</f>
        <v/>
      </c>
      <c r="AK99" s="34">
        <f>IF(ISNUMBER(AJ99),N99-AJ99,"")</f>
        <v/>
      </c>
      <c r="AL99" s="21">
        <f>IF(ISNUMBER(AJ99),IF(AJ99&gt;0,AK99/AJ99,""),"")</f>
        <v/>
      </c>
      <c r="AM99" s="31">
        <f>IF(AY99&lt;&gt;1,"",IFERROR(IF(INDEX('分群統計'!$K$5:$K$8,MATCH(X99,'分群統計'!$A$5:$A$8,0))&lt;3,"",IF(INDEX('分群統計'!$M$5:$M$8,MATCH(X99,'分群統計'!$A$5:$A$8,0))&gt;0,MAX(-3,MIN(3,(AX99-INDEX('分群統計'!$L$5:$L$8,MATCH(X99,'分群統計'!$A$5:$A$8,0)))/INDEX('分群統計'!$M$5:$M$8,MATCH(X99,'分群統計'!$A$5:$A$8,0)))),0)),""))</f>
        <v/>
      </c>
      <c r="AN99" s="31">
        <f>IF(ISNUMBER(AB99),IF(Z99&gt;0,AB99/Z99*100,""),"")</f>
        <v/>
      </c>
      <c r="AO99" s="31">
        <f>IF(BA99&lt;&gt;1,"",IFERROR(IF(INDEX('分群統計'!$N$5:$N$8,MATCH(X99,'分群統計'!$A$5:$A$8,0))&lt;3,"",IF(INDEX('分群統計'!$P$5:$P$8,MATCH(X99,'分群統計'!$A$5:$A$8,0))&gt;0,MAX(-3,MIN(3,(AZ99-INDEX('分群統計'!$O$5:$O$8,MATCH(X99,'分群統計'!$A$5:$A$8,0)))/INDEX('分群統計'!$P$5:$P$8,MATCH(X99,'分群統計'!$A$5:$A$8,0)))),0)),""))</f>
        <v/>
      </c>
      <c r="AP99" s="31">
        <f>IF(BC99&lt;&gt;1,"",IFERROR(IF(INDEX('分群統計'!$Q$5:$Q$8,MATCH(X99,'分群統計'!$A$5:$A$8,0))&lt;3,"",IF(INDEX('分群統計'!$S$5:$S$8,MATCH(X99,'分群統計'!$A$5:$A$8,0))&gt;0,MAX(-3,MIN(3,(BB99-INDEX('分群統計'!$R$5:$R$8,MATCH(X99,'分群統計'!$A$5:$A$8,0)))/INDEX('分群統計'!$S$5:$S$8,MATCH(X99,'分群統計'!$A$5:$A$8,0)))),0)),""))</f>
        <v/>
      </c>
      <c r="AQ99" s="31">
        <f>IF(Y99=1,(IF(ISNUMBER(AF99),AF99,0)*'參數'!$B$13+IF(ISNUMBER(AM99),AM99,0)*'參數'!$B$14+IF(ISNUMBER(AO99),AO99,0)*'參數'!$B$15+IF(ISNUMBER(AP99),AP99,0)*'參數'!$B$16)/('參數'!$B$13+'參數'!$B$14+'參數'!$B$15+'參數'!$B$16),"")</f>
        <v/>
      </c>
      <c r="AR99" s="35">
        <f>IF(Y99=1,(SUMPRODUCT(($X$5:$X$404=X99)*($Y$5:$Y$404=1)*($BD$5:$BD$404&gt;BD99))+1)/COUNTIFS($X$5:$X$404,X99,$Y$5:$Y$404,1),"")</f>
        <v/>
      </c>
      <c r="AS99" s="8">
        <f>IF(ISNUMBER(AR99),IF(AR99&lt;='參數'!$B$18,"加碼候選",IF(AR99&gt;'參數'!$B$19,"減碼候選","")),"")</f>
        <v/>
      </c>
      <c r="AT99" s="7">
        <f>IF(Y99=1,N99,0)</f>
        <v/>
      </c>
      <c r="AU99" s="7">
        <f>IF(Y99=1,LN(O99),0)</f>
        <v/>
      </c>
      <c r="AV99" s="36">
        <f>IF(Y99=1,IF(ISNUMBER(F99),F99,0),0)</f>
        <v/>
      </c>
      <c r="AW99" s="7">
        <f>IF(Y99=1,Z99,0)</f>
        <v/>
      </c>
      <c r="AX99" s="7">
        <f>IF(Y99=1,IF(ISNUMBER(AL99),AL99,0),0)</f>
        <v/>
      </c>
      <c r="AY99" s="7">
        <f>IF(Y99=1,IF(ISNUMBER(AL99),1,0),0)</f>
        <v/>
      </c>
      <c r="AZ99" s="7">
        <f>IF(Y99=1,IF(ISNUMBER(AN99),AN99,0),0)</f>
        <v/>
      </c>
      <c r="BA99" s="7">
        <f>IF(Y99=1,IF(ISNUMBER(AN99),1,0),0)</f>
        <v/>
      </c>
      <c r="BB99" s="7">
        <f>IF(Y99=1,IF(ISNUMBER(T99),T99,0),0)</f>
        <v/>
      </c>
      <c r="BC99" s="7">
        <f>IF(Y99=1,IF(ISNUMBER(T99),1,0),0)</f>
        <v/>
      </c>
      <c r="BD99" s="7">
        <f>IF(Y99=1,AQ99+ROW()/1E9,-1E9)</f>
        <v/>
      </c>
      <c r="BE99" s="7">
        <f>IF(Y99=1,AQ99+ROW()/1E9,1E9)</f>
        <v/>
      </c>
    </row>
    <row r="100">
      <c r="A100" s="16" t="n"/>
      <c r="B100" s="8">
        <f>IF($A100="","",BDP($A100,B$3))</f>
        <v/>
      </c>
      <c r="C100" s="8">
        <f>IF($A100="","",BDP($A100,C$3))</f>
        <v/>
      </c>
      <c r="D100" s="28">
        <f>IF($A100="","",BDP($A100,D$3))</f>
        <v/>
      </c>
      <c r="E100" s="29">
        <f>IF($A100="","",BDP($A100,E$3))</f>
        <v/>
      </c>
      <c r="F100" s="17">
        <f>IF($A100="","",BDP($A100,F$3))</f>
        <v/>
      </c>
      <c r="G100" s="8">
        <f>IF($A100="","",BDP($A100,G$3))</f>
        <v/>
      </c>
      <c r="H100" s="8">
        <f>IF($A100="","",BDP($A100,H$3))</f>
        <v/>
      </c>
      <c r="I100" s="8">
        <f>IF($A100="","",BDP($A100,I$3))</f>
        <v/>
      </c>
      <c r="J100" s="8">
        <f>IF($A100="","",BDP($A100,J$3))</f>
        <v/>
      </c>
      <c r="K100" s="8">
        <f>IF($A100="","",BDP($A100,K$3))</f>
        <v/>
      </c>
      <c r="L100" s="28">
        <f>IF($A100="","",BDP($A100,L$3))</f>
        <v/>
      </c>
      <c r="M100" s="28">
        <f>IF($A100="","",BDP($A100,M$3))</f>
        <v/>
      </c>
      <c r="N100" s="30">
        <f>IF($A100="","",BDP($A100,N$3))</f>
        <v/>
      </c>
      <c r="O100" s="31">
        <f>IF($A100="","",BDP($A100,O$3))</f>
        <v/>
      </c>
      <c r="P100" s="30">
        <f>IF($A100="","",BDH($A100,$N$3,'參數'!$B$5,'參數'!$B$5,"Days=A","Fill=P","Dates=H"))</f>
        <v/>
      </c>
      <c r="Q100" s="30">
        <f>IF($A100="","",BDH($A100,$N$3,'參數'!$B$6,'參數'!$B$6,"Days=A","Fill=P","Dates=H"))</f>
        <v/>
      </c>
      <c r="R100" s="30">
        <f>IF($A100="","",BDH($A100,$N$3,'參數'!$B$7,'參數'!$B$7,"Days=A","Fill=P","Dates=H"))</f>
        <v/>
      </c>
      <c r="S100" s="32">
        <f>IF($A100="","",IFERROR(INDEX('發行人'!$A$5:$A$44,MATCH(B100,'發行人'!$D$5:$D$44,0)),"未對應"))</f>
        <v/>
      </c>
      <c r="T100" s="24">
        <f>IF($A100="","",IFERROR(INDEX('發行人'!$G$5:$G$44,MATCH(B100,'發行人'!$D$5:$D$44,0))+0,""))</f>
        <v/>
      </c>
      <c r="U100" s="18">
        <f>IF(ISNUMBER(E100),YEARFRAC('參數'!$B$4,E100),"")</f>
        <v/>
      </c>
      <c r="V100" s="8">
        <f>IF(U100="","",IF(U100&lt;3,"1-3y",IF(U100&lt;5,"3-5y",IF(U100&lt;7,"5-7y",IF(U100&lt;10,"7-10y","10y+")))))</f>
        <v/>
      </c>
      <c r="W100" s="30">
        <f>IF($A100="","",IFERROR(INDEX('參數'!$B$24:$B$45,MATCH(G100,'參數'!$A$24:$A$45,0)),""))</f>
        <v/>
      </c>
      <c r="X100" s="8">
        <f>IF($A100="","",IFERROR(INDEX('參數'!$C$24:$C$45,MATCH(G100,'參數'!$A$24:$A$45,0)),""))</f>
        <v/>
      </c>
      <c r="Y100" s="30">
        <f>IF(AND(ISNUMBER(N100),ISNUMBER(O100),ISNUMBER(U100)),IF(AND(O100&gt;0,X100&lt;&gt;""),1,0),0)</f>
        <v/>
      </c>
      <c r="Z100" s="17">
        <f>IF(Y100=1,O100*N100,"")</f>
        <v/>
      </c>
      <c r="AA100" s="33">
        <f>IF(Y100=1,IF(ISNUMBER(Q100),N100-Q100,""),"")</f>
        <v/>
      </c>
      <c r="AB100" s="33">
        <f>IF(Y100=1,IF(AND(ISNUMBER(P100),ISNUMBER(R100)),R100*5/12-O100*(P100-R100),""),"")</f>
        <v/>
      </c>
      <c r="AC100" s="30">
        <f>IF(Y100=1,COUNTIFS($X$5:$X$404,X100,$V$5:$V$404,V100,$Y$5:$Y$404,1),"")</f>
        <v/>
      </c>
      <c r="AD100" s="30">
        <f>IF(Y100=1,IFERROR(IF(AC100&gt;='參數'!$B$9,INDEX('分群統計'!$G$13:$K$16,MATCH(X100,'分群統計'!$A$13:$A$16,0),MATCH(V100,'分群統計'!$G$12:$K$12,0)),INDEX('分群統計'!$I$5:$I$8,MATCH(X100,'分群統計'!$A$5:$A$8,0))),""),"")</f>
        <v/>
      </c>
      <c r="AE100" s="18">
        <f>IF(Y100=1,IFERROR(IF(AC100&gt;='參數'!$B$9,INDEX('分群統計'!$L$13:$P$16,MATCH(X100,'分群統計'!$A$13:$A$16,0),MATCH(V100,'分群統計'!$L$12:$P$12,0)),INDEX('分群統計'!$J$5:$J$8,MATCH(X100,'分群統計'!$A$5:$A$8,0))),""),"")</f>
        <v/>
      </c>
      <c r="AF100" s="31">
        <f>IF(ISNUMBER(AE100),IF(AE100&gt;0,MAX(-3,MIN(3,(N100-AD100)/AE100)),0),"")</f>
        <v/>
      </c>
      <c r="AG100" s="30">
        <f>IF(Y100=1,COUNTIFS($B$5:$B$404,B100,$Y$5:$Y$404,1),"")</f>
        <v/>
      </c>
      <c r="AH100" s="30">
        <f>IF(Y100=1,IFERROR(IF(ISNUMBER(INDEX('分群統計'!$G$20:$G$59,MATCH(B100,'分群統計'!$A$20:$A$59,0))),INDEX('分群統計'!$H$20:$H$59,MATCH(B100,'分群統計'!$A$20:$A$59,0))+INDEX('分群統計'!$G$20:$G$59,MATCH(B100,'分群統計'!$A$20:$A$59,0))*AU100,""),""),"")</f>
        <v/>
      </c>
      <c r="AI100" s="34">
        <f>IF(ISNUMBER(AH100),N100-AH100,"")</f>
        <v/>
      </c>
      <c r="AJ100" s="30">
        <f>IF(Y100=1,IFERROR(IF(ISNUMBER(INDEX('分群統計'!$G$5:$G$8,MATCH(X100,'分群統計'!$A$5:$A$8,0))),INDEX('分群統計'!$H$5:$H$8,MATCH(X100,'分群統計'!$A$5:$A$8,0))+INDEX('分群統計'!$G$5:$G$8,MATCH(X100,'分群統計'!$A$5:$A$8,0))*AU100,""),""),"")</f>
        <v/>
      </c>
      <c r="AK100" s="34">
        <f>IF(ISNUMBER(AJ100),N100-AJ100,"")</f>
        <v/>
      </c>
      <c r="AL100" s="21">
        <f>IF(ISNUMBER(AJ100),IF(AJ100&gt;0,AK100/AJ100,""),"")</f>
        <v/>
      </c>
      <c r="AM100" s="31">
        <f>IF(AY100&lt;&gt;1,"",IFERROR(IF(INDEX('分群統計'!$K$5:$K$8,MATCH(X100,'分群統計'!$A$5:$A$8,0))&lt;3,"",IF(INDEX('分群統計'!$M$5:$M$8,MATCH(X100,'分群統計'!$A$5:$A$8,0))&gt;0,MAX(-3,MIN(3,(AX100-INDEX('分群統計'!$L$5:$L$8,MATCH(X100,'分群統計'!$A$5:$A$8,0)))/INDEX('分群統計'!$M$5:$M$8,MATCH(X100,'分群統計'!$A$5:$A$8,0)))),0)),""))</f>
        <v/>
      </c>
      <c r="AN100" s="31">
        <f>IF(ISNUMBER(AB100),IF(Z100&gt;0,AB100/Z100*100,""),"")</f>
        <v/>
      </c>
      <c r="AO100" s="31">
        <f>IF(BA100&lt;&gt;1,"",IFERROR(IF(INDEX('分群統計'!$N$5:$N$8,MATCH(X100,'分群統計'!$A$5:$A$8,0))&lt;3,"",IF(INDEX('分群統計'!$P$5:$P$8,MATCH(X100,'分群統計'!$A$5:$A$8,0))&gt;0,MAX(-3,MIN(3,(AZ100-INDEX('分群統計'!$O$5:$O$8,MATCH(X100,'分群統計'!$A$5:$A$8,0)))/INDEX('分群統計'!$P$5:$P$8,MATCH(X100,'分群統計'!$A$5:$A$8,0)))),0)),""))</f>
        <v/>
      </c>
      <c r="AP100" s="31">
        <f>IF(BC100&lt;&gt;1,"",IFERROR(IF(INDEX('分群統計'!$Q$5:$Q$8,MATCH(X100,'分群統計'!$A$5:$A$8,0))&lt;3,"",IF(INDEX('分群統計'!$S$5:$S$8,MATCH(X100,'分群統計'!$A$5:$A$8,0))&gt;0,MAX(-3,MIN(3,(BB100-INDEX('分群統計'!$R$5:$R$8,MATCH(X100,'分群統計'!$A$5:$A$8,0)))/INDEX('分群統計'!$S$5:$S$8,MATCH(X100,'分群統計'!$A$5:$A$8,0)))),0)),""))</f>
        <v/>
      </c>
      <c r="AQ100" s="31">
        <f>IF(Y100=1,(IF(ISNUMBER(AF100),AF100,0)*'參數'!$B$13+IF(ISNUMBER(AM100),AM100,0)*'參數'!$B$14+IF(ISNUMBER(AO100),AO100,0)*'參數'!$B$15+IF(ISNUMBER(AP100),AP100,0)*'參數'!$B$16)/('參數'!$B$13+'參數'!$B$14+'參數'!$B$15+'參數'!$B$16),"")</f>
        <v/>
      </c>
      <c r="AR100" s="35">
        <f>IF(Y100=1,(SUMPRODUCT(($X$5:$X$404=X100)*($Y$5:$Y$404=1)*($BD$5:$BD$404&gt;BD100))+1)/COUNTIFS($X$5:$X$404,X100,$Y$5:$Y$404,1),"")</f>
        <v/>
      </c>
      <c r="AS100" s="8">
        <f>IF(ISNUMBER(AR100),IF(AR100&lt;='參數'!$B$18,"加碼候選",IF(AR100&gt;'參數'!$B$19,"減碼候選","")),"")</f>
        <v/>
      </c>
      <c r="AT100" s="7">
        <f>IF(Y100=1,N100,0)</f>
        <v/>
      </c>
      <c r="AU100" s="7">
        <f>IF(Y100=1,LN(O100),0)</f>
        <v/>
      </c>
      <c r="AV100" s="36">
        <f>IF(Y100=1,IF(ISNUMBER(F100),F100,0),0)</f>
        <v/>
      </c>
      <c r="AW100" s="7">
        <f>IF(Y100=1,Z100,0)</f>
        <v/>
      </c>
      <c r="AX100" s="7">
        <f>IF(Y100=1,IF(ISNUMBER(AL100),AL100,0),0)</f>
        <v/>
      </c>
      <c r="AY100" s="7">
        <f>IF(Y100=1,IF(ISNUMBER(AL100),1,0),0)</f>
        <v/>
      </c>
      <c r="AZ100" s="7">
        <f>IF(Y100=1,IF(ISNUMBER(AN100),AN100,0),0)</f>
        <v/>
      </c>
      <c r="BA100" s="7">
        <f>IF(Y100=1,IF(ISNUMBER(AN100),1,0),0)</f>
        <v/>
      </c>
      <c r="BB100" s="7">
        <f>IF(Y100=1,IF(ISNUMBER(T100),T100,0),0)</f>
        <v/>
      </c>
      <c r="BC100" s="7">
        <f>IF(Y100=1,IF(ISNUMBER(T100),1,0),0)</f>
        <v/>
      </c>
      <c r="BD100" s="7">
        <f>IF(Y100=1,AQ100+ROW()/1E9,-1E9)</f>
        <v/>
      </c>
      <c r="BE100" s="7">
        <f>IF(Y100=1,AQ100+ROW()/1E9,1E9)</f>
        <v/>
      </c>
    </row>
    <row r="101">
      <c r="A101" s="16" t="n"/>
      <c r="B101" s="8">
        <f>IF($A101="","",BDP($A101,B$3))</f>
        <v/>
      </c>
      <c r="C101" s="8">
        <f>IF($A101="","",BDP($A101,C$3))</f>
        <v/>
      </c>
      <c r="D101" s="28">
        <f>IF($A101="","",BDP($A101,D$3))</f>
        <v/>
      </c>
      <c r="E101" s="29">
        <f>IF($A101="","",BDP($A101,E$3))</f>
        <v/>
      </c>
      <c r="F101" s="17">
        <f>IF($A101="","",BDP($A101,F$3))</f>
        <v/>
      </c>
      <c r="G101" s="8">
        <f>IF($A101="","",BDP($A101,G$3))</f>
        <v/>
      </c>
      <c r="H101" s="8">
        <f>IF($A101="","",BDP($A101,H$3))</f>
        <v/>
      </c>
      <c r="I101" s="8">
        <f>IF($A101="","",BDP($A101,I$3))</f>
        <v/>
      </c>
      <c r="J101" s="8">
        <f>IF($A101="","",BDP($A101,J$3))</f>
        <v/>
      </c>
      <c r="K101" s="8">
        <f>IF($A101="","",BDP($A101,K$3))</f>
        <v/>
      </c>
      <c r="L101" s="28">
        <f>IF($A101="","",BDP($A101,L$3))</f>
        <v/>
      </c>
      <c r="M101" s="28">
        <f>IF($A101="","",BDP($A101,M$3))</f>
        <v/>
      </c>
      <c r="N101" s="30">
        <f>IF($A101="","",BDP($A101,N$3))</f>
        <v/>
      </c>
      <c r="O101" s="31">
        <f>IF($A101="","",BDP($A101,O$3))</f>
        <v/>
      </c>
      <c r="P101" s="30">
        <f>IF($A101="","",BDH($A101,$N$3,'參數'!$B$5,'參數'!$B$5,"Days=A","Fill=P","Dates=H"))</f>
        <v/>
      </c>
      <c r="Q101" s="30">
        <f>IF($A101="","",BDH($A101,$N$3,'參數'!$B$6,'參數'!$B$6,"Days=A","Fill=P","Dates=H"))</f>
        <v/>
      </c>
      <c r="R101" s="30">
        <f>IF($A101="","",BDH($A101,$N$3,'參數'!$B$7,'參數'!$B$7,"Days=A","Fill=P","Dates=H"))</f>
        <v/>
      </c>
      <c r="S101" s="32">
        <f>IF($A101="","",IFERROR(INDEX('發行人'!$A$5:$A$44,MATCH(B101,'發行人'!$D$5:$D$44,0)),"未對應"))</f>
        <v/>
      </c>
      <c r="T101" s="24">
        <f>IF($A101="","",IFERROR(INDEX('發行人'!$G$5:$G$44,MATCH(B101,'發行人'!$D$5:$D$44,0))+0,""))</f>
        <v/>
      </c>
      <c r="U101" s="18">
        <f>IF(ISNUMBER(E101),YEARFRAC('參數'!$B$4,E101),"")</f>
        <v/>
      </c>
      <c r="V101" s="8">
        <f>IF(U101="","",IF(U101&lt;3,"1-3y",IF(U101&lt;5,"3-5y",IF(U101&lt;7,"5-7y",IF(U101&lt;10,"7-10y","10y+")))))</f>
        <v/>
      </c>
      <c r="W101" s="30">
        <f>IF($A101="","",IFERROR(INDEX('參數'!$B$24:$B$45,MATCH(G101,'參數'!$A$24:$A$45,0)),""))</f>
        <v/>
      </c>
      <c r="X101" s="8">
        <f>IF($A101="","",IFERROR(INDEX('參數'!$C$24:$C$45,MATCH(G101,'參數'!$A$24:$A$45,0)),""))</f>
        <v/>
      </c>
      <c r="Y101" s="30">
        <f>IF(AND(ISNUMBER(N101),ISNUMBER(O101),ISNUMBER(U101)),IF(AND(O101&gt;0,X101&lt;&gt;""),1,0),0)</f>
        <v/>
      </c>
      <c r="Z101" s="17">
        <f>IF(Y101=1,O101*N101,"")</f>
        <v/>
      </c>
      <c r="AA101" s="33">
        <f>IF(Y101=1,IF(ISNUMBER(Q101),N101-Q101,""),"")</f>
        <v/>
      </c>
      <c r="AB101" s="33">
        <f>IF(Y101=1,IF(AND(ISNUMBER(P101),ISNUMBER(R101)),R101*5/12-O101*(P101-R101),""),"")</f>
        <v/>
      </c>
      <c r="AC101" s="30">
        <f>IF(Y101=1,COUNTIFS($X$5:$X$404,X101,$V$5:$V$404,V101,$Y$5:$Y$404,1),"")</f>
        <v/>
      </c>
      <c r="AD101" s="30">
        <f>IF(Y101=1,IFERROR(IF(AC101&gt;='參數'!$B$9,INDEX('分群統計'!$G$13:$K$16,MATCH(X101,'分群統計'!$A$13:$A$16,0),MATCH(V101,'分群統計'!$G$12:$K$12,0)),INDEX('分群統計'!$I$5:$I$8,MATCH(X101,'分群統計'!$A$5:$A$8,0))),""),"")</f>
        <v/>
      </c>
      <c r="AE101" s="18">
        <f>IF(Y101=1,IFERROR(IF(AC101&gt;='參數'!$B$9,INDEX('分群統計'!$L$13:$P$16,MATCH(X101,'分群統計'!$A$13:$A$16,0),MATCH(V101,'分群統計'!$L$12:$P$12,0)),INDEX('分群統計'!$J$5:$J$8,MATCH(X101,'分群統計'!$A$5:$A$8,0))),""),"")</f>
        <v/>
      </c>
      <c r="AF101" s="31">
        <f>IF(ISNUMBER(AE101),IF(AE101&gt;0,MAX(-3,MIN(3,(N101-AD101)/AE101)),0),"")</f>
        <v/>
      </c>
      <c r="AG101" s="30">
        <f>IF(Y101=1,COUNTIFS($B$5:$B$404,B101,$Y$5:$Y$404,1),"")</f>
        <v/>
      </c>
      <c r="AH101" s="30">
        <f>IF(Y101=1,IFERROR(IF(ISNUMBER(INDEX('分群統計'!$G$20:$G$59,MATCH(B101,'分群統計'!$A$20:$A$59,0))),INDEX('分群統計'!$H$20:$H$59,MATCH(B101,'分群統計'!$A$20:$A$59,0))+INDEX('分群統計'!$G$20:$G$59,MATCH(B101,'分群統計'!$A$20:$A$59,0))*AU101,""),""),"")</f>
        <v/>
      </c>
      <c r="AI101" s="34">
        <f>IF(ISNUMBER(AH101),N101-AH101,"")</f>
        <v/>
      </c>
      <c r="AJ101" s="30">
        <f>IF(Y101=1,IFERROR(IF(ISNUMBER(INDEX('分群統計'!$G$5:$G$8,MATCH(X101,'分群統計'!$A$5:$A$8,0))),INDEX('分群統計'!$H$5:$H$8,MATCH(X101,'分群統計'!$A$5:$A$8,0))+INDEX('分群統計'!$G$5:$G$8,MATCH(X101,'分群統計'!$A$5:$A$8,0))*AU101,""),""),"")</f>
        <v/>
      </c>
      <c r="AK101" s="34">
        <f>IF(ISNUMBER(AJ101),N101-AJ101,"")</f>
        <v/>
      </c>
      <c r="AL101" s="21">
        <f>IF(ISNUMBER(AJ101),IF(AJ101&gt;0,AK101/AJ101,""),"")</f>
        <v/>
      </c>
      <c r="AM101" s="31">
        <f>IF(AY101&lt;&gt;1,"",IFERROR(IF(INDEX('分群統計'!$K$5:$K$8,MATCH(X101,'分群統計'!$A$5:$A$8,0))&lt;3,"",IF(INDEX('分群統計'!$M$5:$M$8,MATCH(X101,'分群統計'!$A$5:$A$8,0))&gt;0,MAX(-3,MIN(3,(AX101-INDEX('分群統計'!$L$5:$L$8,MATCH(X101,'分群統計'!$A$5:$A$8,0)))/INDEX('分群統計'!$M$5:$M$8,MATCH(X101,'分群統計'!$A$5:$A$8,0)))),0)),""))</f>
        <v/>
      </c>
      <c r="AN101" s="31">
        <f>IF(ISNUMBER(AB101),IF(Z101&gt;0,AB101/Z101*100,""),"")</f>
        <v/>
      </c>
      <c r="AO101" s="31">
        <f>IF(BA101&lt;&gt;1,"",IFERROR(IF(INDEX('分群統計'!$N$5:$N$8,MATCH(X101,'分群統計'!$A$5:$A$8,0))&lt;3,"",IF(INDEX('分群統計'!$P$5:$P$8,MATCH(X101,'分群統計'!$A$5:$A$8,0))&gt;0,MAX(-3,MIN(3,(AZ101-INDEX('分群統計'!$O$5:$O$8,MATCH(X101,'分群統計'!$A$5:$A$8,0)))/INDEX('分群統計'!$P$5:$P$8,MATCH(X101,'分群統計'!$A$5:$A$8,0)))),0)),""))</f>
        <v/>
      </c>
      <c r="AP101" s="31">
        <f>IF(BC101&lt;&gt;1,"",IFERROR(IF(INDEX('分群統計'!$Q$5:$Q$8,MATCH(X101,'分群統計'!$A$5:$A$8,0))&lt;3,"",IF(INDEX('分群統計'!$S$5:$S$8,MATCH(X101,'分群統計'!$A$5:$A$8,0))&gt;0,MAX(-3,MIN(3,(BB101-INDEX('分群統計'!$R$5:$R$8,MATCH(X101,'分群統計'!$A$5:$A$8,0)))/INDEX('分群統計'!$S$5:$S$8,MATCH(X101,'分群統計'!$A$5:$A$8,0)))),0)),""))</f>
        <v/>
      </c>
      <c r="AQ101" s="31">
        <f>IF(Y101=1,(IF(ISNUMBER(AF101),AF101,0)*'參數'!$B$13+IF(ISNUMBER(AM101),AM101,0)*'參數'!$B$14+IF(ISNUMBER(AO101),AO101,0)*'參數'!$B$15+IF(ISNUMBER(AP101),AP101,0)*'參數'!$B$16)/('參數'!$B$13+'參數'!$B$14+'參數'!$B$15+'參數'!$B$16),"")</f>
        <v/>
      </c>
      <c r="AR101" s="35">
        <f>IF(Y101=1,(SUMPRODUCT(($X$5:$X$404=X101)*($Y$5:$Y$404=1)*($BD$5:$BD$404&gt;BD101))+1)/COUNTIFS($X$5:$X$404,X101,$Y$5:$Y$404,1),"")</f>
        <v/>
      </c>
      <c r="AS101" s="8">
        <f>IF(ISNUMBER(AR101),IF(AR101&lt;='參數'!$B$18,"加碼候選",IF(AR101&gt;'參數'!$B$19,"減碼候選","")),"")</f>
        <v/>
      </c>
      <c r="AT101" s="7">
        <f>IF(Y101=1,N101,0)</f>
        <v/>
      </c>
      <c r="AU101" s="7">
        <f>IF(Y101=1,LN(O101),0)</f>
        <v/>
      </c>
      <c r="AV101" s="36">
        <f>IF(Y101=1,IF(ISNUMBER(F101),F101,0),0)</f>
        <v/>
      </c>
      <c r="AW101" s="7">
        <f>IF(Y101=1,Z101,0)</f>
        <v/>
      </c>
      <c r="AX101" s="7">
        <f>IF(Y101=1,IF(ISNUMBER(AL101),AL101,0),0)</f>
        <v/>
      </c>
      <c r="AY101" s="7">
        <f>IF(Y101=1,IF(ISNUMBER(AL101),1,0),0)</f>
        <v/>
      </c>
      <c r="AZ101" s="7">
        <f>IF(Y101=1,IF(ISNUMBER(AN101),AN101,0),0)</f>
        <v/>
      </c>
      <c r="BA101" s="7">
        <f>IF(Y101=1,IF(ISNUMBER(AN101),1,0),0)</f>
        <v/>
      </c>
      <c r="BB101" s="7">
        <f>IF(Y101=1,IF(ISNUMBER(T101),T101,0),0)</f>
        <v/>
      </c>
      <c r="BC101" s="7">
        <f>IF(Y101=1,IF(ISNUMBER(T101),1,0),0)</f>
        <v/>
      </c>
      <c r="BD101" s="7">
        <f>IF(Y101=1,AQ101+ROW()/1E9,-1E9)</f>
        <v/>
      </c>
      <c r="BE101" s="7">
        <f>IF(Y101=1,AQ101+ROW()/1E9,1E9)</f>
        <v/>
      </c>
    </row>
    <row r="102">
      <c r="A102" s="16" t="n"/>
      <c r="B102" s="8">
        <f>IF($A102="","",BDP($A102,B$3))</f>
        <v/>
      </c>
      <c r="C102" s="8">
        <f>IF($A102="","",BDP($A102,C$3))</f>
        <v/>
      </c>
      <c r="D102" s="28">
        <f>IF($A102="","",BDP($A102,D$3))</f>
        <v/>
      </c>
      <c r="E102" s="29">
        <f>IF($A102="","",BDP($A102,E$3))</f>
        <v/>
      </c>
      <c r="F102" s="17">
        <f>IF($A102="","",BDP($A102,F$3))</f>
        <v/>
      </c>
      <c r="G102" s="8">
        <f>IF($A102="","",BDP($A102,G$3))</f>
        <v/>
      </c>
      <c r="H102" s="8">
        <f>IF($A102="","",BDP($A102,H$3))</f>
        <v/>
      </c>
      <c r="I102" s="8">
        <f>IF($A102="","",BDP($A102,I$3))</f>
        <v/>
      </c>
      <c r="J102" s="8">
        <f>IF($A102="","",BDP($A102,J$3))</f>
        <v/>
      </c>
      <c r="K102" s="8">
        <f>IF($A102="","",BDP($A102,K$3))</f>
        <v/>
      </c>
      <c r="L102" s="28">
        <f>IF($A102="","",BDP($A102,L$3))</f>
        <v/>
      </c>
      <c r="M102" s="28">
        <f>IF($A102="","",BDP($A102,M$3))</f>
        <v/>
      </c>
      <c r="N102" s="30">
        <f>IF($A102="","",BDP($A102,N$3))</f>
        <v/>
      </c>
      <c r="O102" s="31">
        <f>IF($A102="","",BDP($A102,O$3))</f>
        <v/>
      </c>
      <c r="P102" s="30">
        <f>IF($A102="","",BDH($A102,$N$3,'參數'!$B$5,'參數'!$B$5,"Days=A","Fill=P","Dates=H"))</f>
        <v/>
      </c>
      <c r="Q102" s="30">
        <f>IF($A102="","",BDH($A102,$N$3,'參數'!$B$6,'參數'!$B$6,"Days=A","Fill=P","Dates=H"))</f>
        <v/>
      </c>
      <c r="R102" s="30">
        <f>IF($A102="","",BDH($A102,$N$3,'參數'!$B$7,'參數'!$B$7,"Days=A","Fill=P","Dates=H"))</f>
        <v/>
      </c>
      <c r="S102" s="32">
        <f>IF($A102="","",IFERROR(INDEX('發行人'!$A$5:$A$44,MATCH(B102,'發行人'!$D$5:$D$44,0)),"未對應"))</f>
        <v/>
      </c>
      <c r="T102" s="24">
        <f>IF($A102="","",IFERROR(INDEX('發行人'!$G$5:$G$44,MATCH(B102,'發行人'!$D$5:$D$44,0))+0,""))</f>
        <v/>
      </c>
      <c r="U102" s="18">
        <f>IF(ISNUMBER(E102),YEARFRAC('參數'!$B$4,E102),"")</f>
        <v/>
      </c>
      <c r="V102" s="8">
        <f>IF(U102="","",IF(U102&lt;3,"1-3y",IF(U102&lt;5,"3-5y",IF(U102&lt;7,"5-7y",IF(U102&lt;10,"7-10y","10y+")))))</f>
        <v/>
      </c>
      <c r="W102" s="30">
        <f>IF($A102="","",IFERROR(INDEX('參數'!$B$24:$B$45,MATCH(G102,'參數'!$A$24:$A$45,0)),""))</f>
        <v/>
      </c>
      <c r="X102" s="8">
        <f>IF($A102="","",IFERROR(INDEX('參數'!$C$24:$C$45,MATCH(G102,'參數'!$A$24:$A$45,0)),""))</f>
        <v/>
      </c>
      <c r="Y102" s="30">
        <f>IF(AND(ISNUMBER(N102),ISNUMBER(O102),ISNUMBER(U102)),IF(AND(O102&gt;0,X102&lt;&gt;""),1,0),0)</f>
        <v/>
      </c>
      <c r="Z102" s="17">
        <f>IF(Y102=1,O102*N102,"")</f>
        <v/>
      </c>
      <c r="AA102" s="33">
        <f>IF(Y102=1,IF(ISNUMBER(Q102),N102-Q102,""),"")</f>
        <v/>
      </c>
      <c r="AB102" s="33">
        <f>IF(Y102=1,IF(AND(ISNUMBER(P102),ISNUMBER(R102)),R102*5/12-O102*(P102-R102),""),"")</f>
        <v/>
      </c>
      <c r="AC102" s="30">
        <f>IF(Y102=1,COUNTIFS($X$5:$X$404,X102,$V$5:$V$404,V102,$Y$5:$Y$404,1),"")</f>
        <v/>
      </c>
      <c r="AD102" s="30">
        <f>IF(Y102=1,IFERROR(IF(AC102&gt;='參數'!$B$9,INDEX('分群統計'!$G$13:$K$16,MATCH(X102,'分群統計'!$A$13:$A$16,0),MATCH(V102,'分群統計'!$G$12:$K$12,0)),INDEX('分群統計'!$I$5:$I$8,MATCH(X102,'分群統計'!$A$5:$A$8,0))),""),"")</f>
        <v/>
      </c>
      <c r="AE102" s="18">
        <f>IF(Y102=1,IFERROR(IF(AC102&gt;='參數'!$B$9,INDEX('分群統計'!$L$13:$P$16,MATCH(X102,'分群統計'!$A$13:$A$16,0),MATCH(V102,'分群統計'!$L$12:$P$12,0)),INDEX('分群統計'!$J$5:$J$8,MATCH(X102,'分群統計'!$A$5:$A$8,0))),""),"")</f>
        <v/>
      </c>
      <c r="AF102" s="31">
        <f>IF(ISNUMBER(AE102),IF(AE102&gt;0,MAX(-3,MIN(3,(N102-AD102)/AE102)),0),"")</f>
        <v/>
      </c>
      <c r="AG102" s="30">
        <f>IF(Y102=1,COUNTIFS($B$5:$B$404,B102,$Y$5:$Y$404,1),"")</f>
        <v/>
      </c>
      <c r="AH102" s="30">
        <f>IF(Y102=1,IFERROR(IF(ISNUMBER(INDEX('分群統計'!$G$20:$G$59,MATCH(B102,'分群統計'!$A$20:$A$59,0))),INDEX('分群統計'!$H$20:$H$59,MATCH(B102,'分群統計'!$A$20:$A$59,0))+INDEX('分群統計'!$G$20:$G$59,MATCH(B102,'分群統計'!$A$20:$A$59,0))*AU102,""),""),"")</f>
        <v/>
      </c>
      <c r="AI102" s="34">
        <f>IF(ISNUMBER(AH102),N102-AH102,"")</f>
        <v/>
      </c>
      <c r="AJ102" s="30">
        <f>IF(Y102=1,IFERROR(IF(ISNUMBER(INDEX('分群統計'!$G$5:$G$8,MATCH(X102,'分群統計'!$A$5:$A$8,0))),INDEX('分群統計'!$H$5:$H$8,MATCH(X102,'分群統計'!$A$5:$A$8,0))+INDEX('分群統計'!$G$5:$G$8,MATCH(X102,'分群統計'!$A$5:$A$8,0))*AU102,""),""),"")</f>
        <v/>
      </c>
      <c r="AK102" s="34">
        <f>IF(ISNUMBER(AJ102),N102-AJ102,"")</f>
        <v/>
      </c>
      <c r="AL102" s="21">
        <f>IF(ISNUMBER(AJ102),IF(AJ102&gt;0,AK102/AJ102,""),"")</f>
        <v/>
      </c>
      <c r="AM102" s="31">
        <f>IF(AY102&lt;&gt;1,"",IFERROR(IF(INDEX('分群統計'!$K$5:$K$8,MATCH(X102,'分群統計'!$A$5:$A$8,0))&lt;3,"",IF(INDEX('分群統計'!$M$5:$M$8,MATCH(X102,'分群統計'!$A$5:$A$8,0))&gt;0,MAX(-3,MIN(3,(AX102-INDEX('分群統計'!$L$5:$L$8,MATCH(X102,'分群統計'!$A$5:$A$8,0)))/INDEX('分群統計'!$M$5:$M$8,MATCH(X102,'分群統計'!$A$5:$A$8,0)))),0)),""))</f>
        <v/>
      </c>
      <c r="AN102" s="31">
        <f>IF(ISNUMBER(AB102),IF(Z102&gt;0,AB102/Z102*100,""),"")</f>
        <v/>
      </c>
      <c r="AO102" s="31">
        <f>IF(BA102&lt;&gt;1,"",IFERROR(IF(INDEX('分群統計'!$N$5:$N$8,MATCH(X102,'分群統計'!$A$5:$A$8,0))&lt;3,"",IF(INDEX('分群統計'!$P$5:$P$8,MATCH(X102,'分群統計'!$A$5:$A$8,0))&gt;0,MAX(-3,MIN(3,(AZ102-INDEX('分群統計'!$O$5:$O$8,MATCH(X102,'分群統計'!$A$5:$A$8,0)))/INDEX('分群統計'!$P$5:$P$8,MATCH(X102,'分群統計'!$A$5:$A$8,0)))),0)),""))</f>
        <v/>
      </c>
      <c r="AP102" s="31">
        <f>IF(BC102&lt;&gt;1,"",IFERROR(IF(INDEX('分群統計'!$Q$5:$Q$8,MATCH(X102,'分群統計'!$A$5:$A$8,0))&lt;3,"",IF(INDEX('分群統計'!$S$5:$S$8,MATCH(X102,'分群統計'!$A$5:$A$8,0))&gt;0,MAX(-3,MIN(3,(BB102-INDEX('分群統計'!$R$5:$R$8,MATCH(X102,'分群統計'!$A$5:$A$8,0)))/INDEX('分群統計'!$S$5:$S$8,MATCH(X102,'分群統計'!$A$5:$A$8,0)))),0)),""))</f>
        <v/>
      </c>
      <c r="AQ102" s="31">
        <f>IF(Y102=1,(IF(ISNUMBER(AF102),AF102,0)*'參數'!$B$13+IF(ISNUMBER(AM102),AM102,0)*'參數'!$B$14+IF(ISNUMBER(AO102),AO102,0)*'參數'!$B$15+IF(ISNUMBER(AP102),AP102,0)*'參數'!$B$16)/('參數'!$B$13+'參數'!$B$14+'參數'!$B$15+'參數'!$B$16),"")</f>
        <v/>
      </c>
      <c r="AR102" s="35">
        <f>IF(Y102=1,(SUMPRODUCT(($X$5:$X$404=X102)*($Y$5:$Y$404=1)*($BD$5:$BD$404&gt;BD102))+1)/COUNTIFS($X$5:$X$404,X102,$Y$5:$Y$404,1),"")</f>
        <v/>
      </c>
      <c r="AS102" s="8">
        <f>IF(ISNUMBER(AR102),IF(AR102&lt;='參數'!$B$18,"加碼候選",IF(AR102&gt;'參數'!$B$19,"減碼候選","")),"")</f>
        <v/>
      </c>
      <c r="AT102" s="7">
        <f>IF(Y102=1,N102,0)</f>
        <v/>
      </c>
      <c r="AU102" s="7">
        <f>IF(Y102=1,LN(O102),0)</f>
        <v/>
      </c>
      <c r="AV102" s="36">
        <f>IF(Y102=1,IF(ISNUMBER(F102),F102,0),0)</f>
        <v/>
      </c>
      <c r="AW102" s="7">
        <f>IF(Y102=1,Z102,0)</f>
        <v/>
      </c>
      <c r="AX102" s="7">
        <f>IF(Y102=1,IF(ISNUMBER(AL102),AL102,0),0)</f>
        <v/>
      </c>
      <c r="AY102" s="7">
        <f>IF(Y102=1,IF(ISNUMBER(AL102),1,0),0)</f>
        <v/>
      </c>
      <c r="AZ102" s="7">
        <f>IF(Y102=1,IF(ISNUMBER(AN102),AN102,0),0)</f>
        <v/>
      </c>
      <c r="BA102" s="7">
        <f>IF(Y102=1,IF(ISNUMBER(AN102),1,0),0)</f>
        <v/>
      </c>
      <c r="BB102" s="7">
        <f>IF(Y102=1,IF(ISNUMBER(T102),T102,0),0)</f>
        <v/>
      </c>
      <c r="BC102" s="7">
        <f>IF(Y102=1,IF(ISNUMBER(T102),1,0),0)</f>
        <v/>
      </c>
      <c r="BD102" s="7">
        <f>IF(Y102=1,AQ102+ROW()/1E9,-1E9)</f>
        <v/>
      </c>
      <c r="BE102" s="7">
        <f>IF(Y102=1,AQ102+ROW()/1E9,1E9)</f>
        <v/>
      </c>
    </row>
    <row r="103">
      <c r="A103" s="16" t="n"/>
      <c r="B103" s="8">
        <f>IF($A103="","",BDP($A103,B$3))</f>
        <v/>
      </c>
      <c r="C103" s="8">
        <f>IF($A103="","",BDP($A103,C$3))</f>
        <v/>
      </c>
      <c r="D103" s="28">
        <f>IF($A103="","",BDP($A103,D$3))</f>
        <v/>
      </c>
      <c r="E103" s="29">
        <f>IF($A103="","",BDP($A103,E$3))</f>
        <v/>
      </c>
      <c r="F103" s="17">
        <f>IF($A103="","",BDP($A103,F$3))</f>
        <v/>
      </c>
      <c r="G103" s="8">
        <f>IF($A103="","",BDP($A103,G$3))</f>
        <v/>
      </c>
      <c r="H103" s="8">
        <f>IF($A103="","",BDP($A103,H$3))</f>
        <v/>
      </c>
      <c r="I103" s="8">
        <f>IF($A103="","",BDP($A103,I$3))</f>
        <v/>
      </c>
      <c r="J103" s="8">
        <f>IF($A103="","",BDP($A103,J$3))</f>
        <v/>
      </c>
      <c r="K103" s="8">
        <f>IF($A103="","",BDP($A103,K$3))</f>
        <v/>
      </c>
      <c r="L103" s="28">
        <f>IF($A103="","",BDP($A103,L$3))</f>
        <v/>
      </c>
      <c r="M103" s="28">
        <f>IF($A103="","",BDP($A103,M$3))</f>
        <v/>
      </c>
      <c r="N103" s="30">
        <f>IF($A103="","",BDP($A103,N$3))</f>
        <v/>
      </c>
      <c r="O103" s="31">
        <f>IF($A103="","",BDP($A103,O$3))</f>
        <v/>
      </c>
      <c r="P103" s="30">
        <f>IF($A103="","",BDH($A103,$N$3,'參數'!$B$5,'參數'!$B$5,"Days=A","Fill=P","Dates=H"))</f>
        <v/>
      </c>
      <c r="Q103" s="30">
        <f>IF($A103="","",BDH($A103,$N$3,'參數'!$B$6,'參數'!$B$6,"Days=A","Fill=P","Dates=H"))</f>
        <v/>
      </c>
      <c r="R103" s="30">
        <f>IF($A103="","",BDH($A103,$N$3,'參數'!$B$7,'參數'!$B$7,"Days=A","Fill=P","Dates=H"))</f>
        <v/>
      </c>
      <c r="S103" s="32">
        <f>IF($A103="","",IFERROR(INDEX('發行人'!$A$5:$A$44,MATCH(B103,'發行人'!$D$5:$D$44,0)),"未對應"))</f>
        <v/>
      </c>
      <c r="T103" s="24">
        <f>IF($A103="","",IFERROR(INDEX('發行人'!$G$5:$G$44,MATCH(B103,'發行人'!$D$5:$D$44,0))+0,""))</f>
        <v/>
      </c>
      <c r="U103" s="18">
        <f>IF(ISNUMBER(E103),YEARFRAC('參數'!$B$4,E103),"")</f>
        <v/>
      </c>
      <c r="V103" s="8">
        <f>IF(U103="","",IF(U103&lt;3,"1-3y",IF(U103&lt;5,"3-5y",IF(U103&lt;7,"5-7y",IF(U103&lt;10,"7-10y","10y+")))))</f>
        <v/>
      </c>
      <c r="W103" s="30">
        <f>IF($A103="","",IFERROR(INDEX('參數'!$B$24:$B$45,MATCH(G103,'參數'!$A$24:$A$45,0)),""))</f>
        <v/>
      </c>
      <c r="X103" s="8">
        <f>IF($A103="","",IFERROR(INDEX('參數'!$C$24:$C$45,MATCH(G103,'參數'!$A$24:$A$45,0)),""))</f>
        <v/>
      </c>
      <c r="Y103" s="30">
        <f>IF(AND(ISNUMBER(N103),ISNUMBER(O103),ISNUMBER(U103)),IF(AND(O103&gt;0,X103&lt;&gt;""),1,0),0)</f>
        <v/>
      </c>
      <c r="Z103" s="17">
        <f>IF(Y103=1,O103*N103,"")</f>
        <v/>
      </c>
      <c r="AA103" s="33">
        <f>IF(Y103=1,IF(ISNUMBER(Q103),N103-Q103,""),"")</f>
        <v/>
      </c>
      <c r="AB103" s="33">
        <f>IF(Y103=1,IF(AND(ISNUMBER(P103),ISNUMBER(R103)),R103*5/12-O103*(P103-R103),""),"")</f>
        <v/>
      </c>
      <c r="AC103" s="30">
        <f>IF(Y103=1,COUNTIFS($X$5:$X$404,X103,$V$5:$V$404,V103,$Y$5:$Y$404,1),"")</f>
        <v/>
      </c>
      <c r="AD103" s="30">
        <f>IF(Y103=1,IFERROR(IF(AC103&gt;='參數'!$B$9,INDEX('分群統計'!$G$13:$K$16,MATCH(X103,'分群統計'!$A$13:$A$16,0),MATCH(V103,'分群統計'!$G$12:$K$12,0)),INDEX('分群統計'!$I$5:$I$8,MATCH(X103,'分群統計'!$A$5:$A$8,0))),""),"")</f>
        <v/>
      </c>
      <c r="AE103" s="18">
        <f>IF(Y103=1,IFERROR(IF(AC103&gt;='參數'!$B$9,INDEX('分群統計'!$L$13:$P$16,MATCH(X103,'分群統計'!$A$13:$A$16,0),MATCH(V103,'分群統計'!$L$12:$P$12,0)),INDEX('分群統計'!$J$5:$J$8,MATCH(X103,'分群統計'!$A$5:$A$8,0))),""),"")</f>
        <v/>
      </c>
      <c r="AF103" s="31">
        <f>IF(ISNUMBER(AE103),IF(AE103&gt;0,MAX(-3,MIN(3,(N103-AD103)/AE103)),0),"")</f>
        <v/>
      </c>
      <c r="AG103" s="30">
        <f>IF(Y103=1,COUNTIFS($B$5:$B$404,B103,$Y$5:$Y$404,1),"")</f>
        <v/>
      </c>
      <c r="AH103" s="30">
        <f>IF(Y103=1,IFERROR(IF(ISNUMBER(INDEX('分群統計'!$G$20:$G$59,MATCH(B103,'分群統計'!$A$20:$A$59,0))),INDEX('分群統計'!$H$20:$H$59,MATCH(B103,'分群統計'!$A$20:$A$59,0))+INDEX('分群統計'!$G$20:$G$59,MATCH(B103,'分群統計'!$A$20:$A$59,0))*AU103,""),""),"")</f>
        <v/>
      </c>
      <c r="AI103" s="34">
        <f>IF(ISNUMBER(AH103),N103-AH103,"")</f>
        <v/>
      </c>
      <c r="AJ103" s="30">
        <f>IF(Y103=1,IFERROR(IF(ISNUMBER(INDEX('分群統計'!$G$5:$G$8,MATCH(X103,'分群統計'!$A$5:$A$8,0))),INDEX('分群統計'!$H$5:$H$8,MATCH(X103,'分群統計'!$A$5:$A$8,0))+INDEX('分群統計'!$G$5:$G$8,MATCH(X103,'分群統計'!$A$5:$A$8,0))*AU103,""),""),"")</f>
        <v/>
      </c>
      <c r="AK103" s="34">
        <f>IF(ISNUMBER(AJ103),N103-AJ103,"")</f>
        <v/>
      </c>
      <c r="AL103" s="21">
        <f>IF(ISNUMBER(AJ103),IF(AJ103&gt;0,AK103/AJ103,""),"")</f>
        <v/>
      </c>
      <c r="AM103" s="31">
        <f>IF(AY103&lt;&gt;1,"",IFERROR(IF(INDEX('分群統計'!$K$5:$K$8,MATCH(X103,'分群統計'!$A$5:$A$8,0))&lt;3,"",IF(INDEX('分群統計'!$M$5:$M$8,MATCH(X103,'分群統計'!$A$5:$A$8,0))&gt;0,MAX(-3,MIN(3,(AX103-INDEX('分群統計'!$L$5:$L$8,MATCH(X103,'分群統計'!$A$5:$A$8,0)))/INDEX('分群統計'!$M$5:$M$8,MATCH(X103,'分群統計'!$A$5:$A$8,0)))),0)),""))</f>
        <v/>
      </c>
      <c r="AN103" s="31">
        <f>IF(ISNUMBER(AB103),IF(Z103&gt;0,AB103/Z103*100,""),"")</f>
        <v/>
      </c>
      <c r="AO103" s="31">
        <f>IF(BA103&lt;&gt;1,"",IFERROR(IF(INDEX('分群統計'!$N$5:$N$8,MATCH(X103,'分群統計'!$A$5:$A$8,0))&lt;3,"",IF(INDEX('分群統計'!$P$5:$P$8,MATCH(X103,'分群統計'!$A$5:$A$8,0))&gt;0,MAX(-3,MIN(3,(AZ103-INDEX('分群統計'!$O$5:$O$8,MATCH(X103,'分群統計'!$A$5:$A$8,0)))/INDEX('分群統計'!$P$5:$P$8,MATCH(X103,'分群統計'!$A$5:$A$8,0)))),0)),""))</f>
        <v/>
      </c>
      <c r="AP103" s="31">
        <f>IF(BC103&lt;&gt;1,"",IFERROR(IF(INDEX('分群統計'!$Q$5:$Q$8,MATCH(X103,'分群統計'!$A$5:$A$8,0))&lt;3,"",IF(INDEX('分群統計'!$S$5:$S$8,MATCH(X103,'分群統計'!$A$5:$A$8,0))&gt;0,MAX(-3,MIN(3,(BB103-INDEX('分群統計'!$R$5:$R$8,MATCH(X103,'分群統計'!$A$5:$A$8,0)))/INDEX('分群統計'!$S$5:$S$8,MATCH(X103,'分群統計'!$A$5:$A$8,0)))),0)),""))</f>
        <v/>
      </c>
      <c r="AQ103" s="31">
        <f>IF(Y103=1,(IF(ISNUMBER(AF103),AF103,0)*'參數'!$B$13+IF(ISNUMBER(AM103),AM103,0)*'參數'!$B$14+IF(ISNUMBER(AO103),AO103,0)*'參數'!$B$15+IF(ISNUMBER(AP103),AP103,0)*'參數'!$B$16)/('參數'!$B$13+'參數'!$B$14+'參數'!$B$15+'參數'!$B$16),"")</f>
        <v/>
      </c>
      <c r="AR103" s="35">
        <f>IF(Y103=1,(SUMPRODUCT(($X$5:$X$404=X103)*($Y$5:$Y$404=1)*($BD$5:$BD$404&gt;BD103))+1)/COUNTIFS($X$5:$X$404,X103,$Y$5:$Y$404,1),"")</f>
        <v/>
      </c>
      <c r="AS103" s="8">
        <f>IF(ISNUMBER(AR103),IF(AR103&lt;='參數'!$B$18,"加碼候選",IF(AR103&gt;'參數'!$B$19,"減碼候選","")),"")</f>
        <v/>
      </c>
      <c r="AT103" s="7">
        <f>IF(Y103=1,N103,0)</f>
        <v/>
      </c>
      <c r="AU103" s="7">
        <f>IF(Y103=1,LN(O103),0)</f>
        <v/>
      </c>
      <c r="AV103" s="36">
        <f>IF(Y103=1,IF(ISNUMBER(F103),F103,0),0)</f>
        <v/>
      </c>
      <c r="AW103" s="7">
        <f>IF(Y103=1,Z103,0)</f>
        <v/>
      </c>
      <c r="AX103" s="7">
        <f>IF(Y103=1,IF(ISNUMBER(AL103),AL103,0),0)</f>
        <v/>
      </c>
      <c r="AY103" s="7">
        <f>IF(Y103=1,IF(ISNUMBER(AL103),1,0),0)</f>
        <v/>
      </c>
      <c r="AZ103" s="7">
        <f>IF(Y103=1,IF(ISNUMBER(AN103),AN103,0),0)</f>
        <v/>
      </c>
      <c r="BA103" s="7">
        <f>IF(Y103=1,IF(ISNUMBER(AN103),1,0),0)</f>
        <v/>
      </c>
      <c r="BB103" s="7">
        <f>IF(Y103=1,IF(ISNUMBER(T103),T103,0),0)</f>
        <v/>
      </c>
      <c r="BC103" s="7">
        <f>IF(Y103=1,IF(ISNUMBER(T103),1,0),0)</f>
        <v/>
      </c>
      <c r="BD103" s="7">
        <f>IF(Y103=1,AQ103+ROW()/1E9,-1E9)</f>
        <v/>
      </c>
      <c r="BE103" s="7">
        <f>IF(Y103=1,AQ103+ROW()/1E9,1E9)</f>
        <v/>
      </c>
    </row>
    <row r="104">
      <c r="A104" s="16" t="n"/>
      <c r="B104" s="8">
        <f>IF($A104="","",BDP($A104,B$3))</f>
        <v/>
      </c>
      <c r="C104" s="8">
        <f>IF($A104="","",BDP($A104,C$3))</f>
        <v/>
      </c>
      <c r="D104" s="28">
        <f>IF($A104="","",BDP($A104,D$3))</f>
        <v/>
      </c>
      <c r="E104" s="29">
        <f>IF($A104="","",BDP($A104,E$3))</f>
        <v/>
      </c>
      <c r="F104" s="17">
        <f>IF($A104="","",BDP($A104,F$3))</f>
        <v/>
      </c>
      <c r="G104" s="8">
        <f>IF($A104="","",BDP($A104,G$3))</f>
        <v/>
      </c>
      <c r="H104" s="8">
        <f>IF($A104="","",BDP($A104,H$3))</f>
        <v/>
      </c>
      <c r="I104" s="8">
        <f>IF($A104="","",BDP($A104,I$3))</f>
        <v/>
      </c>
      <c r="J104" s="8">
        <f>IF($A104="","",BDP($A104,J$3))</f>
        <v/>
      </c>
      <c r="K104" s="8">
        <f>IF($A104="","",BDP($A104,K$3))</f>
        <v/>
      </c>
      <c r="L104" s="28">
        <f>IF($A104="","",BDP($A104,L$3))</f>
        <v/>
      </c>
      <c r="M104" s="28">
        <f>IF($A104="","",BDP($A104,M$3))</f>
        <v/>
      </c>
      <c r="N104" s="30">
        <f>IF($A104="","",BDP($A104,N$3))</f>
        <v/>
      </c>
      <c r="O104" s="31">
        <f>IF($A104="","",BDP($A104,O$3))</f>
        <v/>
      </c>
      <c r="P104" s="30">
        <f>IF($A104="","",BDH($A104,$N$3,'參數'!$B$5,'參數'!$B$5,"Days=A","Fill=P","Dates=H"))</f>
        <v/>
      </c>
      <c r="Q104" s="30">
        <f>IF($A104="","",BDH($A104,$N$3,'參數'!$B$6,'參數'!$B$6,"Days=A","Fill=P","Dates=H"))</f>
        <v/>
      </c>
      <c r="R104" s="30">
        <f>IF($A104="","",BDH($A104,$N$3,'參數'!$B$7,'參數'!$B$7,"Days=A","Fill=P","Dates=H"))</f>
        <v/>
      </c>
      <c r="S104" s="32">
        <f>IF($A104="","",IFERROR(INDEX('發行人'!$A$5:$A$44,MATCH(B104,'發行人'!$D$5:$D$44,0)),"未對應"))</f>
        <v/>
      </c>
      <c r="T104" s="24">
        <f>IF($A104="","",IFERROR(INDEX('發行人'!$G$5:$G$44,MATCH(B104,'發行人'!$D$5:$D$44,0))+0,""))</f>
        <v/>
      </c>
      <c r="U104" s="18">
        <f>IF(ISNUMBER(E104),YEARFRAC('參數'!$B$4,E104),"")</f>
        <v/>
      </c>
      <c r="V104" s="8">
        <f>IF(U104="","",IF(U104&lt;3,"1-3y",IF(U104&lt;5,"3-5y",IF(U104&lt;7,"5-7y",IF(U104&lt;10,"7-10y","10y+")))))</f>
        <v/>
      </c>
      <c r="W104" s="30">
        <f>IF($A104="","",IFERROR(INDEX('參數'!$B$24:$B$45,MATCH(G104,'參數'!$A$24:$A$45,0)),""))</f>
        <v/>
      </c>
      <c r="X104" s="8">
        <f>IF($A104="","",IFERROR(INDEX('參數'!$C$24:$C$45,MATCH(G104,'參數'!$A$24:$A$45,0)),""))</f>
        <v/>
      </c>
      <c r="Y104" s="30">
        <f>IF(AND(ISNUMBER(N104),ISNUMBER(O104),ISNUMBER(U104)),IF(AND(O104&gt;0,X104&lt;&gt;""),1,0),0)</f>
        <v/>
      </c>
      <c r="Z104" s="17">
        <f>IF(Y104=1,O104*N104,"")</f>
        <v/>
      </c>
      <c r="AA104" s="33">
        <f>IF(Y104=1,IF(ISNUMBER(Q104),N104-Q104,""),"")</f>
        <v/>
      </c>
      <c r="AB104" s="33">
        <f>IF(Y104=1,IF(AND(ISNUMBER(P104),ISNUMBER(R104)),R104*5/12-O104*(P104-R104),""),"")</f>
        <v/>
      </c>
      <c r="AC104" s="30">
        <f>IF(Y104=1,COUNTIFS($X$5:$X$404,X104,$V$5:$V$404,V104,$Y$5:$Y$404,1),"")</f>
        <v/>
      </c>
      <c r="AD104" s="30">
        <f>IF(Y104=1,IFERROR(IF(AC104&gt;='參數'!$B$9,INDEX('分群統計'!$G$13:$K$16,MATCH(X104,'分群統計'!$A$13:$A$16,0),MATCH(V104,'分群統計'!$G$12:$K$12,0)),INDEX('分群統計'!$I$5:$I$8,MATCH(X104,'分群統計'!$A$5:$A$8,0))),""),"")</f>
        <v/>
      </c>
      <c r="AE104" s="18">
        <f>IF(Y104=1,IFERROR(IF(AC104&gt;='參數'!$B$9,INDEX('分群統計'!$L$13:$P$16,MATCH(X104,'分群統計'!$A$13:$A$16,0),MATCH(V104,'分群統計'!$L$12:$P$12,0)),INDEX('分群統計'!$J$5:$J$8,MATCH(X104,'分群統計'!$A$5:$A$8,0))),""),"")</f>
        <v/>
      </c>
      <c r="AF104" s="31">
        <f>IF(ISNUMBER(AE104),IF(AE104&gt;0,MAX(-3,MIN(3,(N104-AD104)/AE104)),0),"")</f>
        <v/>
      </c>
      <c r="AG104" s="30">
        <f>IF(Y104=1,COUNTIFS($B$5:$B$404,B104,$Y$5:$Y$404,1),"")</f>
        <v/>
      </c>
      <c r="AH104" s="30">
        <f>IF(Y104=1,IFERROR(IF(ISNUMBER(INDEX('分群統計'!$G$20:$G$59,MATCH(B104,'分群統計'!$A$20:$A$59,0))),INDEX('分群統計'!$H$20:$H$59,MATCH(B104,'分群統計'!$A$20:$A$59,0))+INDEX('分群統計'!$G$20:$G$59,MATCH(B104,'分群統計'!$A$20:$A$59,0))*AU104,""),""),"")</f>
        <v/>
      </c>
      <c r="AI104" s="34">
        <f>IF(ISNUMBER(AH104),N104-AH104,"")</f>
        <v/>
      </c>
      <c r="AJ104" s="30">
        <f>IF(Y104=1,IFERROR(IF(ISNUMBER(INDEX('分群統計'!$G$5:$G$8,MATCH(X104,'分群統計'!$A$5:$A$8,0))),INDEX('分群統計'!$H$5:$H$8,MATCH(X104,'分群統計'!$A$5:$A$8,0))+INDEX('分群統計'!$G$5:$G$8,MATCH(X104,'分群統計'!$A$5:$A$8,0))*AU104,""),""),"")</f>
        <v/>
      </c>
      <c r="AK104" s="34">
        <f>IF(ISNUMBER(AJ104),N104-AJ104,"")</f>
        <v/>
      </c>
      <c r="AL104" s="21">
        <f>IF(ISNUMBER(AJ104),IF(AJ104&gt;0,AK104/AJ104,""),"")</f>
        <v/>
      </c>
      <c r="AM104" s="31">
        <f>IF(AY104&lt;&gt;1,"",IFERROR(IF(INDEX('分群統計'!$K$5:$K$8,MATCH(X104,'分群統計'!$A$5:$A$8,0))&lt;3,"",IF(INDEX('分群統計'!$M$5:$M$8,MATCH(X104,'分群統計'!$A$5:$A$8,0))&gt;0,MAX(-3,MIN(3,(AX104-INDEX('分群統計'!$L$5:$L$8,MATCH(X104,'分群統計'!$A$5:$A$8,0)))/INDEX('分群統計'!$M$5:$M$8,MATCH(X104,'分群統計'!$A$5:$A$8,0)))),0)),""))</f>
        <v/>
      </c>
      <c r="AN104" s="31">
        <f>IF(ISNUMBER(AB104),IF(Z104&gt;0,AB104/Z104*100,""),"")</f>
        <v/>
      </c>
      <c r="AO104" s="31">
        <f>IF(BA104&lt;&gt;1,"",IFERROR(IF(INDEX('分群統計'!$N$5:$N$8,MATCH(X104,'分群統計'!$A$5:$A$8,0))&lt;3,"",IF(INDEX('分群統計'!$P$5:$P$8,MATCH(X104,'分群統計'!$A$5:$A$8,0))&gt;0,MAX(-3,MIN(3,(AZ104-INDEX('分群統計'!$O$5:$O$8,MATCH(X104,'分群統計'!$A$5:$A$8,0)))/INDEX('分群統計'!$P$5:$P$8,MATCH(X104,'分群統計'!$A$5:$A$8,0)))),0)),""))</f>
        <v/>
      </c>
      <c r="AP104" s="31">
        <f>IF(BC104&lt;&gt;1,"",IFERROR(IF(INDEX('分群統計'!$Q$5:$Q$8,MATCH(X104,'分群統計'!$A$5:$A$8,0))&lt;3,"",IF(INDEX('分群統計'!$S$5:$S$8,MATCH(X104,'分群統計'!$A$5:$A$8,0))&gt;0,MAX(-3,MIN(3,(BB104-INDEX('分群統計'!$R$5:$R$8,MATCH(X104,'分群統計'!$A$5:$A$8,0)))/INDEX('分群統計'!$S$5:$S$8,MATCH(X104,'分群統計'!$A$5:$A$8,0)))),0)),""))</f>
        <v/>
      </c>
      <c r="AQ104" s="31">
        <f>IF(Y104=1,(IF(ISNUMBER(AF104),AF104,0)*'參數'!$B$13+IF(ISNUMBER(AM104),AM104,0)*'參數'!$B$14+IF(ISNUMBER(AO104),AO104,0)*'參數'!$B$15+IF(ISNUMBER(AP104),AP104,0)*'參數'!$B$16)/('參數'!$B$13+'參數'!$B$14+'參數'!$B$15+'參數'!$B$16),"")</f>
        <v/>
      </c>
      <c r="AR104" s="35">
        <f>IF(Y104=1,(SUMPRODUCT(($X$5:$X$404=X104)*($Y$5:$Y$404=1)*($BD$5:$BD$404&gt;BD104))+1)/COUNTIFS($X$5:$X$404,X104,$Y$5:$Y$404,1),"")</f>
        <v/>
      </c>
      <c r="AS104" s="8">
        <f>IF(ISNUMBER(AR104),IF(AR104&lt;='參數'!$B$18,"加碼候選",IF(AR104&gt;'參數'!$B$19,"減碼候選","")),"")</f>
        <v/>
      </c>
      <c r="AT104" s="7">
        <f>IF(Y104=1,N104,0)</f>
        <v/>
      </c>
      <c r="AU104" s="7">
        <f>IF(Y104=1,LN(O104),0)</f>
        <v/>
      </c>
      <c r="AV104" s="36">
        <f>IF(Y104=1,IF(ISNUMBER(F104),F104,0),0)</f>
        <v/>
      </c>
      <c r="AW104" s="7">
        <f>IF(Y104=1,Z104,0)</f>
        <v/>
      </c>
      <c r="AX104" s="7">
        <f>IF(Y104=1,IF(ISNUMBER(AL104),AL104,0),0)</f>
        <v/>
      </c>
      <c r="AY104" s="7">
        <f>IF(Y104=1,IF(ISNUMBER(AL104),1,0),0)</f>
        <v/>
      </c>
      <c r="AZ104" s="7">
        <f>IF(Y104=1,IF(ISNUMBER(AN104),AN104,0),0)</f>
        <v/>
      </c>
      <c r="BA104" s="7">
        <f>IF(Y104=1,IF(ISNUMBER(AN104),1,0),0)</f>
        <v/>
      </c>
      <c r="BB104" s="7">
        <f>IF(Y104=1,IF(ISNUMBER(T104),T104,0),0)</f>
        <v/>
      </c>
      <c r="BC104" s="7">
        <f>IF(Y104=1,IF(ISNUMBER(T104),1,0),0)</f>
        <v/>
      </c>
      <c r="BD104" s="7">
        <f>IF(Y104=1,AQ104+ROW()/1E9,-1E9)</f>
        <v/>
      </c>
      <c r="BE104" s="7">
        <f>IF(Y104=1,AQ104+ROW()/1E9,1E9)</f>
        <v/>
      </c>
    </row>
    <row r="105">
      <c r="A105" s="16" t="n"/>
      <c r="B105" s="8">
        <f>IF($A105="","",BDP($A105,B$3))</f>
        <v/>
      </c>
      <c r="C105" s="8">
        <f>IF($A105="","",BDP($A105,C$3))</f>
        <v/>
      </c>
      <c r="D105" s="28">
        <f>IF($A105="","",BDP($A105,D$3))</f>
        <v/>
      </c>
      <c r="E105" s="29">
        <f>IF($A105="","",BDP($A105,E$3))</f>
        <v/>
      </c>
      <c r="F105" s="17">
        <f>IF($A105="","",BDP($A105,F$3))</f>
        <v/>
      </c>
      <c r="G105" s="8">
        <f>IF($A105="","",BDP($A105,G$3))</f>
        <v/>
      </c>
      <c r="H105" s="8">
        <f>IF($A105="","",BDP($A105,H$3))</f>
        <v/>
      </c>
      <c r="I105" s="8">
        <f>IF($A105="","",BDP($A105,I$3))</f>
        <v/>
      </c>
      <c r="J105" s="8">
        <f>IF($A105="","",BDP($A105,J$3))</f>
        <v/>
      </c>
      <c r="K105" s="8">
        <f>IF($A105="","",BDP($A105,K$3))</f>
        <v/>
      </c>
      <c r="L105" s="28">
        <f>IF($A105="","",BDP($A105,L$3))</f>
        <v/>
      </c>
      <c r="M105" s="28">
        <f>IF($A105="","",BDP($A105,M$3))</f>
        <v/>
      </c>
      <c r="N105" s="30">
        <f>IF($A105="","",BDP($A105,N$3))</f>
        <v/>
      </c>
      <c r="O105" s="31">
        <f>IF($A105="","",BDP($A105,O$3))</f>
        <v/>
      </c>
      <c r="P105" s="30">
        <f>IF($A105="","",BDH($A105,$N$3,'參數'!$B$5,'參數'!$B$5,"Days=A","Fill=P","Dates=H"))</f>
        <v/>
      </c>
      <c r="Q105" s="30">
        <f>IF($A105="","",BDH($A105,$N$3,'參數'!$B$6,'參數'!$B$6,"Days=A","Fill=P","Dates=H"))</f>
        <v/>
      </c>
      <c r="R105" s="30">
        <f>IF($A105="","",BDH($A105,$N$3,'參數'!$B$7,'參數'!$B$7,"Days=A","Fill=P","Dates=H"))</f>
        <v/>
      </c>
      <c r="S105" s="32">
        <f>IF($A105="","",IFERROR(INDEX('發行人'!$A$5:$A$44,MATCH(B105,'發行人'!$D$5:$D$44,0)),"未對應"))</f>
        <v/>
      </c>
      <c r="T105" s="24">
        <f>IF($A105="","",IFERROR(INDEX('發行人'!$G$5:$G$44,MATCH(B105,'發行人'!$D$5:$D$44,0))+0,""))</f>
        <v/>
      </c>
      <c r="U105" s="18">
        <f>IF(ISNUMBER(E105),YEARFRAC('參數'!$B$4,E105),"")</f>
        <v/>
      </c>
      <c r="V105" s="8">
        <f>IF(U105="","",IF(U105&lt;3,"1-3y",IF(U105&lt;5,"3-5y",IF(U105&lt;7,"5-7y",IF(U105&lt;10,"7-10y","10y+")))))</f>
        <v/>
      </c>
      <c r="W105" s="30">
        <f>IF($A105="","",IFERROR(INDEX('參數'!$B$24:$B$45,MATCH(G105,'參數'!$A$24:$A$45,0)),""))</f>
        <v/>
      </c>
      <c r="X105" s="8">
        <f>IF($A105="","",IFERROR(INDEX('參數'!$C$24:$C$45,MATCH(G105,'參數'!$A$24:$A$45,0)),""))</f>
        <v/>
      </c>
      <c r="Y105" s="30">
        <f>IF(AND(ISNUMBER(N105),ISNUMBER(O105),ISNUMBER(U105)),IF(AND(O105&gt;0,X105&lt;&gt;""),1,0),0)</f>
        <v/>
      </c>
      <c r="Z105" s="17">
        <f>IF(Y105=1,O105*N105,"")</f>
        <v/>
      </c>
      <c r="AA105" s="33">
        <f>IF(Y105=1,IF(ISNUMBER(Q105),N105-Q105,""),"")</f>
        <v/>
      </c>
      <c r="AB105" s="33">
        <f>IF(Y105=1,IF(AND(ISNUMBER(P105),ISNUMBER(R105)),R105*5/12-O105*(P105-R105),""),"")</f>
        <v/>
      </c>
      <c r="AC105" s="30">
        <f>IF(Y105=1,COUNTIFS($X$5:$X$404,X105,$V$5:$V$404,V105,$Y$5:$Y$404,1),"")</f>
        <v/>
      </c>
      <c r="AD105" s="30">
        <f>IF(Y105=1,IFERROR(IF(AC105&gt;='參數'!$B$9,INDEX('分群統計'!$G$13:$K$16,MATCH(X105,'分群統計'!$A$13:$A$16,0),MATCH(V105,'分群統計'!$G$12:$K$12,0)),INDEX('分群統計'!$I$5:$I$8,MATCH(X105,'分群統計'!$A$5:$A$8,0))),""),"")</f>
        <v/>
      </c>
      <c r="AE105" s="18">
        <f>IF(Y105=1,IFERROR(IF(AC105&gt;='參數'!$B$9,INDEX('分群統計'!$L$13:$P$16,MATCH(X105,'分群統計'!$A$13:$A$16,0),MATCH(V105,'分群統計'!$L$12:$P$12,0)),INDEX('分群統計'!$J$5:$J$8,MATCH(X105,'分群統計'!$A$5:$A$8,0))),""),"")</f>
        <v/>
      </c>
      <c r="AF105" s="31">
        <f>IF(ISNUMBER(AE105),IF(AE105&gt;0,MAX(-3,MIN(3,(N105-AD105)/AE105)),0),"")</f>
        <v/>
      </c>
      <c r="AG105" s="30">
        <f>IF(Y105=1,COUNTIFS($B$5:$B$404,B105,$Y$5:$Y$404,1),"")</f>
        <v/>
      </c>
      <c r="AH105" s="30">
        <f>IF(Y105=1,IFERROR(IF(ISNUMBER(INDEX('分群統計'!$G$20:$G$59,MATCH(B105,'分群統計'!$A$20:$A$59,0))),INDEX('分群統計'!$H$20:$H$59,MATCH(B105,'分群統計'!$A$20:$A$59,0))+INDEX('分群統計'!$G$20:$G$59,MATCH(B105,'分群統計'!$A$20:$A$59,0))*AU105,""),""),"")</f>
        <v/>
      </c>
      <c r="AI105" s="34">
        <f>IF(ISNUMBER(AH105),N105-AH105,"")</f>
        <v/>
      </c>
      <c r="AJ105" s="30">
        <f>IF(Y105=1,IFERROR(IF(ISNUMBER(INDEX('分群統計'!$G$5:$G$8,MATCH(X105,'分群統計'!$A$5:$A$8,0))),INDEX('分群統計'!$H$5:$H$8,MATCH(X105,'分群統計'!$A$5:$A$8,0))+INDEX('分群統計'!$G$5:$G$8,MATCH(X105,'分群統計'!$A$5:$A$8,0))*AU105,""),""),"")</f>
        <v/>
      </c>
      <c r="AK105" s="34">
        <f>IF(ISNUMBER(AJ105),N105-AJ105,"")</f>
        <v/>
      </c>
      <c r="AL105" s="21">
        <f>IF(ISNUMBER(AJ105),IF(AJ105&gt;0,AK105/AJ105,""),"")</f>
        <v/>
      </c>
      <c r="AM105" s="31">
        <f>IF(AY105&lt;&gt;1,"",IFERROR(IF(INDEX('分群統計'!$K$5:$K$8,MATCH(X105,'分群統計'!$A$5:$A$8,0))&lt;3,"",IF(INDEX('分群統計'!$M$5:$M$8,MATCH(X105,'分群統計'!$A$5:$A$8,0))&gt;0,MAX(-3,MIN(3,(AX105-INDEX('分群統計'!$L$5:$L$8,MATCH(X105,'分群統計'!$A$5:$A$8,0)))/INDEX('分群統計'!$M$5:$M$8,MATCH(X105,'分群統計'!$A$5:$A$8,0)))),0)),""))</f>
        <v/>
      </c>
      <c r="AN105" s="31">
        <f>IF(ISNUMBER(AB105),IF(Z105&gt;0,AB105/Z105*100,""),"")</f>
        <v/>
      </c>
      <c r="AO105" s="31">
        <f>IF(BA105&lt;&gt;1,"",IFERROR(IF(INDEX('分群統計'!$N$5:$N$8,MATCH(X105,'分群統計'!$A$5:$A$8,0))&lt;3,"",IF(INDEX('分群統計'!$P$5:$P$8,MATCH(X105,'分群統計'!$A$5:$A$8,0))&gt;0,MAX(-3,MIN(3,(AZ105-INDEX('分群統計'!$O$5:$O$8,MATCH(X105,'分群統計'!$A$5:$A$8,0)))/INDEX('分群統計'!$P$5:$P$8,MATCH(X105,'分群統計'!$A$5:$A$8,0)))),0)),""))</f>
        <v/>
      </c>
      <c r="AP105" s="31">
        <f>IF(BC105&lt;&gt;1,"",IFERROR(IF(INDEX('分群統計'!$Q$5:$Q$8,MATCH(X105,'分群統計'!$A$5:$A$8,0))&lt;3,"",IF(INDEX('分群統計'!$S$5:$S$8,MATCH(X105,'分群統計'!$A$5:$A$8,0))&gt;0,MAX(-3,MIN(3,(BB105-INDEX('分群統計'!$R$5:$R$8,MATCH(X105,'分群統計'!$A$5:$A$8,0)))/INDEX('分群統計'!$S$5:$S$8,MATCH(X105,'分群統計'!$A$5:$A$8,0)))),0)),""))</f>
        <v/>
      </c>
      <c r="AQ105" s="31">
        <f>IF(Y105=1,(IF(ISNUMBER(AF105),AF105,0)*'參數'!$B$13+IF(ISNUMBER(AM105),AM105,0)*'參數'!$B$14+IF(ISNUMBER(AO105),AO105,0)*'參數'!$B$15+IF(ISNUMBER(AP105),AP105,0)*'參數'!$B$16)/('參數'!$B$13+'參數'!$B$14+'參數'!$B$15+'參數'!$B$16),"")</f>
        <v/>
      </c>
      <c r="AR105" s="35">
        <f>IF(Y105=1,(SUMPRODUCT(($X$5:$X$404=X105)*($Y$5:$Y$404=1)*($BD$5:$BD$404&gt;BD105))+1)/COUNTIFS($X$5:$X$404,X105,$Y$5:$Y$404,1),"")</f>
        <v/>
      </c>
      <c r="AS105" s="8">
        <f>IF(ISNUMBER(AR105),IF(AR105&lt;='參數'!$B$18,"加碼候選",IF(AR105&gt;'參數'!$B$19,"減碼候選","")),"")</f>
        <v/>
      </c>
      <c r="AT105" s="7">
        <f>IF(Y105=1,N105,0)</f>
        <v/>
      </c>
      <c r="AU105" s="7">
        <f>IF(Y105=1,LN(O105),0)</f>
        <v/>
      </c>
      <c r="AV105" s="36">
        <f>IF(Y105=1,IF(ISNUMBER(F105),F105,0),0)</f>
        <v/>
      </c>
      <c r="AW105" s="7">
        <f>IF(Y105=1,Z105,0)</f>
        <v/>
      </c>
      <c r="AX105" s="7">
        <f>IF(Y105=1,IF(ISNUMBER(AL105),AL105,0),0)</f>
        <v/>
      </c>
      <c r="AY105" s="7">
        <f>IF(Y105=1,IF(ISNUMBER(AL105),1,0),0)</f>
        <v/>
      </c>
      <c r="AZ105" s="7">
        <f>IF(Y105=1,IF(ISNUMBER(AN105),AN105,0),0)</f>
        <v/>
      </c>
      <c r="BA105" s="7">
        <f>IF(Y105=1,IF(ISNUMBER(AN105),1,0),0)</f>
        <v/>
      </c>
      <c r="BB105" s="7">
        <f>IF(Y105=1,IF(ISNUMBER(T105),T105,0),0)</f>
        <v/>
      </c>
      <c r="BC105" s="7">
        <f>IF(Y105=1,IF(ISNUMBER(T105),1,0),0)</f>
        <v/>
      </c>
      <c r="BD105" s="7">
        <f>IF(Y105=1,AQ105+ROW()/1E9,-1E9)</f>
        <v/>
      </c>
      <c r="BE105" s="7">
        <f>IF(Y105=1,AQ105+ROW()/1E9,1E9)</f>
        <v/>
      </c>
    </row>
    <row r="106">
      <c r="A106" s="16" t="n"/>
      <c r="B106" s="8">
        <f>IF($A106="","",BDP($A106,B$3))</f>
        <v/>
      </c>
      <c r="C106" s="8">
        <f>IF($A106="","",BDP($A106,C$3))</f>
        <v/>
      </c>
      <c r="D106" s="28">
        <f>IF($A106="","",BDP($A106,D$3))</f>
        <v/>
      </c>
      <c r="E106" s="29">
        <f>IF($A106="","",BDP($A106,E$3))</f>
        <v/>
      </c>
      <c r="F106" s="17">
        <f>IF($A106="","",BDP($A106,F$3))</f>
        <v/>
      </c>
      <c r="G106" s="8">
        <f>IF($A106="","",BDP($A106,G$3))</f>
        <v/>
      </c>
      <c r="H106" s="8">
        <f>IF($A106="","",BDP($A106,H$3))</f>
        <v/>
      </c>
      <c r="I106" s="8">
        <f>IF($A106="","",BDP($A106,I$3))</f>
        <v/>
      </c>
      <c r="J106" s="8">
        <f>IF($A106="","",BDP($A106,J$3))</f>
        <v/>
      </c>
      <c r="K106" s="8">
        <f>IF($A106="","",BDP($A106,K$3))</f>
        <v/>
      </c>
      <c r="L106" s="28">
        <f>IF($A106="","",BDP($A106,L$3))</f>
        <v/>
      </c>
      <c r="M106" s="28">
        <f>IF($A106="","",BDP($A106,M$3))</f>
        <v/>
      </c>
      <c r="N106" s="30">
        <f>IF($A106="","",BDP($A106,N$3))</f>
        <v/>
      </c>
      <c r="O106" s="31">
        <f>IF($A106="","",BDP($A106,O$3))</f>
        <v/>
      </c>
      <c r="P106" s="30">
        <f>IF($A106="","",BDH($A106,$N$3,'參數'!$B$5,'參數'!$B$5,"Days=A","Fill=P","Dates=H"))</f>
        <v/>
      </c>
      <c r="Q106" s="30">
        <f>IF($A106="","",BDH($A106,$N$3,'參數'!$B$6,'參數'!$B$6,"Days=A","Fill=P","Dates=H"))</f>
        <v/>
      </c>
      <c r="R106" s="30">
        <f>IF($A106="","",BDH($A106,$N$3,'參數'!$B$7,'參數'!$B$7,"Days=A","Fill=P","Dates=H"))</f>
        <v/>
      </c>
      <c r="S106" s="32">
        <f>IF($A106="","",IFERROR(INDEX('發行人'!$A$5:$A$44,MATCH(B106,'發行人'!$D$5:$D$44,0)),"未對應"))</f>
        <v/>
      </c>
      <c r="T106" s="24">
        <f>IF($A106="","",IFERROR(INDEX('發行人'!$G$5:$G$44,MATCH(B106,'發行人'!$D$5:$D$44,0))+0,""))</f>
        <v/>
      </c>
      <c r="U106" s="18">
        <f>IF(ISNUMBER(E106),YEARFRAC('參數'!$B$4,E106),"")</f>
        <v/>
      </c>
      <c r="V106" s="8">
        <f>IF(U106="","",IF(U106&lt;3,"1-3y",IF(U106&lt;5,"3-5y",IF(U106&lt;7,"5-7y",IF(U106&lt;10,"7-10y","10y+")))))</f>
        <v/>
      </c>
      <c r="W106" s="30">
        <f>IF($A106="","",IFERROR(INDEX('參數'!$B$24:$B$45,MATCH(G106,'參數'!$A$24:$A$45,0)),""))</f>
        <v/>
      </c>
      <c r="X106" s="8">
        <f>IF($A106="","",IFERROR(INDEX('參數'!$C$24:$C$45,MATCH(G106,'參數'!$A$24:$A$45,0)),""))</f>
        <v/>
      </c>
      <c r="Y106" s="30">
        <f>IF(AND(ISNUMBER(N106),ISNUMBER(O106),ISNUMBER(U106)),IF(AND(O106&gt;0,X106&lt;&gt;""),1,0),0)</f>
        <v/>
      </c>
      <c r="Z106" s="17">
        <f>IF(Y106=1,O106*N106,"")</f>
        <v/>
      </c>
      <c r="AA106" s="33">
        <f>IF(Y106=1,IF(ISNUMBER(Q106),N106-Q106,""),"")</f>
        <v/>
      </c>
      <c r="AB106" s="33">
        <f>IF(Y106=1,IF(AND(ISNUMBER(P106),ISNUMBER(R106)),R106*5/12-O106*(P106-R106),""),"")</f>
        <v/>
      </c>
      <c r="AC106" s="30">
        <f>IF(Y106=1,COUNTIFS($X$5:$X$404,X106,$V$5:$V$404,V106,$Y$5:$Y$404,1),"")</f>
        <v/>
      </c>
      <c r="AD106" s="30">
        <f>IF(Y106=1,IFERROR(IF(AC106&gt;='參數'!$B$9,INDEX('分群統計'!$G$13:$K$16,MATCH(X106,'分群統計'!$A$13:$A$16,0),MATCH(V106,'分群統計'!$G$12:$K$12,0)),INDEX('分群統計'!$I$5:$I$8,MATCH(X106,'分群統計'!$A$5:$A$8,0))),""),"")</f>
        <v/>
      </c>
      <c r="AE106" s="18">
        <f>IF(Y106=1,IFERROR(IF(AC106&gt;='參數'!$B$9,INDEX('分群統計'!$L$13:$P$16,MATCH(X106,'分群統計'!$A$13:$A$16,0),MATCH(V106,'分群統計'!$L$12:$P$12,0)),INDEX('分群統計'!$J$5:$J$8,MATCH(X106,'分群統計'!$A$5:$A$8,0))),""),"")</f>
        <v/>
      </c>
      <c r="AF106" s="31">
        <f>IF(ISNUMBER(AE106),IF(AE106&gt;0,MAX(-3,MIN(3,(N106-AD106)/AE106)),0),"")</f>
        <v/>
      </c>
      <c r="AG106" s="30">
        <f>IF(Y106=1,COUNTIFS($B$5:$B$404,B106,$Y$5:$Y$404,1),"")</f>
        <v/>
      </c>
      <c r="AH106" s="30">
        <f>IF(Y106=1,IFERROR(IF(ISNUMBER(INDEX('分群統計'!$G$20:$G$59,MATCH(B106,'分群統計'!$A$20:$A$59,0))),INDEX('分群統計'!$H$20:$H$59,MATCH(B106,'分群統計'!$A$20:$A$59,0))+INDEX('分群統計'!$G$20:$G$59,MATCH(B106,'分群統計'!$A$20:$A$59,0))*AU106,""),""),"")</f>
        <v/>
      </c>
      <c r="AI106" s="34">
        <f>IF(ISNUMBER(AH106),N106-AH106,"")</f>
        <v/>
      </c>
      <c r="AJ106" s="30">
        <f>IF(Y106=1,IFERROR(IF(ISNUMBER(INDEX('分群統計'!$G$5:$G$8,MATCH(X106,'分群統計'!$A$5:$A$8,0))),INDEX('分群統計'!$H$5:$H$8,MATCH(X106,'分群統計'!$A$5:$A$8,0))+INDEX('分群統計'!$G$5:$G$8,MATCH(X106,'分群統計'!$A$5:$A$8,0))*AU106,""),""),"")</f>
        <v/>
      </c>
      <c r="AK106" s="34">
        <f>IF(ISNUMBER(AJ106),N106-AJ106,"")</f>
        <v/>
      </c>
      <c r="AL106" s="21">
        <f>IF(ISNUMBER(AJ106),IF(AJ106&gt;0,AK106/AJ106,""),"")</f>
        <v/>
      </c>
      <c r="AM106" s="31">
        <f>IF(AY106&lt;&gt;1,"",IFERROR(IF(INDEX('分群統計'!$K$5:$K$8,MATCH(X106,'分群統計'!$A$5:$A$8,0))&lt;3,"",IF(INDEX('分群統計'!$M$5:$M$8,MATCH(X106,'分群統計'!$A$5:$A$8,0))&gt;0,MAX(-3,MIN(3,(AX106-INDEX('分群統計'!$L$5:$L$8,MATCH(X106,'分群統計'!$A$5:$A$8,0)))/INDEX('分群統計'!$M$5:$M$8,MATCH(X106,'分群統計'!$A$5:$A$8,0)))),0)),""))</f>
        <v/>
      </c>
      <c r="AN106" s="31">
        <f>IF(ISNUMBER(AB106),IF(Z106&gt;0,AB106/Z106*100,""),"")</f>
        <v/>
      </c>
      <c r="AO106" s="31">
        <f>IF(BA106&lt;&gt;1,"",IFERROR(IF(INDEX('分群統計'!$N$5:$N$8,MATCH(X106,'分群統計'!$A$5:$A$8,0))&lt;3,"",IF(INDEX('分群統計'!$P$5:$P$8,MATCH(X106,'分群統計'!$A$5:$A$8,0))&gt;0,MAX(-3,MIN(3,(AZ106-INDEX('分群統計'!$O$5:$O$8,MATCH(X106,'分群統計'!$A$5:$A$8,0)))/INDEX('分群統計'!$P$5:$P$8,MATCH(X106,'分群統計'!$A$5:$A$8,0)))),0)),""))</f>
        <v/>
      </c>
      <c r="AP106" s="31">
        <f>IF(BC106&lt;&gt;1,"",IFERROR(IF(INDEX('分群統計'!$Q$5:$Q$8,MATCH(X106,'分群統計'!$A$5:$A$8,0))&lt;3,"",IF(INDEX('分群統計'!$S$5:$S$8,MATCH(X106,'分群統計'!$A$5:$A$8,0))&gt;0,MAX(-3,MIN(3,(BB106-INDEX('分群統計'!$R$5:$R$8,MATCH(X106,'分群統計'!$A$5:$A$8,0)))/INDEX('分群統計'!$S$5:$S$8,MATCH(X106,'分群統計'!$A$5:$A$8,0)))),0)),""))</f>
        <v/>
      </c>
      <c r="AQ106" s="31">
        <f>IF(Y106=1,(IF(ISNUMBER(AF106),AF106,0)*'參數'!$B$13+IF(ISNUMBER(AM106),AM106,0)*'參數'!$B$14+IF(ISNUMBER(AO106),AO106,0)*'參數'!$B$15+IF(ISNUMBER(AP106),AP106,0)*'參數'!$B$16)/('參數'!$B$13+'參數'!$B$14+'參數'!$B$15+'參數'!$B$16),"")</f>
        <v/>
      </c>
      <c r="AR106" s="35">
        <f>IF(Y106=1,(SUMPRODUCT(($X$5:$X$404=X106)*($Y$5:$Y$404=1)*($BD$5:$BD$404&gt;BD106))+1)/COUNTIFS($X$5:$X$404,X106,$Y$5:$Y$404,1),"")</f>
        <v/>
      </c>
      <c r="AS106" s="8">
        <f>IF(ISNUMBER(AR106),IF(AR106&lt;='參數'!$B$18,"加碼候選",IF(AR106&gt;'參數'!$B$19,"減碼候選","")),"")</f>
        <v/>
      </c>
      <c r="AT106" s="7">
        <f>IF(Y106=1,N106,0)</f>
        <v/>
      </c>
      <c r="AU106" s="7">
        <f>IF(Y106=1,LN(O106),0)</f>
        <v/>
      </c>
      <c r="AV106" s="36">
        <f>IF(Y106=1,IF(ISNUMBER(F106),F106,0),0)</f>
        <v/>
      </c>
      <c r="AW106" s="7">
        <f>IF(Y106=1,Z106,0)</f>
        <v/>
      </c>
      <c r="AX106" s="7">
        <f>IF(Y106=1,IF(ISNUMBER(AL106),AL106,0),0)</f>
        <v/>
      </c>
      <c r="AY106" s="7">
        <f>IF(Y106=1,IF(ISNUMBER(AL106),1,0),0)</f>
        <v/>
      </c>
      <c r="AZ106" s="7">
        <f>IF(Y106=1,IF(ISNUMBER(AN106),AN106,0),0)</f>
        <v/>
      </c>
      <c r="BA106" s="7">
        <f>IF(Y106=1,IF(ISNUMBER(AN106),1,0),0)</f>
        <v/>
      </c>
      <c r="BB106" s="7">
        <f>IF(Y106=1,IF(ISNUMBER(T106),T106,0),0)</f>
        <v/>
      </c>
      <c r="BC106" s="7">
        <f>IF(Y106=1,IF(ISNUMBER(T106),1,0),0)</f>
        <v/>
      </c>
      <c r="BD106" s="7">
        <f>IF(Y106=1,AQ106+ROW()/1E9,-1E9)</f>
        <v/>
      </c>
      <c r="BE106" s="7">
        <f>IF(Y106=1,AQ106+ROW()/1E9,1E9)</f>
        <v/>
      </c>
    </row>
    <row r="107">
      <c r="A107" s="16" t="n"/>
      <c r="B107" s="8">
        <f>IF($A107="","",BDP($A107,B$3))</f>
        <v/>
      </c>
      <c r="C107" s="8">
        <f>IF($A107="","",BDP($A107,C$3))</f>
        <v/>
      </c>
      <c r="D107" s="28">
        <f>IF($A107="","",BDP($A107,D$3))</f>
        <v/>
      </c>
      <c r="E107" s="29">
        <f>IF($A107="","",BDP($A107,E$3))</f>
        <v/>
      </c>
      <c r="F107" s="17">
        <f>IF($A107="","",BDP($A107,F$3))</f>
        <v/>
      </c>
      <c r="G107" s="8">
        <f>IF($A107="","",BDP($A107,G$3))</f>
        <v/>
      </c>
      <c r="H107" s="8">
        <f>IF($A107="","",BDP($A107,H$3))</f>
        <v/>
      </c>
      <c r="I107" s="8">
        <f>IF($A107="","",BDP($A107,I$3))</f>
        <v/>
      </c>
      <c r="J107" s="8">
        <f>IF($A107="","",BDP($A107,J$3))</f>
        <v/>
      </c>
      <c r="K107" s="8">
        <f>IF($A107="","",BDP($A107,K$3))</f>
        <v/>
      </c>
      <c r="L107" s="28">
        <f>IF($A107="","",BDP($A107,L$3))</f>
        <v/>
      </c>
      <c r="M107" s="28">
        <f>IF($A107="","",BDP($A107,M$3))</f>
        <v/>
      </c>
      <c r="N107" s="30">
        <f>IF($A107="","",BDP($A107,N$3))</f>
        <v/>
      </c>
      <c r="O107" s="31">
        <f>IF($A107="","",BDP($A107,O$3))</f>
        <v/>
      </c>
      <c r="P107" s="30">
        <f>IF($A107="","",BDH($A107,$N$3,'參數'!$B$5,'參數'!$B$5,"Days=A","Fill=P","Dates=H"))</f>
        <v/>
      </c>
      <c r="Q107" s="30">
        <f>IF($A107="","",BDH($A107,$N$3,'參數'!$B$6,'參數'!$B$6,"Days=A","Fill=P","Dates=H"))</f>
        <v/>
      </c>
      <c r="R107" s="30">
        <f>IF($A107="","",BDH($A107,$N$3,'參數'!$B$7,'參數'!$B$7,"Days=A","Fill=P","Dates=H"))</f>
        <v/>
      </c>
      <c r="S107" s="32">
        <f>IF($A107="","",IFERROR(INDEX('發行人'!$A$5:$A$44,MATCH(B107,'發行人'!$D$5:$D$44,0)),"未對應"))</f>
        <v/>
      </c>
      <c r="T107" s="24">
        <f>IF($A107="","",IFERROR(INDEX('發行人'!$G$5:$G$44,MATCH(B107,'發行人'!$D$5:$D$44,0))+0,""))</f>
        <v/>
      </c>
      <c r="U107" s="18">
        <f>IF(ISNUMBER(E107),YEARFRAC('參數'!$B$4,E107),"")</f>
        <v/>
      </c>
      <c r="V107" s="8">
        <f>IF(U107="","",IF(U107&lt;3,"1-3y",IF(U107&lt;5,"3-5y",IF(U107&lt;7,"5-7y",IF(U107&lt;10,"7-10y","10y+")))))</f>
        <v/>
      </c>
      <c r="W107" s="30">
        <f>IF($A107="","",IFERROR(INDEX('參數'!$B$24:$B$45,MATCH(G107,'參數'!$A$24:$A$45,0)),""))</f>
        <v/>
      </c>
      <c r="X107" s="8">
        <f>IF($A107="","",IFERROR(INDEX('參數'!$C$24:$C$45,MATCH(G107,'參數'!$A$24:$A$45,0)),""))</f>
        <v/>
      </c>
      <c r="Y107" s="30">
        <f>IF(AND(ISNUMBER(N107),ISNUMBER(O107),ISNUMBER(U107)),IF(AND(O107&gt;0,X107&lt;&gt;""),1,0),0)</f>
        <v/>
      </c>
      <c r="Z107" s="17">
        <f>IF(Y107=1,O107*N107,"")</f>
        <v/>
      </c>
      <c r="AA107" s="33">
        <f>IF(Y107=1,IF(ISNUMBER(Q107),N107-Q107,""),"")</f>
        <v/>
      </c>
      <c r="AB107" s="33">
        <f>IF(Y107=1,IF(AND(ISNUMBER(P107),ISNUMBER(R107)),R107*5/12-O107*(P107-R107),""),"")</f>
        <v/>
      </c>
      <c r="AC107" s="30">
        <f>IF(Y107=1,COUNTIFS($X$5:$X$404,X107,$V$5:$V$404,V107,$Y$5:$Y$404,1),"")</f>
        <v/>
      </c>
      <c r="AD107" s="30">
        <f>IF(Y107=1,IFERROR(IF(AC107&gt;='參數'!$B$9,INDEX('分群統計'!$G$13:$K$16,MATCH(X107,'分群統計'!$A$13:$A$16,0),MATCH(V107,'分群統計'!$G$12:$K$12,0)),INDEX('分群統計'!$I$5:$I$8,MATCH(X107,'分群統計'!$A$5:$A$8,0))),""),"")</f>
        <v/>
      </c>
      <c r="AE107" s="18">
        <f>IF(Y107=1,IFERROR(IF(AC107&gt;='參數'!$B$9,INDEX('分群統計'!$L$13:$P$16,MATCH(X107,'分群統計'!$A$13:$A$16,0),MATCH(V107,'分群統計'!$L$12:$P$12,0)),INDEX('分群統計'!$J$5:$J$8,MATCH(X107,'分群統計'!$A$5:$A$8,0))),""),"")</f>
        <v/>
      </c>
      <c r="AF107" s="31">
        <f>IF(ISNUMBER(AE107),IF(AE107&gt;0,MAX(-3,MIN(3,(N107-AD107)/AE107)),0),"")</f>
        <v/>
      </c>
      <c r="AG107" s="30">
        <f>IF(Y107=1,COUNTIFS($B$5:$B$404,B107,$Y$5:$Y$404,1),"")</f>
        <v/>
      </c>
      <c r="AH107" s="30">
        <f>IF(Y107=1,IFERROR(IF(ISNUMBER(INDEX('分群統計'!$G$20:$G$59,MATCH(B107,'分群統計'!$A$20:$A$59,0))),INDEX('分群統計'!$H$20:$H$59,MATCH(B107,'分群統計'!$A$20:$A$59,0))+INDEX('分群統計'!$G$20:$G$59,MATCH(B107,'分群統計'!$A$20:$A$59,0))*AU107,""),""),"")</f>
        <v/>
      </c>
      <c r="AI107" s="34">
        <f>IF(ISNUMBER(AH107),N107-AH107,"")</f>
        <v/>
      </c>
      <c r="AJ107" s="30">
        <f>IF(Y107=1,IFERROR(IF(ISNUMBER(INDEX('分群統計'!$G$5:$G$8,MATCH(X107,'分群統計'!$A$5:$A$8,0))),INDEX('分群統計'!$H$5:$H$8,MATCH(X107,'分群統計'!$A$5:$A$8,0))+INDEX('分群統計'!$G$5:$G$8,MATCH(X107,'分群統計'!$A$5:$A$8,0))*AU107,""),""),"")</f>
        <v/>
      </c>
      <c r="AK107" s="34">
        <f>IF(ISNUMBER(AJ107),N107-AJ107,"")</f>
        <v/>
      </c>
      <c r="AL107" s="21">
        <f>IF(ISNUMBER(AJ107),IF(AJ107&gt;0,AK107/AJ107,""),"")</f>
        <v/>
      </c>
      <c r="AM107" s="31">
        <f>IF(AY107&lt;&gt;1,"",IFERROR(IF(INDEX('分群統計'!$K$5:$K$8,MATCH(X107,'分群統計'!$A$5:$A$8,0))&lt;3,"",IF(INDEX('分群統計'!$M$5:$M$8,MATCH(X107,'分群統計'!$A$5:$A$8,0))&gt;0,MAX(-3,MIN(3,(AX107-INDEX('分群統計'!$L$5:$L$8,MATCH(X107,'分群統計'!$A$5:$A$8,0)))/INDEX('分群統計'!$M$5:$M$8,MATCH(X107,'分群統計'!$A$5:$A$8,0)))),0)),""))</f>
        <v/>
      </c>
      <c r="AN107" s="31">
        <f>IF(ISNUMBER(AB107),IF(Z107&gt;0,AB107/Z107*100,""),"")</f>
        <v/>
      </c>
      <c r="AO107" s="31">
        <f>IF(BA107&lt;&gt;1,"",IFERROR(IF(INDEX('分群統計'!$N$5:$N$8,MATCH(X107,'分群統計'!$A$5:$A$8,0))&lt;3,"",IF(INDEX('分群統計'!$P$5:$P$8,MATCH(X107,'分群統計'!$A$5:$A$8,0))&gt;0,MAX(-3,MIN(3,(AZ107-INDEX('分群統計'!$O$5:$O$8,MATCH(X107,'分群統計'!$A$5:$A$8,0)))/INDEX('分群統計'!$P$5:$P$8,MATCH(X107,'分群統計'!$A$5:$A$8,0)))),0)),""))</f>
        <v/>
      </c>
      <c r="AP107" s="31">
        <f>IF(BC107&lt;&gt;1,"",IFERROR(IF(INDEX('分群統計'!$Q$5:$Q$8,MATCH(X107,'分群統計'!$A$5:$A$8,0))&lt;3,"",IF(INDEX('分群統計'!$S$5:$S$8,MATCH(X107,'分群統計'!$A$5:$A$8,0))&gt;0,MAX(-3,MIN(3,(BB107-INDEX('分群統計'!$R$5:$R$8,MATCH(X107,'分群統計'!$A$5:$A$8,0)))/INDEX('分群統計'!$S$5:$S$8,MATCH(X107,'分群統計'!$A$5:$A$8,0)))),0)),""))</f>
        <v/>
      </c>
      <c r="AQ107" s="31">
        <f>IF(Y107=1,(IF(ISNUMBER(AF107),AF107,0)*'參數'!$B$13+IF(ISNUMBER(AM107),AM107,0)*'參數'!$B$14+IF(ISNUMBER(AO107),AO107,0)*'參數'!$B$15+IF(ISNUMBER(AP107),AP107,0)*'參數'!$B$16)/('參數'!$B$13+'參數'!$B$14+'參數'!$B$15+'參數'!$B$16),"")</f>
        <v/>
      </c>
      <c r="AR107" s="35">
        <f>IF(Y107=1,(SUMPRODUCT(($X$5:$X$404=X107)*($Y$5:$Y$404=1)*($BD$5:$BD$404&gt;BD107))+1)/COUNTIFS($X$5:$X$404,X107,$Y$5:$Y$404,1),"")</f>
        <v/>
      </c>
      <c r="AS107" s="8">
        <f>IF(ISNUMBER(AR107),IF(AR107&lt;='參數'!$B$18,"加碼候選",IF(AR107&gt;'參數'!$B$19,"減碼候選","")),"")</f>
        <v/>
      </c>
      <c r="AT107" s="7">
        <f>IF(Y107=1,N107,0)</f>
        <v/>
      </c>
      <c r="AU107" s="7">
        <f>IF(Y107=1,LN(O107),0)</f>
        <v/>
      </c>
      <c r="AV107" s="36">
        <f>IF(Y107=1,IF(ISNUMBER(F107),F107,0),0)</f>
        <v/>
      </c>
      <c r="AW107" s="7">
        <f>IF(Y107=1,Z107,0)</f>
        <v/>
      </c>
      <c r="AX107" s="7">
        <f>IF(Y107=1,IF(ISNUMBER(AL107),AL107,0),0)</f>
        <v/>
      </c>
      <c r="AY107" s="7">
        <f>IF(Y107=1,IF(ISNUMBER(AL107),1,0),0)</f>
        <v/>
      </c>
      <c r="AZ107" s="7">
        <f>IF(Y107=1,IF(ISNUMBER(AN107),AN107,0),0)</f>
        <v/>
      </c>
      <c r="BA107" s="7">
        <f>IF(Y107=1,IF(ISNUMBER(AN107),1,0),0)</f>
        <v/>
      </c>
      <c r="BB107" s="7">
        <f>IF(Y107=1,IF(ISNUMBER(T107),T107,0),0)</f>
        <v/>
      </c>
      <c r="BC107" s="7">
        <f>IF(Y107=1,IF(ISNUMBER(T107),1,0),0)</f>
        <v/>
      </c>
      <c r="BD107" s="7">
        <f>IF(Y107=1,AQ107+ROW()/1E9,-1E9)</f>
        <v/>
      </c>
      <c r="BE107" s="7">
        <f>IF(Y107=1,AQ107+ROW()/1E9,1E9)</f>
        <v/>
      </c>
    </row>
    <row r="108">
      <c r="A108" s="16" t="n"/>
      <c r="B108" s="8">
        <f>IF($A108="","",BDP($A108,B$3))</f>
        <v/>
      </c>
      <c r="C108" s="8">
        <f>IF($A108="","",BDP($A108,C$3))</f>
        <v/>
      </c>
      <c r="D108" s="28">
        <f>IF($A108="","",BDP($A108,D$3))</f>
        <v/>
      </c>
      <c r="E108" s="29">
        <f>IF($A108="","",BDP($A108,E$3))</f>
        <v/>
      </c>
      <c r="F108" s="17">
        <f>IF($A108="","",BDP($A108,F$3))</f>
        <v/>
      </c>
      <c r="G108" s="8">
        <f>IF($A108="","",BDP($A108,G$3))</f>
        <v/>
      </c>
      <c r="H108" s="8">
        <f>IF($A108="","",BDP($A108,H$3))</f>
        <v/>
      </c>
      <c r="I108" s="8">
        <f>IF($A108="","",BDP($A108,I$3))</f>
        <v/>
      </c>
      <c r="J108" s="8">
        <f>IF($A108="","",BDP($A108,J$3))</f>
        <v/>
      </c>
      <c r="K108" s="8">
        <f>IF($A108="","",BDP($A108,K$3))</f>
        <v/>
      </c>
      <c r="L108" s="28">
        <f>IF($A108="","",BDP($A108,L$3))</f>
        <v/>
      </c>
      <c r="M108" s="28">
        <f>IF($A108="","",BDP($A108,M$3))</f>
        <v/>
      </c>
      <c r="N108" s="30">
        <f>IF($A108="","",BDP($A108,N$3))</f>
        <v/>
      </c>
      <c r="O108" s="31">
        <f>IF($A108="","",BDP($A108,O$3))</f>
        <v/>
      </c>
      <c r="P108" s="30">
        <f>IF($A108="","",BDH($A108,$N$3,'參數'!$B$5,'參數'!$B$5,"Days=A","Fill=P","Dates=H"))</f>
        <v/>
      </c>
      <c r="Q108" s="30">
        <f>IF($A108="","",BDH($A108,$N$3,'參數'!$B$6,'參數'!$B$6,"Days=A","Fill=P","Dates=H"))</f>
        <v/>
      </c>
      <c r="R108" s="30">
        <f>IF($A108="","",BDH($A108,$N$3,'參數'!$B$7,'參數'!$B$7,"Days=A","Fill=P","Dates=H"))</f>
        <v/>
      </c>
      <c r="S108" s="32">
        <f>IF($A108="","",IFERROR(INDEX('發行人'!$A$5:$A$44,MATCH(B108,'發行人'!$D$5:$D$44,0)),"未對應"))</f>
        <v/>
      </c>
      <c r="T108" s="24">
        <f>IF($A108="","",IFERROR(INDEX('發行人'!$G$5:$G$44,MATCH(B108,'發行人'!$D$5:$D$44,0))+0,""))</f>
        <v/>
      </c>
      <c r="U108" s="18">
        <f>IF(ISNUMBER(E108),YEARFRAC('參數'!$B$4,E108),"")</f>
        <v/>
      </c>
      <c r="V108" s="8">
        <f>IF(U108="","",IF(U108&lt;3,"1-3y",IF(U108&lt;5,"3-5y",IF(U108&lt;7,"5-7y",IF(U108&lt;10,"7-10y","10y+")))))</f>
        <v/>
      </c>
      <c r="W108" s="30">
        <f>IF($A108="","",IFERROR(INDEX('參數'!$B$24:$B$45,MATCH(G108,'參數'!$A$24:$A$45,0)),""))</f>
        <v/>
      </c>
      <c r="X108" s="8">
        <f>IF($A108="","",IFERROR(INDEX('參數'!$C$24:$C$45,MATCH(G108,'參數'!$A$24:$A$45,0)),""))</f>
        <v/>
      </c>
      <c r="Y108" s="30">
        <f>IF(AND(ISNUMBER(N108),ISNUMBER(O108),ISNUMBER(U108)),IF(AND(O108&gt;0,X108&lt;&gt;""),1,0),0)</f>
        <v/>
      </c>
      <c r="Z108" s="17">
        <f>IF(Y108=1,O108*N108,"")</f>
        <v/>
      </c>
      <c r="AA108" s="33">
        <f>IF(Y108=1,IF(ISNUMBER(Q108),N108-Q108,""),"")</f>
        <v/>
      </c>
      <c r="AB108" s="33">
        <f>IF(Y108=1,IF(AND(ISNUMBER(P108),ISNUMBER(R108)),R108*5/12-O108*(P108-R108),""),"")</f>
        <v/>
      </c>
      <c r="AC108" s="30">
        <f>IF(Y108=1,COUNTIFS($X$5:$X$404,X108,$V$5:$V$404,V108,$Y$5:$Y$404,1),"")</f>
        <v/>
      </c>
      <c r="AD108" s="30">
        <f>IF(Y108=1,IFERROR(IF(AC108&gt;='參數'!$B$9,INDEX('分群統計'!$G$13:$K$16,MATCH(X108,'分群統計'!$A$13:$A$16,0),MATCH(V108,'分群統計'!$G$12:$K$12,0)),INDEX('分群統計'!$I$5:$I$8,MATCH(X108,'分群統計'!$A$5:$A$8,0))),""),"")</f>
        <v/>
      </c>
      <c r="AE108" s="18">
        <f>IF(Y108=1,IFERROR(IF(AC108&gt;='參數'!$B$9,INDEX('分群統計'!$L$13:$P$16,MATCH(X108,'分群統計'!$A$13:$A$16,0),MATCH(V108,'分群統計'!$L$12:$P$12,0)),INDEX('分群統計'!$J$5:$J$8,MATCH(X108,'分群統計'!$A$5:$A$8,0))),""),"")</f>
        <v/>
      </c>
      <c r="AF108" s="31">
        <f>IF(ISNUMBER(AE108),IF(AE108&gt;0,MAX(-3,MIN(3,(N108-AD108)/AE108)),0),"")</f>
        <v/>
      </c>
      <c r="AG108" s="30">
        <f>IF(Y108=1,COUNTIFS($B$5:$B$404,B108,$Y$5:$Y$404,1),"")</f>
        <v/>
      </c>
      <c r="AH108" s="30">
        <f>IF(Y108=1,IFERROR(IF(ISNUMBER(INDEX('分群統計'!$G$20:$G$59,MATCH(B108,'分群統計'!$A$20:$A$59,0))),INDEX('分群統計'!$H$20:$H$59,MATCH(B108,'分群統計'!$A$20:$A$59,0))+INDEX('分群統計'!$G$20:$G$59,MATCH(B108,'分群統計'!$A$20:$A$59,0))*AU108,""),""),"")</f>
        <v/>
      </c>
      <c r="AI108" s="34">
        <f>IF(ISNUMBER(AH108),N108-AH108,"")</f>
        <v/>
      </c>
      <c r="AJ108" s="30">
        <f>IF(Y108=1,IFERROR(IF(ISNUMBER(INDEX('分群統計'!$G$5:$G$8,MATCH(X108,'分群統計'!$A$5:$A$8,0))),INDEX('分群統計'!$H$5:$H$8,MATCH(X108,'分群統計'!$A$5:$A$8,0))+INDEX('分群統計'!$G$5:$G$8,MATCH(X108,'分群統計'!$A$5:$A$8,0))*AU108,""),""),"")</f>
        <v/>
      </c>
      <c r="AK108" s="34">
        <f>IF(ISNUMBER(AJ108),N108-AJ108,"")</f>
        <v/>
      </c>
      <c r="AL108" s="21">
        <f>IF(ISNUMBER(AJ108),IF(AJ108&gt;0,AK108/AJ108,""),"")</f>
        <v/>
      </c>
      <c r="AM108" s="31">
        <f>IF(AY108&lt;&gt;1,"",IFERROR(IF(INDEX('分群統計'!$K$5:$K$8,MATCH(X108,'分群統計'!$A$5:$A$8,0))&lt;3,"",IF(INDEX('分群統計'!$M$5:$M$8,MATCH(X108,'分群統計'!$A$5:$A$8,0))&gt;0,MAX(-3,MIN(3,(AX108-INDEX('分群統計'!$L$5:$L$8,MATCH(X108,'分群統計'!$A$5:$A$8,0)))/INDEX('分群統計'!$M$5:$M$8,MATCH(X108,'分群統計'!$A$5:$A$8,0)))),0)),""))</f>
        <v/>
      </c>
      <c r="AN108" s="31">
        <f>IF(ISNUMBER(AB108),IF(Z108&gt;0,AB108/Z108*100,""),"")</f>
        <v/>
      </c>
      <c r="AO108" s="31">
        <f>IF(BA108&lt;&gt;1,"",IFERROR(IF(INDEX('分群統計'!$N$5:$N$8,MATCH(X108,'分群統計'!$A$5:$A$8,0))&lt;3,"",IF(INDEX('分群統計'!$P$5:$P$8,MATCH(X108,'分群統計'!$A$5:$A$8,0))&gt;0,MAX(-3,MIN(3,(AZ108-INDEX('分群統計'!$O$5:$O$8,MATCH(X108,'分群統計'!$A$5:$A$8,0)))/INDEX('分群統計'!$P$5:$P$8,MATCH(X108,'分群統計'!$A$5:$A$8,0)))),0)),""))</f>
        <v/>
      </c>
      <c r="AP108" s="31">
        <f>IF(BC108&lt;&gt;1,"",IFERROR(IF(INDEX('分群統計'!$Q$5:$Q$8,MATCH(X108,'分群統計'!$A$5:$A$8,0))&lt;3,"",IF(INDEX('分群統計'!$S$5:$S$8,MATCH(X108,'分群統計'!$A$5:$A$8,0))&gt;0,MAX(-3,MIN(3,(BB108-INDEX('分群統計'!$R$5:$R$8,MATCH(X108,'分群統計'!$A$5:$A$8,0)))/INDEX('分群統計'!$S$5:$S$8,MATCH(X108,'分群統計'!$A$5:$A$8,0)))),0)),""))</f>
        <v/>
      </c>
      <c r="AQ108" s="31">
        <f>IF(Y108=1,(IF(ISNUMBER(AF108),AF108,0)*'參數'!$B$13+IF(ISNUMBER(AM108),AM108,0)*'參數'!$B$14+IF(ISNUMBER(AO108),AO108,0)*'參數'!$B$15+IF(ISNUMBER(AP108),AP108,0)*'參數'!$B$16)/('參數'!$B$13+'參數'!$B$14+'參數'!$B$15+'參數'!$B$16),"")</f>
        <v/>
      </c>
      <c r="AR108" s="35">
        <f>IF(Y108=1,(SUMPRODUCT(($X$5:$X$404=X108)*($Y$5:$Y$404=1)*($BD$5:$BD$404&gt;BD108))+1)/COUNTIFS($X$5:$X$404,X108,$Y$5:$Y$404,1),"")</f>
        <v/>
      </c>
      <c r="AS108" s="8">
        <f>IF(ISNUMBER(AR108),IF(AR108&lt;='參數'!$B$18,"加碼候選",IF(AR108&gt;'參數'!$B$19,"減碼候選","")),"")</f>
        <v/>
      </c>
      <c r="AT108" s="7">
        <f>IF(Y108=1,N108,0)</f>
        <v/>
      </c>
      <c r="AU108" s="7">
        <f>IF(Y108=1,LN(O108),0)</f>
        <v/>
      </c>
      <c r="AV108" s="36">
        <f>IF(Y108=1,IF(ISNUMBER(F108),F108,0),0)</f>
        <v/>
      </c>
      <c r="AW108" s="7">
        <f>IF(Y108=1,Z108,0)</f>
        <v/>
      </c>
      <c r="AX108" s="7">
        <f>IF(Y108=1,IF(ISNUMBER(AL108),AL108,0),0)</f>
        <v/>
      </c>
      <c r="AY108" s="7">
        <f>IF(Y108=1,IF(ISNUMBER(AL108),1,0),0)</f>
        <v/>
      </c>
      <c r="AZ108" s="7">
        <f>IF(Y108=1,IF(ISNUMBER(AN108),AN108,0),0)</f>
        <v/>
      </c>
      <c r="BA108" s="7">
        <f>IF(Y108=1,IF(ISNUMBER(AN108),1,0),0)</f>
        <v/>
      </c>
      <c r="BB108" s="7">
        <f>IF(Y108=1,IF(ISNUMBER(T108),T108,0),0)</f>
        <v/>
      </c>
      <c r="BC108" s="7">
        <f>IF(Y108=1,IF(ISNUMBER(T108),1,0),0)</f>
        <v/>
      </c>
      <c r="BD108" s="7">
        <f>IF(Y108=1,AQ108+ROW()/1E9,-1E9)</f>
        <v/>
      </c>
      <c r="BE108" s="7">
        <f>IF(Y108=1,AQ108+ROW()/1E9,1E9)</f>
        <v/>
      </c>
    </row>
    <row r="109">
      <c r="A109" s="16" t="n"/>
      <c r="B109" s="8">
        <f>IF($A109="","",BDP($A109,B$3))</f>
        <v/>
      </c>
      <c r="C109" s="8">
        <f>IF($A109="","",BDP($A109,C$3))</f>
        <v/>
      </c>
      <c r="D109" s="28">
        <f>IF($A109="","",BDP($A109,D$3))</f>
        <v/>
      </c>
      <c r="E109" s="29">
        <f>IF($A109="","",BDP($A109,E$3))</f>
        <v/>
      </c>
      <c r="F109" s="17">
        <f>IF($A109="","",BDP($A109,F$3))</f>
        <v/>
      </c>
      <c r="G109" s="8">
        <f>IF($A109="","",BDP($A109,G$3))</f>
        <v/>
      </c>
      <c r="H109" s="8">
        <f>IF($A109="","",BDP($A109,H$3))</f>
        <v/>
      </c>
      <c r="I109" s="8">
        <f>IF($A109="","",BDP($A109,I$3))</f>
        <v/>
      </c>
      <c r="J109" s="8">
        <f>IF($A109="","",BDP($A109,J$3))</f>
        <v/>
      </c>
      <c r="K109" s="8">
        <f>IF($A109="","",BDP($A109,K$3))</f>
        <v/>
      </c>
      <c r="L109" s="28">
        <f>IF($A109="","",BDP($A109,L$3))</f>
        <v/>
      </c>
      <c r="M109" s="28">
        <f>IF($A109="","",BDP($A109,M$3))</f>
        <v/>
      </c>
      <c r="N109" s="30">
        <f>IF($A109="","",BDP($A109,N$3))</f>
        <v/>
      </c>
      <c r="O109" s="31">
        <f>IF($A109="","",BDP($A109,O$3))</f>
        <v/>
      </c>
      <c r="P109" s="30">
        <f>IF($A109="","",BDH($A109,$N$3,'參數'!$B$5,'參數'!$B$5,"Days=A","Fill=P","Dates=H"))</f>
        <v/>
      </c>
      <c r="Q109" s="30">
        <f>IF($A109="","",BDH($A109,$N$3,'參數'!$B$6,'參數'!$B$6,"Days=A","Fill=P","Dates=H"))</f>
        <v/>
      </c>
      <c r="R109" s="30">
        <f>IF($A109="","",BDH($A109,$N$3,'參數'!$B$7,'參數'!$B$7,"Days=A","Fill=P","Dates=H"))</f>
        <v/>
      </c>
      <c r="S109" s="32">
        <f>IF($A109="","",IFERROR(INDEX('發行人'!$A$5:$A$44,MATCH(B109,'發行人'!$D$5:$D$44,0)),"未對應"))</f>
        <v/>
      </c>
      <c r="T109" s="24">
        <f>IF($A109="","",IFERROR(INDEX('發行人'!$G$5:$G$44,MATCH(B109,'發行人'!$D$5:$D$44,0))+0,""))</f>
        <v/>
      </c>
      <c r="U109" s="18">
        <f>IF(ISNUMBER(E109),YEARFRAC('參數'!$B$4,E109),"")</f>
        <v/>
      </c>
      <c r="V109" s="8">
        <f>IF(U109="","",IF(U109&lt;3,"1-3y",IF(U109&lt;5,"3-5y",IF(U109&lt;7,"5-7y",IF(U109&lt;10,"7-10y","10y+")))))</f>
        <v/>
      </c>
      <c r="W109" s="30">
        <f>IF($A109="","",IFERROR(INDEX('參數'!$B$24:$B$45,MATCH(G109,'參數'!$A$24:$A$45,0)),""))</f>
        <v/>
      </c>
      <c r="X109" s="8">
        <f>IF($A109="","",IFERROR(INDEX('參數'!$C$24:$C$45,MATCH(G109,'參數'!$A$24:$A$45,0)),""))</f>
        <v/>
      </c>
      <c r="Y109" s="30">
        <f>IF(AND(ISNUMBER(N109),ISNUMBER(O109),ISNUMBER(U109)),IF(AND(O109&gt;0,X109&lt;&gt;""),1,0),0)</f>
        <v/>
      </c>
      <c r="Z109" s="17">
        <f>IF(Y109=1,O109*N109,"")</f>
        <v/>
      </c>
      <c r="AA109" s="33">
        <f>IF(Y109=1,IF(ISNUMBER(Q109),N109-Q109,""),"")</f>
        <v/>
      </c>
      <c r="AB109" s="33">
        <f>IF(Y109=1,IF(AND(ISNUMBER(P109),ISNUMBER(R109)),R109*5/12-O109*(P109-R109),""),"")</f>
        <v/>
      </c>
      <c r="AC109" s="30">
        <f>IF(Y109=1,COUNTIFS($X$5:$X$404,X109,$V$5:$V$404,V109,$Y$5:$Y$404,1),"")</f>
        <v/>
      </c>
      <c r="AD109" s="30">
        <f>IF(Y109=1,IFERROR(IF(AC109&gt;='參數'!$B$9,INDEX('分群統計'!$G$13:$K$16,MATCH(X109,'分群統計'!$A$13:$A$16,0),MATCH(V109,'分群統計'!$G$12:$K$12,0)),INDEX('分群統計'!$I$5:$I$8,MATCH(X109,'分群統計'!$A$5:$A$8,0))),""),"")</f>
        <v/>
      </c>
      <c r="AE109" s="18">
        <f>IF(Y109=1,IFERROR(IF(AC109&gt;='參數'!$B$9,INDEX('分群統計'!$L$13:$P$16,MATCH(X109,'分群統計'!$A$13:$A$16,0),MATCH(V109,'分群統計'!$L$12:$P$12,0)),INDEX('分群統計'!$J$5:$J$8,MATCH(X109,'分群統計'!$A$5:$A$8,0))),""),"")</f>
        <v/>
      </c>
      <c r="AF109" s="31">
        <f>IF(ISNUMBER(AE109),IF(AE109&gt;0,MAX(-3,MIN(3,(N109-AD109)/AE109)),0),"")</f>
        <v/>
      </c>
      <c r="AG109" s="30">
        <f>IF(Y109=1,COUNTIFS($B$5:$B$404,B109,$Y$5:$Y$404,1),"")</f>
        <v/>
      </c>
      <c r="AH109" s="30">
        <f>IF(Y109=1,IFERROR(IF(ISNUMBER(INDEX('分群統計'!$G$20:$G$59,MATCH(B109,'分群統計'!$A$20:$A$59,0))),INDEX('分群統計'!$H$20:$H$59,MATCH(B109,'分群統計'!$A$20:$A$59,0))+INDEX('分群統計'!$G$20:$G$59,MATCH(B109,'分群統計'!$A$20:$A$59,0))*AU109,""),""),"")</f>
        <v/>
      </c>
      <c r="AI109" s="34">
        <f>IF(ISNUMBER(AH109),N109-AH109,"")</f>
        <v/>
      </c>
      <c r="AJ109" s="30">
        <f>IF(Y109=1,IFERROR(IF(ISNUMBER(INDEX('分群統計'!$G$5:$G$8,MATCH(X109,'分群統計'!$A$5:$A$8,0))),INDEX('分群統計'!$H$5:$H$8,MATCH(X109,'分群統計'!$A$5:$A$8,0))+INDEX('分群統計'!$G$5:$G$8,MATCH(X109,'分群統計'!$A$5:$A$8,0))*AU109,""),""),"")</f>
        <v/>
      </c>
      <c r="AK109" s="34">
        <f>IF(ISNUMBER(AJ109),N109-AJ109,"")</f>
        <v/>
      </c>
      <c r="AL109" s="21">
        <f>IF(ISNUMBER(AJ109),IF(AJ109&gt;0,AK109/AJ109,""),"")</f>
        <v/>
      </c>
      <c r="AM109" s="31">
        <f>IF(AY109&lt;&gt;1,"",IFERROR(IF(INDEX('分群統計'!$K$5:$K$8,MATCH(X109,'分群統計'!$A$5:$A$8,0))&lt;3,"",IF(INDEX('分群統計'!$M$5:$M$8,MATCH(X109,'分群統計'!$A$5:$A$8,0))&gt;0,MAX(-3,MIN(3,(AX109-INDEX('分群統計'!$L$5:$L$8,MATCH(X109,'分群統計'!$A$5:$A$8,0)))/INDEX('分群統計'!$M$5:$M$8,MATCH(X109,'分群統計'!$A$5:$A$8,0)))),0)),""))</f>
        <v/>
      </c>
      <c r="AN109" s="31">
        <f>IF(ISNUMBER(AB109),IF(Z109&gt;0,AB109/Z109*100,""),"")</f>
        <v/>
      </c>
      <c r="AO109" s="31">
        <f>IF(BA109&lt;&gt;1,"",IFERROR(IF(INDEX('分群統計'!$N$5:$N$8,MATCH(X109,'分群統計'!$A$5:$A$8,0))&lt;3,"",IF(INDEX('分群統計'!$P$5:$P$8,MATCH(X109,'分群統計'!$A$5:$A$8,0))&gt;0,MAX(-3,MIN(3,(AZ109-INDEX('分群統計'!$O$5:$O$8,MATCH(X109,'分群統計'!$A$5:$A$8,0)))/INDEX('分群統計'!$P$5:$P$8,MATCH(X109,'分群統計'!$A$5:$A$8,0)))),0)),""))</f>
        <v/>
      </c>
      <c r="AP109" s="31">
        <f>IF(BC109&lt;&gt;1,"",IFERROR(IF(INDEX('分群統計'!$Q$5:$Q$8,MATCH(X109,'分群統計'!$A$5:$A$8,0))&lt;3,"",IF(INDEX('分群統計'!$S$5:$S$8,MATCH(X109,'分群統計'!$A$5:$A$8,0))&gt;0,MAX(-3,MIN(3,(BB109-INDEX('分群統計'!$R$5:$R$8,MATCH(X109,'分群統計'!$A$5:$A$8,0)))/INDEX('分群統計'!$S$5:$S$8,MATCH(X109,'分群統計'!$A$5:$A$8,0)))),0)),""))</f>
        <v/>
      </c>
      <c r="AQ109" s="31">
        <f>IF(Y109=1,(IF(ISNUMBER(AF109),AF109,0)*'參數'!$B$13+IF(ISNUMBER(AM109),AM109,0)*'參數'!$B$14+IF(ISNUMBER(AO109),AO109,0)*'參數'!$B$15+IF(ISNUMBER(AP109),AP109,0)*'參數'!$B$16)/('參數'!$B$13+'參數'!$B$14+'參數'!$B$15+'參數'!$B$16),"")</f>
        <v/>
      </c>
      <c r="AR109" s="35">
        <f>IF(Y109=1,(SUMPRODUCT(($X$5:$X$404=X109)*($Y$5:$Y$404=1)*($BD$5:$BD$404&gt;BD109))+1)/COUNTIFS($X$5:$X$404,X109,$Y$5:$Y$404,1),"")</f>
        <v/>
      </c>
      <c r="AS109" s="8">
        <f>IF(ISNUMBER(AR109),IF(AR109&lt;='參數'!$B$18,"加碼候選",IF(AR109&gt;'參數'!$B$19,"減碼候選","")),"")</f>
        <v/>
      </c>
      <c r="AT109" s="7">
        <f>IF(Y109=1,N109,0)</f>
        <v/>
      </c>
      <c r="AU109" s="7">
        <f>IF(Y109=1,LN(O109),0)</f>
        <v/>
      </c>
      <c r="AV109" s="36">
        <f>IF(Y109=1,IF(ISNUMBER(F109),F109,0),0)</f>
        <v/>
      </c>
      <c r="AW109" s="7">
        <f>IF(Y109=1,Z109,0)</f>
        <v/>
      </c>
      <c r="AX109" s="7">
        <f>IF(Y109=1,IF(ISNUMBER(AL109),AL109,0),0)</f>
        <v/>
      </c>
      <c r="AY109" s="7">
        <f>IF(Y109=1,IF(ISNUMBER(AL109),1,0),0)</f>
        <v/>
      </c>
      <c r="AZ109" s="7">
        <f>IF(Y109=1,IF(ISNUMBER(AN109),AN109,0),0)</f>
        <v/>
      </c>
      <c r="BA109" s="7">
        <f>IF(Y109=1,IF(ISNUMBER(AN109),1,0),0)</f>
        <v/>
      </c>
      <c r="BB109" s="7">
        <f>IF(Y109=1,IF(ISNUMBER(T109),T109,0),0)</f>
        <v/>
      </c>
      <c r="BC109" s="7">
        <f>IF(Y109=1,IF(ISNUMBER(T109),1,0),0)</f>
        <v/>
      </c>
      <c r="BD109" s="7">
        <f>IF(Y109=1,AQ109+ROW()/1E9,-1E9)</f>
        <v/>
      </c>
      <c r="BE109" s="7">
        <f>IF(Y109=1,AQ109+ROW()/1E9,1E9)</f>
        <v/>
      </c>
    </row>
    <row r="110">
      <c r="A110" s="16" t="n"/>
      <c r="B110" s="8">
        <f>IF($A110="","",BDP($A110,B$3))</f>
        <v/>
      </c>
      <c r="C110" s="8">
        <f>IF($A110="","",BDP($A110,C$3))</f>
        <v/>
      </c>
      <c r="D110" s="28">
        <f>IF($A110="","",BDP($A110,D$3))</f>
        <v/>
      </c>
      <c r="E110" s="29">
        <f>IF($A110="","",BDP($A110,E$3))</f>
        <v/>
      </c>
      <c r="F110" s="17">
        <f>IF($A110="","",BDP($A110,F$3))</f>
        <v/>
      </c>
      <c r="G110" s="8">
        <f>IF($A110="","",BDP($A110,G$3))</f>
        <v/>
      </c>
      <c r="H110" s="8">
        <f>IF($A110="","",BDP($A110,H$3))</f>
        <v/>
      </c>
      <c r="I110" s="8">
        <f>IF($A110="","",BDP($A110,I$3))</f>
        <v/>
      </c>
      <c r="J110" s="8">
        <f>IF($A110="","",BDP($A110,J$3))</f>
        <v/>
      </c>
      <c r="K110" s="8">
        <f>IF($A110="","",BDP($A110,K$3))</f>
        <v/>
      </c>
      <c r="L110" s="28">
        <f>IF($A110="","",BDP($A110,L$3))</f>
        <v/>
      </c>
      <c r="M110" s="28">
        <f>IF($A110="","",BDP($A110,M$3))</f>
        <v/>
      </c>
      <c r="N110" s="30">
        <f>IF($A110="","",BDP($A110,N$3))</f>
        <v/>
      </c>
      <c r="O110" s="31">
        <f>IF($A110="","",BDP($A110,O$3))</f>
        <v/>
      </c>
      <c r="P110" s="30">
        <f>IF($A110="","",BDH($A110,$N$3,'參數'!$B$5,'參數'!$B$5,"Days=A","Fill=P","Dates=H"))</f>
        <v/>
      </c>
      <c r="Q110" s="30">
        <f>IF($A110="","",BDH($A110,$N$3,'參數'!$B$6,'參數'!$B$6,"Days=A","Fill=P","Dates=H"))</f>
        <v/>
      </c>
      <c r="R110" s="30">
        <f>IF($A110="","",BDH($A110,$N$3,'參數'!$B$7,'參數'!$B$7,"Days=A","Fill=P","Dates=H"))</f>
        <v/>
      </c>
      <c r="S110" s="32">
        <f>IF($A110="","",IFERROR(INDEX('發行人'!$A$5:$A$44,MATCH(B110,'發行人'!$D$5:$D$44,0)),"未對應"))</f>
        <v/>
      </c>
      <c r="T110" s="24">
        <f>IF($A110="","",IFERROR(INDEX('發行人'!$G$5:$G$44,MATCH(B110,'發行人'!$D$5:$D$44,0))+0,""))</f>
        <v/>
      </c>
      <c r="U110" s="18">
        <f>IF(ISNUMBER(E110),YEARFRAC('參數'!$B$4,E110),"")</f>
        <v/>
      </c>
      <c r="V110" s="8">
        <f>IF(U110="","",IF(U110&lt;3,"1-3y",IF(U110&lt;5,"3-5y",IF(U110&lt;7,"5-7y",IF(U110&lt;10,"7-10y","10y+")))))</f>
        <v/>
      </c>
      <c r="W110" s="30">
        <f>IF($A110="","",IFERROR(INDEX('參數'!$B$24:$B$45,MATCH(G110,'參數'!$A$24:$A$45,0)),""))</f>
        <v/>
      </c>
      <c r="X110" s="8">
        <f>IF($A110="","",IFERROR(INDEX('參數'!$C$24:$C$45,MATCH(G110,'參數'!$A$24:$A$45,0)),""))</f>
        <v/>
      </c>
      <c r="Y110" s="30">
        <f>IF(AND(ISNUMBER(N110),ISNUMBER(O110),ISNUMBER(U110)),IF(AND(O110&gt;0,X110&lt;&gt;""),1,0),0)</f>
        <v/>
      </c>
      <c r="Z110" s="17">
        <f>IF(Y110=1,O110*N110,"")</f>
        <v/>
      </c>
      <c r="AA110" s="33">
        <f>IF(Y110=1,IF(ISNUMBER(Q110),N110-Q110,""),"")</f>
        <v/>
      </c>
      <c r="AB110" s="33">
        <f>IF(Y110=1,IF(AND(ISNUMBER(P110),ISNUMBER(R110)),R110*5/12-O110*(P110-R110),""),"")</f>
        <v/>
      </c>
      <c r="AC110" s="30">
        <f>IF(Y110=1,COUNTIFS($X$5:$X$404,X110,$V$5:$V$404,V110,$Y$5:$Y$404,1),"")</f>
        <v/>
      </c>
      <c r="AD110" s="30">
        <f>IF(Y110=1,IFERROR(IF(AC110&gt;='參數'!$B$9,INDEX('分群統計'!$G$13:$K$16,MATCH(X110,'分群統計'!$A$13:$A$16,0),MATCH(V110,'分群統計'!$G$12:$K$12,0)),INDEX('分群統計'!$I$5:$I$8,MATCH(X110,'分群統計'!$A$5:$A$8,0))),""),"")</f>
        <v/>
      </c>
      <c r="AE110" s="18">
        <f>IF(Y110=1,IFERROR(IF(AC110&gt;='參數'!$B$9,INDEX('分群統計'!$L$13:$P$16,MATCH(X110,'分群統計'!$A$13:$A$16,0),MATCH(V110,'分群統計'!$L$12:$P$12,0)),INDEX('分群統計'!$J$5:$J$8,MATCH(X110,'分群統計'!$A$5:$A$8,0))),""),"")</f>
        <v/>
      </c>
      <c r="AF110" s="31">
        <f>IF(ISNUMBER(AE110),IF(AE110&gt;0,MAX(-3,MIN(3,(N110-AD110)/AE110)),0),"")</f>
        <v/>
      </c>
      <c r="AG110" s="30">
        <f>IF(Y110=1,COUNTIFS($B$5:$B$404,B110,$Y$5:$Y$404,1),"")</f>
        <v/>
      </c>
      <c r="AH110" s="30">
        <f>IF(Y110=1,IFERROR(IF(ISNUMBER(INDEX('分群統計'!$G$20:$G$59,MATCH(B110,'分群統計'!$A$20:$A$59,0))),INDEX('分群統計'!$H$20:$H$59,MATCH(B110,'分群統計'!$A$20:$A$59,0))+INDEX('分群統計'!$G$20:$G$59,MATCH(B110,'分群統計'!$A$20:$A$59,0))*AU110,""),""),"")</f>
        <v/>
      </c>
      <c r="AI110" s="34">
        <f>IF(ISNUMBER(AH110),N110-AH110,"")</f>
        <v/>
      </c>
      <c r="AJ110" s="30">
        <f>IF(Y110=1,IFERROR(IF(ISNUMBER(INDEX('分群統計'!$G$5:$G$8,MATCH(X110,'分群統計'!$A$5:$A$8,0))),INDEX('分群統計'!$H$5:$H$8,MATCH(X110,'分群統計'!$A$5:$A$8,0))+INDEX('分群統計'!$G$5:$G$8,MATCH(X110,'分群統計'!$A$5:$A$8,0))*AU110,""),""),"")</f>
        <v/>
      </c>
      <c r="AK110" s="34">
        <f>IF(ISNUMBER(AJ110),N110-AJ110,"")</f>
        <v/>
      </c>
      <c r="AL110" s="21">
        <f>IF(ISNUMBER(AJ110),IF(AJ110&gt;0,AK110/AJ110,""),"")</f>
        <v/>
      </c>
      <c r="AM110" s="31">
        <f>IF(AY110&lt;&gt;1,"",IFERROR(IF(INDEX('分群統計'!$K$5:$K$8,MATCH(X110,'分群統計'!$A$5:$A$8,0))&lt;3,"",IF(INDEX('分群統計'!$M$5:$M$8,MATCH(X110,'分群統計'!$A$5:$A$8,0))&gt;0,MAX(-3,MIN(3,(AX110-INDEX('分群統計'!$L$5:$L$8,MATCH(X110,'分群統計'!$A$5:$A$8,0)))/INDEX('分群統計'!$M$5:$M$8,MATCH(X110,'分群統計'!$A$5:$A$8,0)))),0)),""))</f>
        <v/>
      </c>
      <c r="AN110" s="31">
        <f>IF(ISNUMBER(AB110),IF(Z110&gt;0,AB110/Z110*100,""),"")</f>
        <v/>
      </c>
      <c r="AO110" s="31">
        <f>IF(BA110&lt;&gt;1,"",IFERROR(IF(INDEX('分群統計'!$N$5:$N$8,MATCH(X110,'分群統計'!$A$5:$A$8,0))&lt;3,"",IF(INDEX('分群統計'!$P$5:$P$8,MATCH(X110,'分群統計'!$A$5:$A$8,0))&gt;0,MAX(-3,MIN(3,(AZ110-INDEX('分群統計'!$O$5:$O$8,MATCH(X110,'分群統計'!$A$5:$A$8,0)))/INDEX('分群統計'!$P$5:$P$8,MATCH(X110,'分群統計'!$A$5:$A$8,0)))),0)),""))</f>
        <v/>
      </c>
      <c r="AP110" s="31">
        <f>IF(BC110&lt;&gt;1,"",IFERROR(IF(INDEX('分群統計'!$Q$5:$Q$8,MATCH(X110,'分群統計'!$A$5:$A$8,0))&lt;3,"",IF(INDEX('分群統計'!$S$5:$S$8,MATCH(X110,'分群統計'!$A$5:$A$8,0))&gt;0,MAX(-3,MIN(3,(BB110-INDEX('分群統計'!$R$5:$R$8,MATCH(X110,'分群統計'!$A$5:$A$8,0)))/INDEX('分群統計'!$S$5:$S$8,MATCH(X110,'分群統計'!$A$5:$A$8,0)))),0)),""))</f>
        <v/>
      </c>
      <c r="AQ110" s="31">
        <f>IF(Y110=1,(IF(ISNUMBER(AF110),AF110,0)*'參數'!$B$13+IF(ISNUMBER(AM110),AM110,0)*'參數'!$B$14+IF(ISNUMBER(AO110),AO110,0)*'參數'!$B$15+IF(ISNUMBER(AP110),AP110,0)*'參數'!$B$16)/('參數'!$B$13+'參數'!$B$14+'參數'!$B$15+'參數'!$B$16),"")</f>
        <v/>
      </c>
      <c r="AR110" s="35">
        <f>IF(Y110=1,(SUMPRODUCT(($X$5:$X$404=X110)*($Y$5:$Y$404=1)*($BD$5:$BD$404&gt;BD110))+1)/COUNTIFS($X$5:$X$404,X110,$Y$5:$Y$404,1),"")</f>
        <v/>
      </c>
      <c r="AS110" s="8">
        <f>IF(ISNUMBER(AR110),IF(AR110&lt;='參數'!$B$18,"加碼候選",IF(AR110&gt;'參數'!$B$19,"減碼候選","")),"")</f>
        <v/>
      </c>
      <c r="AT110" s="7">
        <f>IF(Y110=1,N110,0)</f>
        <v/>
      </c>
      <c r="AU110" s="7">
        <f>IF(Y110=1,LN(O110),0)</f>
        <v/>
      </c>
      <c r="AV110" s="36">
        <f>IF(Y110=1,IF(ISNUMBER(F110),F110,0),0)</f>
        <v/>
      </c>
      <c r="AW110" s="7">
        <f>IF(Y110=1,Z110,0)</f>
        <v/>
      </c>
      <c r="AX110" s="7">
        <f>IF(Y110=1,IF(ISNUMBER(AL110),AL110,0),0)</f>
        <v/>
      </c>
      <c r="AY110" s="7">
        <f>IF(Y110=1,IF(ISNUMBER(AL110),1,0),0)</f>
        <v/>
      </c>
      <c r="AZ110" s="7">
        <f>IF(Y110=1,IF(ISNUMBER(AN110),AN110,0),0)</f>
        <v/>
      </c>
      <c r="BA110" s="7">
        <f>IF(Y110=1,IF(ISNUMBER(AN110),1,0),0)</f>
        <v/>
      </c>
      <c r="BB110" s="7">
        <f>IF(Y110=1,IF(ISNUMBER(T110),T110,0),0)</f>
        <v/>
      </c>
      <c r="BC110" s="7">
        <f>IF(Y110=1,IF(ISNUMBER(T110),1,0),0)</f>
        <v/>
      </c>
      <c r="BD110" s="7">
        <f>IF(Y110=1,AQ110+ROW()/1E9,-1E9)</f>
        <v/>
      </c>
      <c r="BE110" s="7">
        <f>IF(Y110=1,AQ110+ROW()/1E9,1E9)</f>
        <v/>
      </c>
    </row>
    <row r="111">
      <c r="A111" s="16" t="n"/>
      <c r="B111" s="8">
        <f>IF($A111="","",BDP($A111,B$3))</f>
        <v/>
      </c>
      <c r="C111" s="8">
        <f>IF($A111="","",BDP($A111,C$3))</f>
        <v/>
      </c>
      <c r="D111" s="28">
        <f>IF($A111="","",BDP($A111,D$3))</f>
        <v/>
      </c>
      <c r="E111" s="29">
        <f>IF($A111="","",BDP($A111,E$3))</f>
        <v/>
      </c>
      <c r="F111" s="17">
        <f>IF($A111="","",BDP($A111,F$3))</f>
        <v/>
      </c>
      <c r="G111" s="8">
        <f>IF($A111="","",BDP($A111,G$3))</f>
        <v/>
      </c>
      <c r="H111" s="8">
        <f>IF($A111="","",BDP($A111,H$3))</f>
        <v/>
      </c>
      <c r="I111" s="8">
        <f>IF($A111="","",BDP($A111,I$3))</f>
        <v/>
      </c>
      <c r="J111" s="8">
        <f>IF($A111="","",BDP($A111,J$3))</f>
        <v/>
      </c>
      <c r="K111" s="8">
        <f>IF($A111="","",BDP($A111,K$3))</f>
        <v/>
      </c>
      <c r="L111" s="28">
        <f>IF($A111="","",BDP($A111,L$3))</f>
        <v/>
      </c>
      <c r="M111" s="28">
        <f>IF($A111="","",BDP($A111,M$3))</f>
        <v/>
      </c>
      <c r="N111" s="30">
        <f>IF($A111="","",BDP($A111,N$3))</f>
        <v/>
      </c>
      <c r="O111" s="31">
        <f>IF($A111="","",BDP($A111,O$3))</f>
        <v/>
      </c>
      <c r="P111" s="30">
        <f>IF($A111="","",BDH($A111,$N$3,'參數'!$B$5,'參數'!$B$5,"Days=A","Fill=P","Dates=H"))</f>
        <v/>
      </c>
      <c r="Q111" s="30">
        <f>IF($A111="","",BDH($A111,$N$3,'參數'!$B$6,'參數'!$B$6,"Days=A","Fill=P","Dates=H"))</f>
        <v/>
      </c>
      <c r="R111" s="30">
        <f>IF($A111="","",BDH($A111,$N$3,'參數'!$B$7,'參數'!$B$7,"Days=A","Fill=P","Dates=H"))</f>
        <v/>
      </c>
      <c r="S111" s="32">
        <f>IF($A111="","",IFERROR(INDEX('發行人'!$A$5:$A$44,MATCH(B111,'發行人'!$D$5:$D$44,0)),"未對應"))</f>
        <v/>
      </c>
      <c r="T111" s="24">
        <f>IF($A111="","",IFERROR(INDEX('發行人'!$G$5:$G$44,MATCH(B111,'發行人'!$D$5:$D$44,0))+0,""))</f>
        <v/>
      </c>
      <c r="U111" s="18">
        <f>IF(ISNUMBER(E111),YEARFRAC('參數'!$B$4,E111),"")</f>
        <v/>
      </c>
      <c r="V111" s="8">
        <f>IF(U111="","",IF(U111&lt;3,"1-3y",IF(U111&lt;5,"3-5y",IF(U111&lt;7,"5-7y",IF(U111&lt;10,"7-10y","10y+")))))</f>
        <v/>
      </c>
      <c r="W111" s="30">
        <f>IF($A111="","",IFERROR(INDEX('參數'!$B$24:$B$45,MATCH(G111,'參數'!$A$24:$A$45,0)),""))</f>
        <v/>
      </c>
      <c r="X111" s="8">
        <f>IF($A111="","",IFERROR(INDEX('參數'!$C$24:$C$45,MATCH(G111,'參數'!$A$24:$A$45,0)),""))</f>
        <v/>
      </c>
      <c r="Y111" s="30">
        <f>IF(AND(ISNUMBER(N111),ISNUMBER(O111),ISNUMBER(U111)),IF(AND(O111&gt;0,X111&lt;&gt;""),1,0),0)</f>
        <v/>
      </c>
      <c r="Z111" s="17">
        <f>IF(Y111=1,O111*N111,"")</f>
        <v/>
      </c>
      <c r="AA111" s="33">
        <f>IF(Y111=1,IF(ISNUMBER(Q111),N111-Q111,""),"")</f>
        <v/>
      </c>
      <c r="AB111" s="33">
        <f>IF(Y111=1,IF(AND(ISNUMBER(P111),ISNUMBER(R111)),R111*5/12-O111*(P111-R111),""),"")</f>
        <v/>
      </c>
      <c r="AC111" s="30">
        <f>IF(Y111=1,COUNTIFS($X$5:$X$404,X111,$V$5:$V$404,V111,$Y$5:$Y$404,1),"")</f>
        <v/>
      </c>
      <c r="AD111" s="30">
        <f>IF(Y111=1,IFERROR(IF(AC111&gt;='參數'!$B$9,INDEX('分群統計'!$G$13:$K$16,MATCH(X111,'分群統計'!$A$13:$A$16,0),MATCH(V111,'分群統計'!$G$12:$K$12,0)),INDEX('分群統計'!$I$5:$I$8,MATCH(X111,'分群統計'!$A$5:$A$8,0))),""),"")</f>
        <v/>
      </c>
      <c r="AE111" s="18">
        <f>IF(Y111=1,IFERROR(IF(AC111&gt;='參數'!$B$9,INDEX('分群統計'!$L$13:$P$16,MATCH(X111,'分群統計'!$A$13:$A$16,0),MATCH(V111,'分群統計'!$L$12:$P$12,0)),INDEX('分群統計'!$J$5:$J$8,MATCH(X111,'分群統計'!$A$5:$A$8,0))),""),"")</f>
        <v/>
      </c>
      <c r="AF111" s="31">
        <f>IF(ISNUMBER(AE111),IF(AE111&gt;0,MAX(-3,MIN(3,(N111-AD111)/AE111)),0),"")</f>
        <v/>
      </c>
      <c r="AG111" s="30">
        <f>IF(Y111=1,COUNTIFS($B$5:$B$404,B111,$Y$5:$Y$404,1),"")</f>
        <v/>
      </c>
      <c r="AH111" s="30">
        <f>IF(Y111=1,IFERROR(IF(ISNUMBER(INDEX('分群統計'!$G$20:$G$59,MATCH(B111,'分群統計'!$A$20:$A$59,0))),INDEX('分群統計'!$H$20:$H$59,MATCH(B111,'分群統計'!$A$20:$A$59,0))+INDEX('分群統計'!$G$20:$G$59,MATCH(B111,'分群統計'!$A$20:$A$59,0))*AU111,""),""),"")</f>
        <v/>
      </c>
      <c r="AI111" s="34">
        <f>IF(ISNUMBER(AH111),N111-AH111,"")</f>
        <v/>
      </c>
      <c r="AJ111" s="30">
        <f>IF(Y111=1,IFERROR(IF(ISNUMBER(INDEX('分群統計'!$G$5:$G$8,MATCH(X111,'分群統計'!$A$5:$A$8,0))),INDEX('分群統計'!$H$5:$H$8,MATCH(X111,'分群統計'!$A$5:$A$8,0))+INDEX('分群統計'!$G$5:$G$8,MATCH(X111,'分群統計'!$A$5:$A$8,0))*AU111,""),""),"")</f>
        <v/>
      </c>
      <c r="AK111" s="34">
        <f>IF(ISNUMBER(AJ111),N111-AJ111,"")</f>
        <v/>
      </c>
      <c r="AL111" s="21">
        <f>IF(ISNUMBER(AJ111),IF(AJ111&gt;0,AK111/AJ111,""),"")</f>
        <v/>
      </c>
      <c r="AM111" s="31">
        <f>IF(AY111&lt;&gt;1,"",IFERROR(IF(INDEX('分群統計'!$K$5:$K$8,MATCH(X111,'分群統計'!$A$5:$A$8,0))&lt;3,"",IF(INDEX('分群統計'!$M$5:$M$8,MATCH(X111,'分群統計'!$A$5:$A$8,0))&gt;0,MAX(-3,MIN(3,(AX111-INDEX('分群統計'!$L$5:$L$8,MATCH(X111,'分群統計'!$A$5:$A$8,0)))/INDEX('分群統計'!$M$5:$M$8,MATCH(X111,'分群統計'!$A$5:$A$8,0)))),0)),""))</f>
        <v/>
      </c>
      <c r="AN111" s="31">
        <f>IF(ISNUMBER(AB111),IF(Z111&gt;0,AB111/Z111*100,""),"")</f>
        <v/>
      </c>
      <c r="AO111" s="31">
        <f>IF(BA111&lt;&gt;1,"",IFERROR(IF(INDEX('分群統計'!$N$5:$N$8,MATCH(X111,'分群統計'!$A$5:$A$8,0))&lt;3,"",IF(INDEX('分群統計'!$P$5:$P$8,MATCH(X111,'分群統計'!$A$5:$A$8,0))&gt;0,MAX(-3,MIN(3,(AZ111-INDEX('分群統計'!$O$5:$O$8,MATCH(X111,'分群統計'!$A$5:$A$8,0)))/INDEX('分群統計'!$P$5:$P$8,MATCH(X111,'分群統計'!$A$5:$A$8,0)))),0)),""))</f>
        <v/>
      </c>
      <c r="AP111" s="31">
        <f>IF(BC111&lt;&gt;1,"",IFERROR(IF(INDEX('分群統計'!$Q$5:$Q$8,MATCH(X111,'分群統計'!$A$5:$A$8,0))&lt;3,"",IF(INDEX('分群統計'!$S$5:$S$8,MATCH(X111,'分群統計'!$A$5:$A$8,0))&gt;0,MAX(-3,MIN(3,(BB111-INDEX('分群統計'!$R$5:$R$8,MATCH(X111,'分群統計'!$A$5:$A$8,0)))/INDEX('分群統計'!$S$5:$S$8,MATCH(X111,'分群統計'!$A$5:$A$8,0)))),0)),""))</f>
        <v/>
      </c>
      <c r="AQ111" s="31">
        <f>IF(Y111=1,(IF(ISNUMBER(AF111),AF111,0)*'參數'!$B$13+IF(ISNUMBER(AM111),AM111,0)*'參數'!$B$14+IF(ISNUMBER(AO111),AO111,0)*'參數'!$B$15+IF(ISNUMBER(AP111),AP111,0)*'參數'!$B$16)/('參數'!$B$13+'參數'!$B$14+'參數'!$B$15+'參數'!$B$16),"")</f>
        <v/>
      </c>
      <c r="AR111" s="35">
        <f>IF(Y111=1,(SUMPRODUCT(($X$5:$X$404=X111)*($Y$5:$Y$404=1)*($BD$5:$BD$404&gt;BD111))+1)/COUNTIFS($X$5:$X$404,X111,$Y$5:$Y$404,1),"")</f>
        <v/>
      </c>
      <c r="AS111" s="8">
        <f>IF(ISNUMBER(AR111),IF(AR111&lt;='參數'!$B$18,"加碼候選",IF(AR111&gt;'參數'!$B$19,"減碼候選","")),"")</f>
        <v/>
      </c>
      <c r="AT111" s="7">
        <f>IF(Y111=1,N111,0)</f>
        <v/>
      </c>
      <c r="AU111" s="7">
        <f>IF(Y111=1,LN(O111),0)</f>
        <v/>
      </c>
      <c r="AV111" s="36">
        <f>IF(Y111=1,IF(ISNUMBER(F111),F111,0),0)</f>
        <v/>
      </c>
      <c r="AW111" s="7">
        <f>IF(Y111=1,Z111,0)</f>
        <v/>
      </c>
      <c r="AX111" s="7">
        <f>IF(Y111=1,IF(ISNUMBER(AL111),AL111,0),0)</f>
        <v/>
      </c>
      <c r="AY111" s="7">
        <f>IF(Y111=1,IF(ISNUMBER(AL111),1,0),0)</f>
        <v/>
      </c>
      <c r="AZ111" s="7">
        <f>IF(Y111=1,IF(ISNUMBER(AN111),AN111,0),0)</f>
        <v/>
      </c>
      <c r="BA111" s="7">
        <f>IF(Y111=1,IF(ISNUMBER(AN111),1,0),0)</f>
        <v/>
      </c>
      <c r="BB111" s="7">
        <f>IF(Y111=1,IF(ISNUMBER(T111),T111,0),0)</f>
        <v/>
      </c>
      <c r="BC111" s="7">
        <f>IF(Y111=1,IF(ISNUMBER(T111),1,0),0)</f>
        <v/>
      </c>
      <c r="BD111" s="7">
        <f>IF(Y111=1,AQ111+ROW()/1E9,-1E9)</f>
        <v/>
      </c>
      <c r="BE111" s="7">
        <f>IF(Y111=1,AQ111+ROW()/1E9,1E9)</f>
        <v/>
      </c>
    </row>
    <row r="112">
      <c r="A112" s="16" t="n"/>
      <c r="B112" s="8">
        <f>IF($A112="","",BDP($A112,B$3))</f>
        <v/>
      </c>
      <c r="C112" s="8">
        <f>IF($A112="","",BDP($A112,C$3))</f>
        <v/>
      </c>
      <c r="D112" s="28">
        <f>IF($A112="","",BDP($A112,D$3))</f>
        <v/>
      </c>
      <c r="E112" s="29">
        <f>IF($A112="","",BDP($A112,E$3))</f>
        <v/>
      </c>
      <c r="F112" s="17">
        <f>IF($A112="","",BDP($A112,F$3))</f>
        <v/>
      </c>
      <c r="G112" s="8">
        <f>IF($A112="","",BDP($A112,G$3))</f>
        <v/>
      </c>
      <c r="H112" s="8">
        <f>IF($A112="","",BDP($A112,H$3))</f>
        <v/>
      </c>
      <c r="I112" s="8">
        <f>IF($A112="","",BDP($A112,I$3))</f>
        <v/>
      </c>
      <c r="J112" s="8">
        <f>IF($A112="","",BDP($A112,J$3))</f>
        <v/>
      </c>
      <c r="K112" s="8">
        <f>IF($A112="","",BDP($A112,K$3))</f>
        <v/>
      </c>
      <c r="L112" s="28">
        <f>IF($A112="","",BDP($A112,L$3))</f>
        <v/>
      </c>
      <c r="M112" s="28">
        <f>IF($A112="","",BDP($A112,M$3))</f>
        <v/>
      </c>
      <c r="N112" s="30">
        <f>IF($A112="","",BDP($A112,N$3))</f>
        <v/>
      </c>
      <c r="O112" s="31">
        <f>IF($A112="","",BDP($A112,O$3))</f>
        <v/>
      </c>
      <c r="P112" s="30">
        <f>IF($A112="","",BDH($A112,$N$3,'參數'!$B$5,'參數'!$B$5,"Days=A","Fill=P","Dates=H"))</f>
        <v/>
      </c>
      <c r="Q112" s="30">
        <f>IF($A112="","",BDH($A112,$N$3,'參數'!$B$6,'參數'!$B$6,"Days=A","Fill=P","Dates=H"))</f>
        <v/>
      </c>
      <c r="R112" s="30">
        <f>IF($A112="","",BDH($A112,$N$3,'參數'!$B$7,'參數'!$B$7,"Days=A","Fill=P","Dates=H"))</f>
        <v/>
      </c>
      <c r="S112" s="32">
        <f>IF($A112="","",IFERROR(INDEX('發行人'!$A$5:$A$44,MATCH(B112,'發行人'!$D$5:$D$44,0)),"未對應"))</f>
        <v/>
      </c>
      <c r="T112" s="24">
        <f>IF($A112="","",IFERROR(INDEX('發行人'!$G$5:$G$44,MATCH(B112,'發行人'!$D$5:$D$44,0))+0,""))</f>
        <v/>
      </c>
      <c r="U112" s="18">
        <f>IF(ISNUMBER(E112),YEARFRAC('參數'!$B$4,E112),"")</f>
        <v/>
      </c>
      <c r="V112" s="8">
        <f>IF(U112="","",IF(U112&lt;3,"1-3y",IF(U112&lt;5,"3-5y",IF(U112&lt;7,"5-7y",IF(U112&lt;10,"7-10y","10y+")))))</f>
        <v/>
      </c>
      <c r="W112" s="30">
        <f>IF($A112="","",IFERROR(INDEX('參數'!$B$24:$B$45,MATCH(G112,'參數'!$A$24:$A$45,0)),""))</f>
        <v/>
      </c>
      <c r="X112" s="8">
        <f>IF($A112="","",IFERROR(INDEX('參數'!$C$24:$C$45,MATCH(G112,'參數'!$A$24:$A$45,0)),""))</f>
        <v/>
      </c>
      <c r="Y112" s="30">
        <f>IF(AND(ISNUMBER(N112),ISNUMBER(O112),ISNUMBER(U112)),IF(AND(O112&gt;0,X112&lt;&gt;""),1,0),0)</f>
        <v/>
      </c>
      <c r="Z112" s="17">
        <f>IF(Y112=1,O112*N112,"")</f>
        <v/>
      </c>
      <c r="AA112" s="33">
        <f>IF(Y112=1,IF(ISNUMBER(Q112),N112-Q112,""),"")</f>
        <v/>
      </c>
      <c r="AB112" s="33">
        <f>IF(Y112=1,IF(AND(ISNUMBER(P112),ISNUMBER(R112)),R112*5/12-O112*(P112-R112),""),"")</f>
        <v/>
      </c>
      <c r="AC112" s="30">
        <f>IF(Y112=1,COUNTIFS($X$5:$X$404,X112,$V$5:$V$404,V112,$Y$5:$Y$404,1),"")</f>
        <v/>
      </c>
      <c r="AD112" s="30">
        <f>IF(Y112=1,IFERROR(IF(AC112&gt;='參數'!$B$9,INDEX('分群統計'!$G$13:$K$16,MATCH(X112,'分群統計'!$A$13:$A$16,0),MATCH(V112,'分群統計'!$G$12:$K$12,0)),INDEX('分群統計'!$I$5:$I$8,MATCH(X112,'分群統計'!$A$5:$A$8,0))),""),"")</f>
        <v/>
      </c>
      <c r="AE112" s="18">
        <f>IF(Y112=1,IFERROR(IF(AC112&gt;='參數'!$B$9,INDEX('分群統計'!$L$13:$P$16,MATCH(X112,'分群統計'!$A$13:$A$16,0),MATCH(V112,'分群統計'!$L$12:$P$12,0)),INDEX('分群統計'!$J$5:$J$8,MATCH(X112,'分群統計'!$A$5:$A$8,0))),""),"")</f>
        <v/>
      </c>
      <c r="AF112" s="31">
        <f>IF(ISNUMBER(AE112),IF(AE112&gt;0,MAX(-3,MIN(3,(N112-AD112)/AE112)),0),"")</f>
        <v/>
      </c>
      <c r="AG112" s="30">
        <f>IF(Y112=1,COUNTIFS($B$5:$B$404,B112,$Y$5:$Y$404,1),"")</f>
        <v/>
      </c>
      <c r="AH112" s="30">
        <f>IF(Y112=1,IFERROR(IF(ISNUMBER(INDEX('分群統計'!$G$20:$G$59,MATCH(B112,'分群統計'!$A$20:$A$59,0))),INDEX('分群統計'!$H$20:$H$59,MATCH(B112,'分群統計'!$A$20:$A$59,0))+INDEX('分群統計'!$G$20:$G$59,MATCH(B112,'分群統計'!$A$20:$A$59,0))*AU112,""),""),"")</f>
        <v/>
      </c>
      <c r="AI112" s="34">
        <f>IF(ISNUMBER(AH112),N112-AH112,"")</f>
        <v/>
      </c>
      <c r="AJ112" s="30">
        <f>IF(Y112=1,IFERROR(IF(ISNUMBER(INDEX('分群統計'!$G$5:$G$8,MATCH(X112,'分群統計'!$A$5:$A$8,0))),INDEX('分群統計'!$H$5:$H$8,MATCH(X112,'分群統計'!$A$5:$A$8,0))+INDEX('分群統計'!$G$5:$G$8,MATCH(X112,'分群統計'!$A$5:$A$8,0))*AU112,""),""),"")</f>
        <v/>
      </c>
      <c r="AK112" s="34">
        <f>IF(ISNUMBER(AJ112),N112-AJ112,"")</f>
        <v/>
      </c>
      <c r="AL112" s="21">
        <f>IF(ISNUMBER(AJ112),IF(AJ112&gt;0,AK112/AJ112,""),"")</f>
        <v/>
      </c>
      <c r="AM112" s="31">
        <f>IF(AY112&lt;&gt;1,"",IFERROR(IF(INDEX('分群統計'!$K$5:$K$8,MATCH(X112,'分群統計'!$A$5:$A$8,0))&lt;3,"",IF(INDEX('分群統計'!$M$5:$M$8,MATCH(X112,'分群統計'!$A$5:$A$8,0))&gt;0,MAX(-3,MIN(3,(AX112-INDEX('分群統計'!$L$5:$L$8,MATCH(X112,'分群統計'!$A$5:$A$8,0)))/INDEX('分群統計'!$M$5:$M$8,MATCH(X112,'分群統計'!$A$5:$A$8,0)))),0)),""))</f>
        <v/>
      </c>
      <c r="AN112" s="31">
        <f>IF(ISNUMBER(AB112),IF(Z112&gt;0,AB112/Z112*100,""),"")</f>
        <v/>
      </c>
      <c r="AO112" s="31">
        <f>IF(BA112&lt;&gt;1,"",IFERROR(IF(INDEX('分群統計'!$N$5:$N$8,MATCH(X112,'分群統計'!$A$5:$A$8,0))&lt;3,"",IF(INDEX('分群統計'!$P$5:$P$8,MATCH(X112,'分群統計'!$A$5:$A$8,0))&gt;0,MAX(-3,MIN(3,(AZ112-INDEX('分群統計'!$O$5:$O$8,MATCH(X112,'分群統計'!$A$5:$A$8,0)))/INDEX('分群統計'!$P$5:$P$8,MATCH(X112,'分群統計'!$A$5:$A$8,0)))),0)),""))</f>
        <v/>
      </c>
      <c r="AP112" s="31">
        <f>IF(BC112&lt;&gt;1,"",IFERROR(IF(INDEX('分群統計'!$Q$5:$Q$8,MATCH(X112,'分群統計'!$A$5:$A$8,0))&lt;3,"",IF(INDEX('分群統計'!$S$5:$S$8,MATCH(X112,'分群統計'!$A$5:$A$8,0))&gt;0,MAX(-3,MIN(3,(BB112-INDEX('分群統計'!$R$5:$R$8,MATCH(X112,'分群統計'!$A$5:$A$8,0)))/INDEX('分群統計'!$S$5:$S$8,MATCH(X112,'分群統計'!$A$5:$A$8,0)))),0)),""))</f>
        <v/>
      </c>
      <c r="AQ112" s="31">
        <f>IF(Y112=1,(IF(ISNUMBER(AF112),AF112,0)*'參數'!$B$13+IF(ISNUMBER(AM112),AM112,0)*'參數'!$B$14+IF(ISNUMBER(AO112),AO112,0)*'參數'!$B$15+IF(ISNUMBER(AP112),AP112,0)*'參數'!$B$16)/('參數'!$B$13+'參數'!$B$14+'參數'!$B$15+'參數'!$B$16),"")</f>
        <v/>
      </c>
      <c r="AR112" s="35">
        <f>IF(Y112=1,(SUMPRODUCT(($X$5:$X$404=X112)*($Y$5:$Y$404=1)*($BD$5:$BD$404&gt;BD112))+1)/COUNTIFS($X$5:$X$404,X112,$Y$5:$Y$404,1),"")</f>
        <v/>
      </c>
      <c r="AS112" s="8">
        <f>IF(ISNUMBER(AR112),IF(AR112&lt;='參數'!$B$18,"加碼候選",IF(AR112&gt;'參數'!$B$19,"減碼候選","")),"")</f>
        <v/>
      </c>
      <c r="AT112" s="7">
        <f>IF(Y112=1,N112,0)</f>
        <v/>
      </c>
      <c r="AU112" s="7">
        <f>IF(Y112=1,LN(O112),0)</f>
        <v/>
      </c>
      <c r="AV112" s="36">
        <f>IF(Y112=1,IF(ISNUMBER(F112),F112,0),0)</f>
        <v/>
      </c>
      <c r="AW112" s="7">
        <f>IF(Y112=1,Z112,0)</f>
        <v/>
      </c>
      <c r="AX112" s="7">
        <f>IF(Y112=1,IF(ISNUMBER(AL112),AL112,0),0)</f>
        <v/>
      </c>
      <c r="AY112" s="7">
        <f>IF(Y112=1,IF(ISNUMBER(AL112),1,0),0)</f>
        <v/>
      </c>
      <c r="AZ112" s="7">
        <f>IF(Y112=1,IF(ISNUMBER(AN112),AN112,0),0)</f>
        <v/>
      </c>
      <c r="BA112" s="7">
        <f>IF(Y112=1,IF(ISNUMBER(AN112),1,0),0)</f>
        <v/>
      </c>
      <c r="BB112" s="7">
        <f>IF(Y112=1,IF(ISNUMBER(T112),T112,0),0)</f>
        <v/>
      </c>
      <c r="BC112" s="7">
        <f>IF(Y112=1,IF(ISNUMBER(T112),1,0),0)</f>
        <v/>
      </c>
      <c r="BD112" s="7">
        <f>IF(Y112=1,AQ112+ROW()/1E9,-1E9)</f>
        <v/>
      </c>
      <c r="BE112" s="7">
        <f>IF(Y112=1,AQ112+ROW()/1E9,1E9)</f>
        <v/>
      </c>
    </row>
    <row r="113">
      <c r="A113" s="16" t="n"/>
      <c r="B113" s="8">
        <f>IF($A113="","",BDP($A113,B$3))</f>
        <v/>
      </c>
      <c r="C113" s="8">
        <f>IF($A113="","",BDP($A113,C$3))</f>
        <v/>
      </c>
      <c r="D113" s="28">
        <f>IF($A113="","",BDP($A113,D$3))</f>
        <v/>
      </c>
      <c r="E113" s="29">
        <f>IF($A113="","",BDP($A113,E$3))</f>
        <v/>
      </c>
      <c r="F113" s="17">
        <f>IF($A113="","",BDP($A113,F$3))</f>
        <v/>
      </c>
      <c r="G113" s="8">
        <f>IF($A113="","",BDP($A113,G$3))</f>
        <v/>
      </c>
      <c r="H113" s="8">
        <f>IF($A113="","",BDP($A113,H$3))</f>
        <v/>
      </c>
      <c r="I113" s="8">
        <f>IF($A113="","",BDP($A113,I$3))</f>
        <v/>
      </c>
      <c r="J113" s="8">
        <f>IF($A113="","",BDP($A113,J$3))</f>
        <v/>
      </c>
      <c r="K113" s="8">
        <f>IF($A113="","",BDP($A113,K$3))</f>
        <v/>
      </c>
      <c r="L113" s="28">
        <f>IF($A113="","",BDP($A113,L$3))</f>
        <v/>
      </c>
      <c r="M113" s="28">
        <f>IF($A113="","",BDP($A113,M$3))</f>
        <v/>
      </c>
      <c r="N113" s="30">
        <f>IF($A113="","",BDP($A113,N$3))</f>
        <v/>
      </c>
      <c r="O113" s="31">
        <f>IF($A113="","",BDP($A113,O$3))</f>
        <v/>
      </c>
      <c r="P113" s="30">
        <f>IF($A113="","",BDH($A113,$N$3,'參數'!$B$5,'參數'!$B$5,"Days=A","Fill=P","Dates=H"))</f>
        <v/>
      </c>
      <c r="Q113" s="30">
        <f>IF($A113="","",BDH($A113,$N$3,'參數'!$B$6,'參數'!$B$6,"Days=A","Fill=P","Dates=H"))</f>
        <v/>
      </c>
      <c r="R113" s="30">
        <f>IF($A113="","",BDH($A113,$N$3,'參數'!$B$7,'參數'!$B$7,"Days=A","Fill=P","Dates=H"))</f>
        <v/>
      </c>
      <c r="S113" s="32">
        <f>IF($A113="","",IFERROR(INDEX('發行人'!$A$5:$A$44,MATCH(B113,'發行人'!$D$5:$D$44,0)),"未對應"))</f>
        <v/>
      </c>
      <c r="T113" s="24">
        <f>IF($A113="","",IFERROR(INDEX('發行人'!$G$5:$G$44,MATCH(B113,'發行人'!$D$5:$D$44,0))+0,""))</f>
        <v/>
      </c>
      <c r="U113" s="18">
        <f>IF(ISNUMBER(E113),YEARFRAC('參數'!$B$4,E113),"")</f>
        <v/>
      </c>
      <c r="V113" s="8">
        <f>IF(U113="","",IF(U113&lt;3,"1-3y",IF(U113&lt;5,"3-5y",IF(U113&lt;7,"5-7y",IF(U113&lt;10,"7-10y","10y+")))))</f>
        <v/>
      </c>
      <c r="W113" s="30">
        <f>IF($A113="","",IFERROR(INDEX('參數'!$B$24:$B$45,MATCH(G113,'參數'!$A$24:$A$45,0)),""))</f>
        <v/>
      </c>
      <c r="X113" s="8">
        <f>IF($A113="","",IFERROR(INDEX('參數'!$C$24:$C$45,MATCH(G113,'參數'!$A$24:$A$45,0)),""))</f>
        <v/>
      </c>
      <c r="Y113" s="30">
        <f>IF(AND(ISNUMBER(N113),ISNUMBER(O113),ISNUMBER(U113)),IF(AND(O113&gt;0,X113&lt;&gt;""),1,0),0)</f>
        <v/>
      </c>
      <c r="Z113" s="17">
        <f>IF(Y113=1,O113*N113,"")</f>
        <v/>
      </c>
      <c r="AA113" s="33">
        <f>IF(Y113=1,IF(ISNUMBER(Q113),N113-Q113,""),"")</f>
        <v/>
      </c>
      <c r="AB113" s="33">
        <f>IF(Y113=1,IF(AND(ISNUMBER(P113),ISNUMBER(R113)),R113*5/12-O113*(P113-R113),""),"")</f>
        <v/>
      </c>
      <c r="AC113" s="30">
        <f>IF(Y113=1,COUNTIFS($X$5:$X$404,X113,$V$5:$V$404,V113,$Y$5:$Y$404,1),"")</f>
        <v/>
      </c>
      <c r="AD113" s="30">
        <f>IF(Y113=1,IFERROR(IF(AC113&gt;='參數'!$B$9,INDEX('分群統計'!$G$13:$K$16,MATCH(X113,'分群統計'!$A$13:$A$16,0),MATCH(V113,'分群統計'!$G$12:$K$12,0)),INDEX('分群統計'!$I$5:$I$8,MATCH(X113,'分群統計'!$A$5:$A$8,0))),""),"")</f>
        <v/>
      </c>
      <c r="AE113" s="18">
        <f>IF(Y113=1,IFERROR(IF(AC113&gt;='參數'!$B$9,INDEX('分群統計'!$L$13:$P$16,MATCH(X113,'分群統計'!$A$13:$A$16,0),MATCH(V113,'分群統計'!$L$12:$P$12,0)),INDEX('分群統計'!$J$5:$J$8,MATCH(X113,'分群統計'!$A$5:$A$8,0))),""),"")</f>
        <v/>
      </c>
      <c r="AF113" s="31">
        <f>IF(ISNUMBER(AE113),IF(AE113&gt;0,MAX(-3,MIN(3,(N113-AD113)/AE113)),0),"")</f>
        <v/>
      </c>
      <c r="AG113" s="30">
        <f>IF(Y113=1,COUNTIFS($B$5:$B$404,B113,$Y$5:$Y$404,1),"")</f>
        <v/>
      </c>
      <c r="AH113" s="30">
        <f>IF(Y113=1,IFERROR(IF(ISNUMBER(INDEX('分群統計'!$G$20:$G$59,MATCH(B113,'分群統計'!$A$20:$A$59,0))),INDEX('分群統計'!$H$20:$H$59,MATCH(B113,'分群統計'!$A$20:$A$59,0))+INDEX('分群統計'!$G$20:$G$59,MATCH(B113,'分群統計'!$A$20:$A$59,0))*AU113,""),""),"")</f>
        <v/>
      </c>
      <c r="AI113" s="34">
        <f>IF(ISNUMBER(AH113),N113-AH113,"")</f>
        <v/>
      </c>
      <c r="AJ113" s="30">
        <f>IF(Y113=1,IFERROR(IF(ISNUMBER(INDEX('分群統計'!$G$5:$G$8,MATCH(X113,'分群統計'!$A$5:$A$8,0))),INDEX('分群統計'!$H$5:$H$8,MATCH(X113,'分群統計'!$A$5:$A$8,0))+INDEX('分群統計'!$G$5:$G$8,MATCH(X113,'分群統計'!$A$5:$A$8,0))*AU113,""),""),"")</f>
        <v/>
      </c>
      <c r="AK113" s="34">
        <f>IF(ISNUMBER(AJ113),N113-AJ113,"")</f>
        <v/>
      </c>
      <c r="AL113" s="21">
        <f>IF(ISNUMBER(AJ113),IF(AJ113&gt;0,AK113/AJ113,""),"")</f>
        <v/>
      </c>
      <c r="AM113" s="31">
        <f>IF(AY113&lt;&gt;1,"",IFERROR(IF(INDEX('分群統計'!$K$5:$K$8,MATCH(X113,'分群統計'!$A$5:$A$8,0))&lt;3,"",IF(INDEX('分群統計'!$M$5:$M$8,MATCH(X113,'分群統計'!$A$5:$A$8,0))&gt;0,MAX(-3,MIN(3,(AX113-INDEX('分群統計'!$L$5:$L$8,MATCH(X113,'分群統計'!$A$5:$A$8,0)))/INDEX('分群統計'!$M$5:$M$8,MATCH(X113,'分群統計'!$A$5:$A$8,0)))),0)),""))</f>
        <v/>
      </c>
      <c r="AN113" s="31">
        <f>IF(ISNUMBER(AB113),IF(Z113&gt;0,AB113/Z113*100,""),"")</f>
        <v/>
      </c>
      <c r="AO113" s="31">
        <f>IF(BA113&lt;&gt;1,"",IFERROR(IF(INDEX('分群統計'!$N$5:$N$8,MATCH(X113,'分群統計'!$A$5:$A$8,0))&lt;3,"",IF(INDEX('分群統計'!$P$5:$P$8,MATCH(X113,'分群統計'!$A$5:$A$8,0))&gt;0,MAX(-3,MIN(3,(AZ113-INDEX('分群統計'!$O$5:$O$8,MATCH(X113,'分群統計'!$A$5:$A$8,0)))/INDEX('分群統計'!$P$5:$P$8,MATCH(X113,'分群統計'!$A$5:$A$8,0)))),0)),""))</f>
        <v/>
      </c>
      <c r="AP113" s="31">
        <f>IF(BC113&lt;&gt;1,"",IFERROR(IF(INDEX('分群統計'!$Q$5:$Q$8,MATCH(X113,'分群統計'!$A$5:$A$8,0))&lt;3,"",IF(INDEX('分群統計'!$S$5:$S$8,MATCH(X113,'分群統計'!$A$5:$A$8,0))&gt;0,MAX(-3,MIN(3,(BB113-INDEX('分群統計'!$R$5:$R$8,MATCH(X113,'分群統計'!$A$5:$A$8,0)))/INDEX('分群統計'!$S$5:$S$8,MATCH(X113,'分群統計'!$A$5:$A$8,0)))),0)),""))</f>
        <v/>
      </c>
      <c r="AQ113" s="31">
        <f>IF(Y113=1,(IF(ISNUMBER(AF113),AF113,0)*'參數'!$B$13+IF(ISNUMBER(AM113),AM113,0)*'參數'!$B$14+IF(ISNUMBER(AO113),AO113,0)*'參數'!$B$15+IF(ISNUMBER(AP113),AP113,0)*'參數'!$B$16)/('參數'!$B$13+'參數'!$B$14+'參數'!$B$15+'參數'!$B$16),"")</f>
        <v/>
      </c>
      <c r="AR113" s="35">
        <f>IF(Y113=1,(SUMPRODUCT(($X$5:$X$404=X113)*($Y$5:$Y$404=1)*($BD$5:$BD$404&gt;BD113))+1)/COUNTIFS($X$5:$X$404,X113,$Y$5:$Y$404,1),"")</f>
        <v/>
      </c>
      <c r="AS113" s="8">
        <f>IF(ISNUMBER(AR113),IF(AR113&lt;='參數'!$B$18,"加碼候選",IF(AR113&gt;'參數'!$B$19,"減碼候選","")),"")</f>
        <v/>
      </c>
      <c r="AT113" s="7">
        <f>IF(Y113=1,N113,0)</f>
        <v/>
      </c>
      <c r="AU113" s="7">
        <f>IF(Y113=1,LN(O113),0)</f>
        <v/>
      </c>
      <c r="AV113" s="36">
        <f>IF(Y113=1,IF(ISNUMBER(F113),F113,0),0)</f>
        <v/>
      </c>
      <c r="AW113" s="7">
        <f>IF(Y113=1,Z113,0)</f>
        <v/>
      </c>
      <c r="AX113" s="7">
        <f>IF(Y113=1,IF(ISNUMBER(AL113),AL113,0),0)</f>
        <v/>
      </c>
      <c r="AY113" s="7">
        <f>IF(Y113=1,IF(ISNUMBER(AL113),1,0),0)</f>
        <v/>
      </c>
      <c r="AZ113" s="7">
        <f>IF(Y113=1,IF(ISNUMBER(AN113),AN113,0),0)</f>
        <v/>
      </c>
      <c r="BA113" s="7">
        <f>IF(Y113=1,IF(ISNUMBER(AN113),1,0),0)</f>
        <v/>
      </c>
      <c r="BB113" s="7">
        <f>IF(Y113=1,IF(ISNUMBER(T113),T113,0),0)</f>
        <v/>
      </c>
      <c r="BC113" s="7">
        <f>IF(Y113=1,IF(ISNUMBER(T113),1,0),0)</f>
        <v/>
      </c>
      <c r="BD113" s="7">
        <f>IF(Y113=1,AQ113+ROW()/1E9,-1E9)</f>
        <v/>
      </c>
      <c r="BE113" s="7">
        <f>IF(Y113=1,AQ113+ROW()/1E9,1E9)</f>
        <v/>
      </c>
    </row>
    <row r="114">
      <c r="A114" s="16" t="n"/>
      <c r="B114" s="8">
        <f>IF($A114="","",BDP($A114,B$3))</f>
        <v/>
      </c>
      <c r="C114" s="8">
        <f>IF($A114="","",BDP($A114,C$3))</f>
        <v/>
      </c>
      <c r="D114" s="28">
        <f>IF($A114="","",BDP($A114,D$3))</f>
        <v/>
      </c>
      <c r="E114" s="29">
        <f>IF($A114="","",BDP($A114,E$3))</f>
        <v/>
      </c>
      <c r="F114" s="17">
        <f>IF($A114="","",BDP($A114,F$3))</f>
        <v/>
      </c>
      <c r="G114" s="8">
        <f>IF($A114="","",BDP($A114,G$3))</f>
        <v/>
      </c>
      <c r="H114" s="8">
        <f>IF($A114="","",BDP($A114,H$3))</f>
        <v/>
      </c>
      <c r="I114" s="8">
        <f>IF($A114="","",BDP($A114,I$3))</f>
        <v/>
      </c>
      <c r="J114" s="8">
        <f>IF($A114="","",BDP($A114,J$3))</f>
        <v/>
      </c>
      <c r="K114" s="8">
        <f>IF($A114="","",BDP($A114,K$3))</f>
        <v/>
      </c>
      <c r="L114" s="28">
        <f>IF($A114="","",BDP($A114,L$3))</f>
        <v/>
      </c>
      <c r="M114" s="28">
        <f>IF($A114="","",BDP($A114,M$3))</f>
        <v/>
      </c>
      <c r="N114" s="30">
        <f>IF($A114="","",BDP($A114,N$3))</f>
        <v/>
      </c>
      <c r="O114" s="31">
        <f>IF($A114="","",BDP($A114,O$3))</f>
        <v/>
      </c>
      <c r="P114" s="30">
        <f>IF($A114="","",BDH($A114,$N$3,'參數'!$B$5,'參數'!$B$5,"Days=A","Fill=P","Dates=H"))</f>
        <v/>
      </c>
      <c r="Q114" s="30">
        <f>IF($A114="","",BDH($A114,$N$3,'參數'!$B$6,'參數'!$B$6,"Days=A","Fill=P","Dates=H"))</f>
        <v/>
      </c>
      <c r="R114" s="30">
        <f>IF($A114="","",BDH($A114,$N$3,'參數'!$B$7,'參數'!$B$7,"Days=A","Fill=P","Dates=H"))</f>
        <v/>
      </c>
      <c r="S114" s="32">
        <f>IF($A114="","",IFERROR(INDEX('發行人'!$A$5:$A$44,MATCH(B114,'發行人'!$D$5:$D$44,0)),"未對應"))</f>
        <v/>
      </c>
      <c r="T114" s="24">
        <f>IF($A114="","",IFERROR(INDEX('發行人'!$G$5:$G$44,MATCH(B114,'發行人'!$D$5:$D$44,0))+0,""))</f>
        <v/>
      </c>
      <c r="U114" s="18">
        <f>IF(ISNUMBER(E114),YEARFRAC('參數'!$B$4,E114),"")</f>
        <v/>
      </c>
      <c r="V114" s="8">
        <f>IF(U114="","",IF(U114&lt;3,"1-3y",IF(U114&lt;5,"3-5y",IF(U114&lt;7,"5-7y",IF(U114&lt;10,"7-10y","10y+")))))</f>
        <v/>
      </c>
      <c r="W114" s="30">
        <f>IF($A114="","",IFERROR(INDEX('參數'!$B$24:$B$45,MATCH(G114,'參數'!$A$24:$A$45,0)),""))</f>
        <v/>
      </c>
      <c r="X114" s="8">
        <f>IF($A114="","",IFERROR(INDEX('參數'!$C$24:$C$45,MATCH(G114,'參數'!$A$24:$A$45,0)),""))</f>
        <v/>
      </c>
      <c r="Y114" s="30">
        <f>IF(AND(ISNUMBER(N114),ISNUMBER(O114),ISNUMBER(U114)),IF(AND(O114&gt;0,X114&lt;&gt;""),1,0),0)</f>
        <v/>
      </c>
      <c r="Z114" s="17">
        <f>IF(Y114=1,O114*N114,"")</f>
        <v/>
      </c>
      <c r="AA114" s="33">
        <f>IF(Y114=1,IF(ISNUMBER(Q114),N114-Q114,""),"")</f>
        <v/>
      </c>
      <c r="AB114" s="33">
        <f>IF(Y114=1,IF(AND(ISNUMBER(P114),ISNUMBER(R114)),R114*5/12-O114*(P114-R114),""),"")</f>
        <v/>
      </c>
      <c r="AC114" s="30">
        <f>IF(Y114=1,COUNTIFS($X$5:$X$404,X114,$V$5:$V$404,V114,$Y$5:$Y$404,1),"")</f>
        <v/>
      </c>
      <c r="AD114" s="30">
        <f>IF(Y114=1,IFERROR(IF(AC114&gt;='參數'!$B$9,INDEX('分群統計'!$G$13:$K$16,MATCH(X114,'分群統計'!$A$13:$A$16,0),MATCH(V114,'分群統計'!$G$12:$K$12,0)),INDEX('分群統計'!$I$5:$I$8,MATCH(X114,'分群統計'!$A$5:$A$8,0))),""),"")</f>
        <v/>
      </c>
      <c r="AE114" s="18">
        <f>IF(Y114=1,IFERROR(IF(AC114&gt;='參數'!$B$9,INDEX('分群統計'!$L$13:$P$16,MATCH(X114,'分群統計'!$A$13:$A$16,0),MATCH(V114,'分群統計'!$L$12:$P$12,0)),INDEX('分群統計'!$J$5:$J$8,MATCH(X114,'分群統計'!$A$5:$A$8,0))),""),"")</f>
        <v/>
      </c>
      <c r="AF114" s="31">
        <f>IF(ISNUMBER(AE114),IF(AE114&gt;0,MAX(-3,MIN(3,(N114-AD114)/AE114)),0),"")</f>
        <v/>
      </c>
      <c r="AG114" s="30">
        <f>IF(Y114=1,COUNTIFS($B$5:$B$404,B114,$Y$5:$Y$404,1),"")</f>
        <v/>
      </c>
      <c r="AH114" s="30">
        <f>IF(Y114=1,IFERROR(IF(ISNUMBER(INDEX('分群統計'!$G$20:$G$59,MATCH(B114,'分群統計'!$A$20:$A$59,0))),INDEX('分群統計'!$H$20:$H$59,MATCH(B114,'分群統計'!$A$20:$A$59,0))+INDEX('分群統計'!$G$20:$G$59,MATCH(B114,'分群統計'!$A$20:$A$59,0))*AU114,""),""),"")</f>
        <v/>
      </c>
      <c r="AI114" s="34">
        <f>IF(ISNUMBER(AH114),N114-AH114,"")</f>
        <v/>
      </c>
      <c r="AJ114" s="30">
        <f>IF(Y114=1,IFERROR(IF(ISNUMBER(INDEX('分群統計'!$G$5:$G$8,MATCH(X114,'分群統計'!$A$5:$A$8,0))),INDEX('分群統計'!$H$5:$H$8,MATCH(X114,'分群統計'!$A$5:$A$8,0))+INDEX('分群統計'!$G$5:$G$8,MATCH(X114,'分群統計'!$A$5:$A$8,0))*AU114,""),""),"")</f>
        <v/>
      </c>
      <c r="AK114" s="34">
        <f>IF(ISNUMBER(AJ114),N114-AJ114,"")</f>
        <v/>
      </c>
      <c r="AL114" s="21">
        <f>IF(ISNUMBER(AJ114),IF(AJ114&gt;0,AK114/AJ114,""),"")</f>
        <v/>
      </c>
      <c r="AM114" s="31">
        <f>IF(AY114&lt;&gt;1,"",IFERROR(IF(INDEX('分群統計'!$K$5:$K$8,MATCH(X114,'分群統計'!$A$5:$A$8,0))&lt;3,"",IF(INDEX('分群統計'!$M$5:$M$8,MATCH(X114,'分群統計'!$A$5:$A$8,0))&gt;0,MAX(-3,MIN(3,(AX114-INDEX('分群統計'!$L$5:$L$8,MATCH(X114,'分群統計'!$A$5:$A$8,0)))/INDEX('分群統計'!$M$5:$M$8,MATCH(X114,'分群統計'!$A$5:$A$8,0)))),0)),""))</f>
        <v/>
      </c>
      <c r="AN114" s="31">
        <f>IF(ISNUMBER(AB114),IF(Z114&gt;0,AB114/Z114*100,""),"")</f>
        <v/>
      </c>
      <c r="AO114" s="31">
        <f>IF(BA114&lt;&gt;1,"",IFERROR(IF(INDEX('分群統計'!$N$5:$N$8,MATCH(X114,'分群統計'!$A$5:$A$8,0))&lt;3,"",IF(INDEX('分群統計'!$P$5:$P$8,MATCH(X114,'分群統計'!$A$5:$A$8,0))&gt;0,MAX(-3,MIN(3,(AZ114-INDEX('分群統計'!$O$5:$O$8,MATCH(X114,'分群統計'!$A$5:$A$8,0)))/INDEX('分群統計'!$P$5:$P$8,MATCH(X114,'分群統計'!$A$5:$A$8,0)))),0)),""))</f>
        <v/>
      </c>
      <c r="AP114" s="31">
        <f>IF(BC114&lt;&gt;1,"",IFERROR(IF(INDEX('分群統計'!$Q$5:$Q$8,MATCH(X114,'分群統計'!$A$5:$A$8,0))&lt;3,"",IF(INDEX('分群統計'!$S$5:$S$8,MATCH(X114,'分群統計'!$A$5:$A$8,0))&gt;0,MAX(-3,MIN(3,(BB114-INDEX('分群統計'!$R$5:$R$8,MATCH(X114,'分群統計'!$A$5:$A$8,0)))/INDEX('分群統計'!$S$5:$S$8,MATCH(X114,'分群統計'!$A$5:$A$8,0)))),0)),""))</f>
        <v/>
      </c>
      <c r="AQ114" s="31">
        <f>IF(Y114=1,(IF(ISNUMBER(AF114),AF114,0)*'參數'!$B$13+IF(ISNUMBER(AM114),AM114,0)*'參數'!$B$14+IF(ISNUMBER(AO114),AO114,0)*'參數'!$B$15+IF(ISNUMBER(AP114),AP114,0)*'參數'!$B$16)/('參數'!$B$13+'參數'!$B$14+'參數'!$B$15+'參數'!$B$16),"")</f>
        <v/>
      </c>
      <c r="AR114" s="35">
        <f>IF(Y114=1,(SUMPRODUCT(($X$5:$X$404=X114)*($Y$5:$Y$404=1)*($BD$5:$BD$404&gt;BD114))+1)/COUNTIFS($X$5:$X$404,X114,$Y$5:$Y$404,1),"")</f>
        <v/>
      </c>
      <c r="AS114" s="8">
        <f>IF(ISNUMBER(AR114),IF(AR114&lt;='參數'!$B$18,"加碼候選",IF(AR114&gt;'參數'!$B$19,"減碼候選","")),"")</f>
        <v/>
      </c>
      <c r="AT114" s="7">
        <f>IF(Y114=1,N114,0)</f>
        <v/>
      </c>
      <c r="AU114" s="7">
        <f>IF(Y114=1,LN(O114),0)</f>
        <v/>
      </c>
      <c r="AV114" s="36">
        <f>IF(Y114=1,IF(ISNUMBER(F114),F114,0),0)</f>
        <v/>
      </c>
      <c r="AW114" s="7">
        <f>IF(Y114=1,Z114,0)</f>
        <v/>
      </c>
      <c r="AX114" s="7">
        <f>IF(Y114=1,IF(ISNUMBER(AL114),AL114,0),0)</f>
        <v/>
      </c>
      <c r="AY114" s="7">
        <f>IF(Y114=1,IF(ISNUMBER(AL114),1,0),0)</f>
        <v/>
      </c>
      <c r="AZ114" s="7">
        <f>IF(Y114=1,IF(ISNUMBER(AN114),AN114,0),0)</f>
        <v/>
      </c>
      <c r="BA114" s="7">
        <f>IF(Y114=1,IF(ISNUMBER(AN114),1,0),0)</f>
        <v/>
      </c>
      <c r="BB114" s="7">
        <f>IF(Y114=1,IF(ISNUMBER(T114),T114,0),0)</f>
        <v/>
      </c>
      <c r="BC114" s="7">
        <f>IF(Y114=1,IF(ISNUMBER(T114),1,0),0)</f>
        <v/>
      </c>
      <c r="BD114" s="7">
        <f>IF(Y114=1,AQ114+ROW()/1E9,-1E9)</f>
        <v/>
      </c>
      <c r="BE114" s="7">
        <f>IF(Y114=1,AQ114+ROW()/1E9,1E9)</f>
        <v/>
      </c>
    </row>
    <row r="115">
      <c r="A115" s="16" t="n"/>
      <c r="B115" s="8">
        <f>IF($A115="","",BDP($A115,B$3))</f>
        <v/>
      </c>
      <c r="C115" s="8">
        <f>IF($A115="","",BDP($A115,C$3))</f>
        <v/>
      </c>
      <c r="D115" s="28">
        <f>IF($A115="","",BDP($A115,D$3))</f>
        <v/>
      </c>
      <c r="E115" s="29">
        <f>IF($A115="","",BDP($A115,E$3))</f>
        <v/>
      </c>
      <c r="F115" s="17">
        <f>IF($A115="","",BDP($A115,F$3))</f>
        <v/>
      </c>
      <c r="G115" s="8">
        <f>IF($A115="","",BDP($A115,G$3))</f>
        <v/>
      </c>
      <c r="H115" s="8">
        <f>IF($A115="","",BDP($A115,H$3))</f>
        <v/>
      </c>
      <c r="I115" s="8">
        <f>IF($A115="","",BDP($A115,I$3))</f>
        <v/>
      </c>
      <c r="J115" s="8">
        <f>IF($A115="","",BDP($A115,J$3))</f>
        <v/>
      </c>
      <c r="K115" s="8">
        <f>IF($A115="","",BDP($A115,K$3))</f>
        <v/>
      </c>
      <c r="L115" s="28">
        <f>IF($A115="","",BDP($A115,L$3))</f>
        <v/>
      </c>
      <c r="M115" s="28">
        <f>IF($A115="","",BDP($A115,M$3))</f>
        <v/>
      </c>
      <c r="N115" s="30">
        <f>IF($A115="","",BDP($A115,N$3))</f>
        <v/>
      </c>
      <c r="O115" s="31">
        <f>IF($A115="","",BDP($A115,O$3))</f>
        <v/>
      </c>
      <c r="P115" s="30">
        <f>IF($A115="","",BDH($A115,$N$3,'參數'!$B$5,'參數'!$B$5,"Days=A","Fill=P","Dates=H"))</f>
        <v/>
      </c>
      <c r="Q115" s="30">
        <f>IF($A115="","",BDH($A115,$N$3,'參數'!$B$6,'參數'!$B$6,"Days=A","Fill=P","Dates=H"))</f>
        <v/>
      </c>
      <c r="R115" s="30">
        <f>IF($A115="","",BDH($A115,$N$3,'參數'!$B$7,'參數'!$B$7,"Days=A","Fill=P","Dates=H"))</f>
        <v/>
      </c>
      <c r="S115" s="32">
        <f>IF($A115="","",IFERROR(INDEX('發行人'!$A$5:$A$44,MATCH(B115,'發行人'!$D$5:$D$44,0)),"未對應"))</f>
        <v/>
      </c>
      <c r="T115" s="24">
        <f>IF($A115="","",IFERROR(INDEX('發行人'!$G$5:$G$44,MATCH(B115,'發行人'!$D$5:$D$44,0))+0,""))</f>
        <v/>
      </c>
      <c r="U115" s="18">
        <f>IF(ISNUMBER(E115),YEARFRAC('參數'!$B$4,E115),"")</f>
        <v/>
      </c>
      <c r="V115" s="8">
        <f>IF(U115="","",IF(U115&lt;3,"1-3y",IF(U115&lt;5,"3-5y",IF(U115&lt;7,"5-7y",IF(U115&lt;10,"7-10y","10y+")))))</f>
        <v/>
      </c>
      <c r="W115" s="30">
        <f>IF($A115="","",IFERROR(INDEX('參數'!$B$24:$B$45,MATCH(G115,'參數'!$A$24:$A$45,0)),""))</f>
        <v/>
      </c>
      <c r="X115" s="8">
        <f>IF($A115="","",IFERROR(INDEX('參數'!$C$24:$C$45,MATCH(G115,'參數'!$A$24:$A$45,0)),""))</f>
        <v/>
      </c>
      <c r="Y115" s="30">
        <f>IF(AND(ISNUMBER(N115),ISNUMBER(O115),ISNUMBER(U115)),IF(AND(O115&gt;0,X115&lt;&gt;""),1,0),0)</f>
        <v/>
      </c>
      <c r="Z115" s="17">
        <f>IF(Y115=1,O115*N115,"")</f>
        <v/>
      </c>
      <c r="AA115" s="33">
        <f>IF(Y115=1,IF(ISNUMBER(Q115),N115-Q115,""),"")</f>
        <v/>
      </c>
      <c r="AB115" s="33">
        <f>IF(Y115=1,IF(AND(ISNUMBER(P115),ISNUMBER(R115)),R115*5/12-O115*(P115-R115),""),"")</f>
        <v/>
      </c>
      <c r="AC115" s="30">
        <f>IF(Y115=1,COUNTIFS($X$5:$X$404,X115,$V$5:$V$404,V115,$Y$5:$Y$404,1),"")</f>
        <v/>
      </c>
      <c r="AD115" s="30">
        <f>IF(Y115=1,IFERROR(IF(AC115&gt;='參數'!$B$9,INDEX('分群統計'!$G$13:$K$16,MATCH(X115,'分群統計'!$A$13:$A$16,0),MATCH(V115,'分群統計'!$G$12:$K$12,0)),INDEX('分群統計'!$I$5:$I$8,MATCH(X115,'分群統計'!$A$5:$A$8,0))),""),"")</f>
        <v/>
      </c>
      <c r="AE115" s="18">
        <f>IF(Y115=1,IFERROR(IF(AC115&gt;='參數'!$B$9,INDEX('分群統計'!$L$13:$P$16,MATCH(X115,'分群統計'!$A$13:$A$16,0),MATCH(V115,'分群統計'!$L$12:$P$12,0)),INDEX('分群統計'!$J$5:$J$8,MATCH(X115,'分群統計'!$A$5:$A$8,0))),""),"")</f>
        <v/>
      </c>
      <c r="AF115" s="31">
        <f>IF(ISNUMBER(AE115),IF(AE115&gt;0,MAX(-3,MIN(3,(N115-AD115)/AE115)),0),"")</f>
        <v/>
      </c>
      <c r="AG115" s="30">
        <f>IF(Y115=1,COUNTIFS($B$5:$B$404,B115,$Y$5:$Y$404,1),"")</f>
        <v/>
      </c>
      <c r="AH115" s="30">
        <f>IF(Y115=1,IFERROR(IF(ISNUMBER(INDEX('分群統計'!$G$20:$G$59,MATCH(B115,'分群統計'!$A$20:$A$59,0))),INDEX('分群統計'!$H$20:$H$59,MATCH(B115,'分群統計'!$A$20:$A$59,0))+INDEX('分群統計'!$G$20:$G$59,MATCH(B115,'分群統計'!$A$20:$A$59,0))*AU115,""),""),"")</f>
        <v/>
      </c>
      <c r="AI115" s="34">
        <f>IF(ISNUMBER(AH115),N115-AH115,"")</f>
        <v/>
      </c>
      <c r="AJ115" s="30">
        <f>IF(Y115=1,IFERROR(IF(ISNUMBER(INDEX('分群統計'!$G$5:$G$8,MATCH(X115,'分群統計'!$A$5:$A$8,0))),INDEX('分群統計'!$H$5:$H$8,MATCH(X115,'分群統計'!$A$5:$A$8,0))+INDEX('分群統計'!$G$5:$G$8,MATCH(X115,'分群統計'!$A$5:$A$8,0))*AU115,""),""),"")</f>
        <v/>
      </c>
      <c r="AK115" s="34">
        <f>IF(ISNUMBER(AJ115),N115-AJ115,"")</f>
        <v/>
      </c>
      <c r="AL115" s="21">
        <f>IF(ISNUMBER(AJ115),IF(AJ115&gt;0,AK115/AJ115,""),"")</f>
        <v/>
      </c>
      <c r="AM115" s="31">
        <f>IF(AY115&lt;&gt;1,"",IFERROR(IF(INDEX('分群統計'!$K$5:$K$8,MATCH(X115,'分群統計'!$A$5:$A$8,0))&lt;3,"",IF(INDEX('分群統計'!$M$5:$M$8,MATCH(X115,'分群統計'!$A$5:$A$8,0))&gt;0,MAX(-3,MIN(3,(AX115-INDEX('分群統計'!$L$5:$L$8,MATCH(X115,'分群統計'!$A$5:$A$8,0)))/INDEX('分群統計'!$M$5:$M$8,MATCH(X115,'分群統計'!$A$5:$A$8,0)))),0)),""))</f>
        <v/>
      </c>
      <c r="AN115" s="31">
        <f>IF(ISNUMBER(AB115),IF(Z115&gt;0,AB115/Z115*100,""),"")</f>
        <v/>
      </c>
      <c r="AO115" s="31">
        <f>IF(BA115&lt;&gt;1,"",IFERROR(IF(INDEX('分群統計'!$N$5:$N$8,MATCH(X115,'分群統計'!$A$5:$A$8,0))&lt;3,"",IF(INDEX('分群統計'!$P$5:$P$8,MATCH(X115,'分群統計'!$A$5:$A$8,0))&gt;0,MAX(-3,MIN(3,(AZ115-INDEX('分群統計'!$O$5:$O$8,MATCH(X115,'分群統計'!$A$5:$A$8,0)))/INDEX('分群統計'!$P$5:$P$8,MATCH(X115,'分群統計'!$A$5:$A$8,0)))),0)),""))</f>
        <v/>
      </c>
      <c r="AP115" s="31">
        <f>IF(BC115&lt;&gt;1,"",IFERROR(IF(INDEX('分群統計'!$Q$5:$Q$8,MATCH(X115,'分群統計'!$A$5:$A$8,0))&lt;3,"",IF(INDEX('分群統計'!$S$5:$S$8,MATCH(X115,'分群統計'!$A$5:$A$8,0))&gt;0,MAX(-3,MIN(3,(BB115-INDEX('分群統計'!$R$5:$R$8,MATCH(X115,'分群統計'!$A$5:$A$8,0)))/INDEX('分群統計'!$S$5:$S$8,MATCH(X115,'分群統計'!$A$5:$A$8,0)))),0)),""))</f>
        <v/>
      </c>
      <c r="AQ115" s="31">
        <f>IF(Y115=1,(IF(ISNUMBER(AF115),AF115,0)*'參數'!$B$13+IF(ISNUMBER(AM115),AM115,0)*'參數'!$B$14+IF(ISNUMBER(AO115),AO115,0)*'參數'!$B$15+IF(ISNUMBER(AP115),AP115,0)*'參數'!$B$16)/('參數'!$B$13+'參數'!$B$14+'參數'!$B$15+'參數'!$B$16),"")</f>
        <v/>
      </c>
      <c r="AR115" s="35">
        <f>IF(Y115=1,(SUMPRODUCT(($X$5:$X$404=X115)*($Y$5:$Y$404=1)*($BD$5:$BD$404&gt;BD115))+1)/COUNTIFS($X$5:$X$404,X115,$Y$5:$Y$404,1),"")</f>
        <v/>
      </c>
      <c r="AS115" s="8">
        <f>IF(ISNUMBER(AR115),IF(AR115&lt;='參數'!$B$18,"加碼候選",IF(AR115&gt;'參數'!$B$19,"減碼候選","")),"")</f>
        <v/>
      </c>
      <c r="AT115" s="7">
        <f>IF(Y115=1,N115,0)</f>
        <v/>
      </c>
      <c r="AU115" s="7">
        <f>IF(Y115=1,LN(O115),0)</f>
        <v/>
      </c>
      <c r="AV115" s="36">
        <f>IF(Y115=1,IF(ISNUMBER(F115),F115,0),0)</f>
        <v/>
      </c>
      <c r="AW115" s="7">
        <f>IF(Y115=1,Z115,0)</f>
        <v/>
      </c>
      <c r="AX115" s="7">
        <f>IF(Y115=1,IF(ISNUMBER(AL115),AL115,0),0)</f>
        <v/>
      </c>
      <c r="AY115" s="7">
        <f>IF(Y115=1,IF(ISNUMBER(AL115),1,0),0)</f>
        <v/>
      </c>
      <c r="AZ115" s="7">
        <f>IF(Y115=1,IF(ISNUMBER(AN115),AN115,0),0)</f>
        <v/>
      </c>
      <c r="BA115" s="7">
        <f>IF(Y115=1,IF(ISNUMBER(AN115),1,0),0)</f>
        <v/>
      </c>
      <c r="BB115" s="7">
        <f>IF(Y115=1,IF(ISNUMBER(T115),T115,0),0)</f>
        <v/>
      </c>
      <c r="BC115" s="7">
        <f>IF(Y115=1,IF(ISNUMBER(T115),1,0),0)</f>
        <v/>
      </c>
      <c r="BD115" s="7">
        <f>IF(Y115=1,AQ115+ROW()/1E9,-1E9)</f>
        <v/>
      </c>
      <c r="BE115" s="7">
        <f>IF(Y115=1,AQ115+ROW()/1E9,1E9)</f>
        <v/>
      </c>
    </row>
    <row r="116">
      <c r="A116" s="16" t="n"/>
      <c r="B116" s="8">
        <f>IF($A116="","",BDP($A116,B$3))</f>
        <v/>
      </c>
      <c r="C116" s="8">
        <f>IF($A116="","",BDP($A116,C$3))</f>
        <v/>
      </c>
      <c r="D116" s="28">
        <f>IF($A116="","",BDP($A116,D$3))</f>
        <v/>
      </c>
      <c r="E116" s="29">
        <f>IF($A116="","",BDP($A116,E$3))</f>
        <v/>
      </c>
      <c r="F116" s="17">
        <f>IF($A116="","",BDP($A116,F$3))</f>
        <v/>
      </c>
      <c r="G116" s="8">
        <f>IF($A116="","",BDP($A116,G$3))</f>
        <v/>
      </c>
      <c r="H116" s="8">
        <f>IF($A116="","",BDP($A116,H$3))</f>
        <v/>
      </c>
      <c r="I116" s="8">
        <f>IF($A116="","",BDP($A116,I$3))</f>
        <v/>
      </c>
      <c r="J116" s="8">
        <f>IF($A116="","",BDP($A116,J$3))</f>
        <v/>
      </c>
      <c r="K116" s="8">
        <f>IF($A116="","",BDP($A116,K$3))</f>
        <v/>
      </c>
      <c r="L116" s="28">
        <f>IF($A116="","",BDP($A116,L$3))</f>
        <v/>
      </c>
      <c r="M116" s="28">
        <f>IF($A116="","",BDP($A116,M$3))</f>
        <v/>
      </c>
      <c r="N116" s="30">
        <f>IF($A116="","",BDP($A116,N$3))</f>
        <v/>
      </c>
      <c r="O116" s="31">
        <f>IF($A116="","",BDP($A116,O$3))</f>
        <v/>
      </c>
      <c r="P116" s="30">
        <f>IF($A116="","",BDH($A116,$N$3,'參數'!$B$5,'參數'!$B$5,"Days=A","Fill=P","Dates=H"))</f>
        <v/>
      </c>
      <c r="Q116" s="30">
        <f>IF($A116="","",BDH($A116,$N$3,'參數'!$B$6,'參數'!$B$6,"Days=A","Fill=P","Dates=H"))</f>
        <v/>
      </c>
      <c r="R116" s="30">
        <f>IF($A116="","",BDH($A116,$N$3,'參數'!$B$7,'參數'!$B$7,"Days=A","Fill=P","Dates=H"))</f>
        <v/>
      </c>
      <c r="S116" s="32">
        <f>IF($A116="","",IFERROR(INDEX('發行人'!$A$5:$A$44,MATCH(B116,'發行人'!$D$5:$D$44,0)),"未對應"))</f>
        <v/>
      </c>
      <c r="T116" s="24">
        <f>IF($A116="","",IFERROR(INDEX('發行人'!$G$5:$G$44,MATCH(B116,'發行人'!$D$5:$D$44,0))+0,""))</f>
        <v/>
      </c>
      <c r="U116" s="18">
        <f>IF(ISNUMBER(E116),YEARFRAC('參數'!$B$4,E116),"")</f>
        <v/>
      </c>
      <c r="V116" s="8">
        <f>IF(U116="","",IF(U116&lt;3,"1-3y",IF(U116&lt;5,"3-5y",IF(U116&lt;7,"5-7y",IF(U116&lt;10,"7-10y","10y+")))))</f>
        <v/>
      </c>
      <c r="W116" s="30">
        <f>IF($A116="","",IFERROR(INDEX('參數'!$B$24:$B$45,MATCH(G116,'參數'!$A$24:$A$45,0)),""))</f>
        <v/>
      </c>
      <c r="X116" s="8">
        <f>IF($A116="","",IFERROR(INDEX('參數'!$C$24:$C$45,MATCH(G116,'參數'!$A$24:$A$45,0)),""))</f>
        <v/>
      </c>
      <c r="Y116" s="30">
        <f>IF(AND(ISNUMBER(N116),ISNUMBER(O116),ISNUMBER(U116)),IF(AND(O116&gt;0,X116&lt;&gt;""),1,0),0)</f>
        <v/>
      </c>
      <c r="Z116" s="17">
        <f>IF(Y116=1,O116*N116,"")</f>
        <v/>
      </c>
      <c r="AA116" s="33">
        <f>IF(Y116=1,IF(ISNUMBER(Q116),N116-Q116,""),"")</f>
        <v/>
      </c>
      <c r="AB116" s="33">
        <f>IF(Y116=1,IF(AND(ISNUMBER(P116),ISNUMBER(R116)),R116*5/12-O116*(P116-R116),""),"")</f>
        <v/>
      </c>
      <c r="AC116" s="30">
        <f>IF(Y116=1,COUNTIFS($X$5:$X$404,X116,$V$5:$V$404,V116,$Y$5:$Y$404,1),"")</f>
        <v/>
      </c>
      <c r="AD116" s="30">
        <f>IF(Y116=1,IFERROR(IF(AC116&gt;='參數'!$B$9,INDEX('分群統計'!$G$13:$K$16,MATCH(X116,'分群統計'!$A$13:$A$16,0),MATCH(V116,'分群統計'!$G$12:$K$12,0)),INDEX('分群統計'!$I$5:$I$8,MATCH(X116,'分群統計'!$A$5:$A$8,0))),""),"")</f>
        <v/>
      </c>
      <c r="AE116" s="18">
        <f>IF(Y116=1,IFERROR(IF(AC116&gt;='參數'!$B$9,INDEX('分群統計'!$L$13:$P$16,MATCH(X116,'分群統計'!$A$13:$A$16,0),MATCH(V116,'分群統計'!$L$12:$P$12,0)),INDEX('分群統計'!$J$5:$J$8,MATCH(X116,'分群統計'!$A$5:$A$8,0))),""),"")</f>
        <v/>
      </c>
      <c r="AF116" s="31">
        <f>IF(ISNUMBER(AE116),IF(AE116&gt;0,MAX(-3,MIN(3,(N116-AD116)/AE116)),0),"")</f>
        <v/>
      </c>
      <c r="AG116" s="30">
        <f>IF(Y116=1,COUNTIFS($B$5:$B$404,B116,$Y$5:$Y$404,1),"")</f>
        <v/>
      </c>
      <c r="AH116" s="30">
        <f>IF(Y116=1,IFERROR(IF(ISNUMBER(INDEX('分群統計'!$G$20:$G$59,MATCH(B116,'分群統計'!$A$20:$A$59,0))),INDEX('分群統計'!$H$20:$H$59,MATCH(B116,'分群統計'!$A$20:$A$59,0))+INDEX('分群統計'!$G$20:$G$59,MATCH(B116,'分群統計'!$A$20:$A$59,0))*AU116,""),""),"")</f>
        <v/>
      </c>
      <c r="AI116" s="34">
        <f>IF(ISNUMBER(AH116),N116-AH116,"")</f>
        <v/>
      </c>
      <c r="AJ116" s="30">
        <f>IF(Y116=1,IFERROR(IF(ISNUMBER(INDEX('分群統計'!$G$5:$G$8,MATCH(X116,'分群統計'!$A$5:$A$8,0))),INDEX('分群統計'!$H$5:$H$8,MATCH(X116,'分群統計'!$A$5:$A$8,0))+INDEX('分群統計'!$G$5:$G$8,MATCH(X116,'分群統計'!$A$5:$A$8,0))*AU116,""),""),"")</f>
        <v/>
      </c>
      <c r="AK116" s="34">
        <f>IF(ISNUMBER(AJ116),N116-AJ116,"")</f>
        <v/>
      </c>
      <c r="AL116" s="21">
        <f>IF(ISNUMBER(AJ116),IF(AJ116&gt;0,AK116/AJ116,""),"")</f>
        <v/>
      </c>
      <c r="AM116" s="31">
        <f>IF(AY116&lt;&gt;1,"",IFERROR(IF(INDEX('分群統計'!$K$5:$K$8,MATCH(X116,'分群統計'!$A$5:$A$8,0))&lt;3,"",IF(INDEX('分群統計'!$M$5:$M$8,MATCH(X116,'分群統計'!$A$5:$A$8,0))&gt;0,MAX(-3,MIN(3,(AX116-INDEX('分群統計'!$L$5:$L$8,MATCH(X116,'分群統計'!$A$5:$A$8,0)))/INDEX('分群統計'!$M$5:$M$8,MATCH(X116,'分群統計'!$A$5:$A$8,0)))),0)),""))</f>
        <v/>
      </c>
      <c r="AN116" s="31">
        <f>IF(ISNUMBER(AB116),IF(Z116&gt;0,AB116/Z116*100,""),"")</f>
        <v/>
      </c>
      <c r="AO116" s="31">
        <f>IF(BA116&lt;&gt;1,"",IFERROR(IF(INDEX('分群統計'!$N$5:$N$8,MATCH(X116,'分群統計'!$A$5:$A$8,0))&lt;3,"",IF(INDEX('分群統計'!$P$5:$P$8,MATCH(X116,'分群統計'!$A$5:$A$8,0))&gt;0,MAX(-3,MIN(3,(AZ116-INDEX('分群統計'!$O$5:$O$8,MATCH(X116,'分群統計'!$A$5:$A$8,0)))/INDEX('分群統計'!$P$5:$P$8,MATCH(X116,'分群統計'!$A$5:$A$8,0)))),0)),""))</f>
        <v/>
      </c>
      <c r="AP116" s="31">
        <f>IF(BC116&lt;&gt;1,"",IFERROR(IF(INDEX('分群統計'!$Q$5:$Q$8,MATCH(X116,'分群統計'!$A$5:$A$8,0))&lt;3,"",IF(INDEX('分群統計'!$S$5:$S$8,MATCH(X116,'分群統計'!$A$5:$A$8,0))&gt;0,MAX(-3,MIN(3,(BB116-INDEX('分群統計'!$R$5:$R$8,MATCH(X116,'分群統計'!$A$5:$A$8,0)))/INDEX('分群統計'!$S$5:$S$8,MATCH(X116,'分群統計'!$A$5:$A$8,0)))),0)),""))</f>
        <v/>
      </c>
      <c r="AQ116" s="31">
        <f>IF(Y116=1,(IF(ISNUMBER(AF116),AF116,0)*'參數'!$B$13+IF(ISNUMBER(AM116),AM116,0)*'參數'!$B$14+IF(ISNUMBER(AO116),AO116,0)*'參數'!$B$15+IF(ISNUMBER(AP116),AP116,0)*'參數'!$B$16)/('參數'!$B$13+'參數'!$B$14+'參數'!$B$15+'參數'!$B$16),"")</f>
        <v/>
      </c>
      <c r="AR116" s="35">
        <f>IF(Y116=1,(SUMPRODUCT(($X$5:$X$404=X116)*($Y$5:$Y$404=1)*($BD$5:$BD$404&gt;BD116))+1)/COUNTIFS($X$5:$X$404,X116,$Y$5:$Y$404,1),"")</f>
        <v/>
      </c>
      <c r="AS116" s="8">
        <f>IF(ISNUMBER(AR116),IF(AR116&lt;='參數'!$B$18,"加碼候選",IF(AR116&gt;'參數'!$B$19,"減碼候選","")),"")</f>
        <v/>
      </c>
      <c r="AT116" s="7">
        <f>IF(Y116=1,N116,0)</f>
        <v/>
      </c>
      <c r="AU116" s="7">
        <f>IF(Y116=1,LN(O116),0)</f>
        <v/>
      </c>
      <c r="AV116" s="36">
        <f>IF(Y116=1,IF(ISNUMBER(F116),F116,0),0)</f>
        <v/>
      </c>
      <c r="AW116" s="7">
        <f>IF(Y116=1,Z116,0)</f>
        <v/>
      </c>
      <c r="AX116" s="7">
        <f>IF(Y116=1,IF(ISNUMBER(AL116),AL116,0),0)</f>
        <v/>
      </c>
      <c r="AY116" s="7">
        <f>IF(Y116=1,IF(ISNUMBER(AL116),1,0),0)</f>
        <v/>
      </c>
      <c r="AZ116" s="7">
        <f>IF(Y116=1,IF(ISNUMBER(AN116),AN116,0),0)</f>
        <v/>
      </c>
      <c r="BA116" s="7">
        <f>IF(Y116=1,IF(ISNUMBER(AN116),1,0),0)</f>
        <v/>
      </c>
      <c r="BB116" s="7">
        <f>IF(Y116=1,IF(ISNUMBER(T116),T116,0),0)</f>
        <v/>
      </c>
      <c r="BC116" s="7">
        <f>IF(Y116=1,IF(ISNUMBER(T116),1,0),0)</f>
        <v/>
      </c>
      <c r="BD116" s="7">
        <f>IF(Y116=1,AQ116+ROW()/1E9,-1E9)</f>
        <v/>
      </c>
      <c r="BE116" s="7">
        <f>IF(Y116=1,AQ116+ROW()/1E9,1E9)</f>
        <v/>
      </c>
    </row>
    <row r="117">
      <c r="A117" s="16" t="n"/>
      <c r="B117" s="8">
        <f>IF($A117="","",BDP($A117,B$3))</f>
        <v/>
      </c>
      <c r="C117" s="8">
        <f>IF($A117="","",BDP($A117,C$3))</f>
        <v/>
      </c>
      <c r="D117" s="28">
        <f>IF($A117="","",BDP($A117,D$3))</f>
        <v/>
      </c>
      <c r="E117" s="29">
        <f>IF($A117="","",BDP($A117,E$3))</f>
        <v/>
      </c>
      <c r="F117" s="17">
        <f>IF($A117="","",BDP($A117,F$3))</f>
        <v/>
      </c>
      <c r="G117" s="8">
        <f>IF($A117="","",BDP($A117,G$3))</f>
        <v/>
      </c>
      <c r="H117" s="8">
        <f>IF($A117="","",BDP($A117,H$3))</f>
        <v/>
      </c>
      <c r="I117" s="8">
        <f>IF($A117="","",BDP($A117,I$3))</f>
        <v/>
      </c>
      <c r="J117" s="8">
        <f>IF($A117="","",BDP($A117,J$3))</f>
        <v/>
      </c>
      <c r="K117" s="8">
        <f>IF($A117="","",BDP($A117,K$3))</f>
        <v/>
      </c>
      <c r="L117" s="28">
        <f>IF($A117="","",BDP($A117,L$3))</f>
        <v/>
      </c>
      <c r="M117" s="28">
        <f>IF($A117="","",BDP($A117,M$3))</f>
        <v/>
      </c>
      <c r="N117" s="30">
        <f>IF($A117="","",BDP($A117,N$3))</f>
        <v/>
      </c>
      <c r="O117" s="31">
        <f>IF($A117="","",BDP($A117,O$3))</f>
        <v/>
      </c>
      <c r="P117" s="30">
        <f>IF($A117="","",BDH($A117,$N$3,'參數'!$B$5,'參數'!$B$5,"Days=A","Fill=P","Dates=H"))</f>
        <v/>
      </c>
      <c r="Q117" s="30">
        <f>IF($A117="","",BDH($A117,$N$3,'參數'!$B$6,'參數'!$B$6,"Days=A","Fill=P","Dates=H"))</f>
        <v/>
      </c>
      <c r="R117" s="30">
        <f>IF($A117="","",BDH($A117,$N$3,'參數'!$B$7,'參數'!$B$7,"Days=A","Fill=P","Dates=H"))</f>
        <v/>
      </c>
      <c r="S117" s="32">
        <f>IF($A117="","",IFERROR(INDEX('發行人'!$A$5:$A$44,MATCH(B117,'發行人'!$D$5:$D$44,0)),"未對應"))</f>
        <v/>
      </c>
      <c r="T117" s="24">
        <f>IF($A117="","",IFERROR(INDEX('發行人'!$G$5:$G$44,MATCH(B117,'發行人'!$D$5:$D$44,0))+0,""))</f>
        <v/>
      </c>
      <c r="U117" s="18">
        <f>IF(ISNUMBER(E117),YEARFRAC('參數'!$B$4,E117),"")</f>
        <v/>
      </c>
      <c r="V117" s="8">
        <f>IF(U117="","",IF(U117&lt;3,"1-3y",IF(U117&lt;5,"3-5y",IF(U117&lt;7,"5-7y",IF(U117&lt;10,"7-10y","10y+")))))</f>
        <v/>
      </c>
      <c r="W117" s="30">
        <f>IF($A117="","",IFERROR(INDEX('參數'!$B$24:$B$45,MATCH(G117,'參數'!$A$24:$A$45,0)),""))</f>
        <v/>
      </c>
      <c r="X117" s="8">
        <f>IF($A117="","",IFERROR(INDEX('參數'!$C$24:$C$45,MATCH(G117,'參數'!$A$24:$A$45,0)),""))</f>
        <v/>
      </c>
      <c r="Y117" s="30">
        <f>IF(AND(ISNUMBER(N117),ISNUMBER(O117),ISNUMBER(U117)),IF(AND(O117&gt;0,X117&lt;&gt;""),1,0),0)</f>
        <v/>
      </c>
      <c r="Z117" s="17">
        <f>IF(Y117=1,O117*N117,"")</f>
        <v/>
      </c>
      <c r="AA117" s="33">
        <f>IF(Y117=1,IF(ISNUMBER(Q117),N117-Q117,""),"")</f>
        <v/>
      </c>
      <c r="AB117" s="33">
        <f>IF(Y117=1,IF(AND(ISNUMBER(P117),ISNUMBER(R117)),R117*5/12-O117*(P117-R117),""),"")</f>
        <v/>
      </c>
      <c r="AC117" s="30">
        <f>IF(Y117=1,COUNTIFS($X$5:$X$404,X117,$V$5:$V$404,V117,$Y$5:$Y$404,1),"")</f>
        <v/>
      </c>
      <c r="AD117" s="30">
        <f>IF(Y117=1,IFERROR(IF(AC117&gt;='參數'!$B$9,INDEX('分群統計'!$G$13:$K$16,MATCH(X117,'分群統計'!$A$13:$A$16,0),MATCH(V117,'分群統計'!$G$12:$K$12,0)),INDEX('分群統計'!$I$5:$I$8,MATCH(X117,'分群統計'!$A$5:$A$8,0))),""),"")</f>
        <v/>
      </c>
      <c r="AE117" s="18">
        <f>IF(Y117=1,IFERROR(IF(AC117&gt;='參數'!$B$9,INDEX('分群統計'!$L$13:$P$16,MATCH(X117,'分群統計'!$A$13:$A$16,0),MATCH(V117,'分群統計'!$L$12:$P$12,0)),INDEX('分群統計'!$J$5:$J$8,MATCH(X117,'分群統計'!$A$5:$A$8,0))),""),"")</f>
        <v/>
      </c>
      <c r="AF117" s="31">
        <f>IF(ISNUMBER(AE117),IF(AE117&gt;0,MAX(-3,MIN(3,(N117-AD117)/AE117)),0),"")</f>
        <v/>
      </c>
      <c r="AG117" s="30">
        <f>IF(Y117=1,COUNTIFS($B$5:$B$404,B117,$Y$5:$Y$404,1),"")</f>
        <v/>
      </c>
      <c r="AH117" s="30">
        <f>IF(Y117=1,IFERROR(IF(ISNUMBER(INDEX('分群統計'!$G$20:$G$59,MATCH(B117,'分群統計'!$A$20:$A$59,0))),INDEX('分群統計'!$H$20:$H$59,MATCH(B117,'分群統計'!$A$20:$A$59,0))+INDEX('分群統計'!$G$20:$G$59,MATCH(B117,'分群統計'!$A$20:$A$59,0))*AU117,""),""),"")</f>
        <v/>
      </c>
      <c r="AI117" s="34">
        <f>IF(ISNUMBER(AH117),N117-AH117,"")</f>
        <v/>
      </c>
      <c r="AJ117" s="30">
        <f>IF(Y117=1,IFERROR(IF(ISNUMBER(INDEX('分群統計'!$G$5:$G$8,MATCH(X117,'分群統計'!$A$5:$A$8,0))),INDEX('分群統計'!$H$5:$H$8,MATCH(X117,'分群統計'!$A$5:$A$8,0))+INDEX('分群統計'!$G$5:$G$8,MATCH(X117,'分群統計'!$A$5:$A$8,0))*AU117,""),""),"")</f>
        <v/>
      </c>
      <c r="AK117" s="34">
        <f>IF(ISNUMBER(AJ117),N117-AJ117,"")</f>
        <v/>
      </c>
      <c r="AL117" s="21">
        <f>IF(ISNUMBER(AJ117),IF(AJ117&gt;0,AK117/AJ117,""),"")</f>
        <v/>
      </c>
      <c r="AM117" s="31">
        <f>IF(AY117&lt;&gt;1,"",IFERROR(IF(INDEX('分群統計'!$K$5:$K$8,MATCH(X117,'分群統計'!$A$5:$A$8,0))&lt;3,"",IF(INDEX('分群統計'!$M$5:$M$8,MATCH(X117,'分群統計'!$A$5:$A$8,0))&gt;0,MAX(-3,MIN(3,(AX117-INDEX('分群統計'!$L$5:$L$8,MATCH(X117,'分群統計'!$A$5:$A$8,0)))/INDEX('分群統計'!$M$5:$M$8,MATCH(X117,'分群統計'!$A$5:$A$8,0)))),0)),""))</f>
        <v/>
      </c>
      <c r="AN117" s="31">
        <f>IF(ISNUMBER(AB117),IF(Z117&gt;0,AB117/Z117*100,""),"")</f>
        <v/>
      </c>
      <c r="AO117" s="31">
        <f>IF(BA117&lt;&gt;1,"",IFERROR(IF(INDEX('分群統計'!$N$5:$N$8,MATCH(X117,'分群統計'!$A$5:$A$8,0))&lt;3,"",IF(INDEX('分群統計'!$P$5:$P$8,MATCH(X117,'分群統計'!$A$5:$A$8,0))&gt;0,MAX(-3,MIN(3,(AZ117-INDEX('分群統計'!$O$5:$O$8,MATCH(X117,'分群統計'!$A$5:$A$8,0)))/INDEX('分群統計'!$P$5:$P$8,MATCH(X117,'分群統計'!$A$5:$A$8,0)))),0)),""))</f>
        <v/>
      </c>
      <c r="AP117" s="31">
        <f>IF(BC117&lt;&gt;1,"",IFERROR(IF(INDEX('分群統計'!$Q$5:$Q$8,MATCH(X117,'分群統計'!$A$5:$A$8,0))&lt;3,"",IF(INDEX('分群統計'!$S$5:$S$8,MATCH(X117,'分群統計'!$A$5:$A$8,0))&gt;0,MAX(-3,MIN(3,(BB117-INDEX('分群統計'!$R$5:$R$8,MATCH(X117,'分群統計'!$A$5:$A$8,0)))/INDEX('分群統計'!$S$5:$S$8,MATCH(X117,'分群統計'!$A$5:$A$8,0)))),0)),""))</f>
        <v/>
      </c>
      <c r="AQ117" s="31">
        <f>IF(Y117=1,(IF(ISNUMBER(AF117),AF117,0)*'參數'!$B$13+IF(ISNUMBER(AM117),AM117,0)*'參數'!$B$14+IF(ISNUMBER(AO117),AO117,0)*'參數'!$B$15+IF(ISNUMBER(AP117),AP117,0)*'參數'!$B$16)/('參數'!$B$13+'參數'!$B$14+'參數'!$B$15+'參數'!$B$16),"")</f>
        <v/>
      </c>
      <c r="AR117" s="35">
        <f>IF(Y117=1,(SUMPRODUCT(($X$5:$X$404=X117)*($Y$5:$Y$404=1)*($BD$5:$BD$404&gt;BD117))+1)/COUNTIFS($X$5:$X$404,X117,$Y$5:$Y$404,1),"")</f>
        <v/>
      </c>
      <c r="AS117" s="8">
        <f>IF(ISNUMBER(AR117),IF(AR117&lt;='參數'!$B$18,"加碼候選",IF(AR117&gt;'參數'!$B$19,"減碼候選","")),"")</f>
        <v/>
      </c>
      <c r="AT117" s="7">
        <f>IF(Y117=1,N117,0)</f>
        <v/>
      </c>
      <c r="AU117" s="7">
        <f>IF(Y117=1,LN(O117),0)</f>
        <v/>
      </c>
      <c r="AV117" s="36">
        <f>IF(Y117=1,IF(ISNUMBER(F117),F117,0),0)</f>
        <v/>
      </c>
      <c r="AW117" s="7">
        <f>IF(Y117=1,Z117,0)</f>
        <v/>
      </c>
      <c r="AX117" s="7">
        <f>IF(Y117=1,IF(ISNUMBER(AL117),AL117,0),0)</f>
        <v/>
      </c>
      <c r="AY117" s="7">
        <f>IF(Y117=1,IF(ISNUMBER(AL117),1,0),0)</f>
        <v/>
      </c>
      <c r="AZ117" s="7">
        <f>IF(Y117=1,IF(ISNUMBER(AN117),AN117,0),0)</f>
        <v/>
      </c>
      <c r="BA117" s="7">
        <f>IF(Y117=1,IF(ISNUMBER(AN117),1,0),0)</f>
        <v/>
      </c>
      <c r="BB117" s="7">
        <f>IF(Y117=1,IF(ISNUMBER(T117),T117,0),0)</f>
        <v/>
      </c>
      <c r="BC117" s="7">
        <f>IF(Y117=1,IF(ISNUMBER(T117),1,0),0)</f>
        <v/>
      </c>
      <c r="BD117" s="7">
        <f>IF(Y117=1,AQ117+ROW()/1E9,-1E9)</f>
        <v/>
      </c>
      <c r="BE117" s="7">
        <f>IF(Y117=1,AQ117+ROW()/1E9,1E9)</f>
        <v/>
      </c>
    </row>
    <row r="118">
      <c r="A118" s="16" t="n"/>
      <c r="B118" s="8">
        <f>IF($A118="","",BDP($A118,B$3))</f>
        <v/>
      </c>
      <c r="C118" s="8">
        <f>IF($A118="","",BDP($A118,C$3))</f>
        <v/>
      </c>
      <c r="D118" s="28">
        <f>IF($A118="","",BDP($A118,D$3))</f>
        <v/>
      </c>
      <c r="E118" s="29">
        <f>IF($A118="","",BDP($A118,E$3))</f>
        <v/>
      </c>
      <c r="F118" s="17">
        <f>IF($A118="","",BDP($A118,F$3))</f>
        <v/>
      </c>
      <c r="G118" s="8">
        <f>IF($A118="","",BDP($A118,G$3))</f>
        <v/>
      </c>
      <c r="H118" s="8">
        <f>IF($A118="","",BDP($A118,H$3))</f>
        <v/>
      </c>
      <c r="I118" s="8">
        <f>IF($A118="","",BDP($A118,I$3))</f>
        <v/>
      </c>
      <c r="J118" s="8">
        <f>IF($A118="","",BDP($A118,J$3))</f>
        <v/>
      </c>
      <c r="K118" s="8">
        <f>IF($A118="","",BDP($A118,K$3))</f>
        <v/>
      </c>
      <c r="L118" s="28">
        <f>IF($A118="","",BDP($A118,L$3))</f>
        <v/>
      </c>
      <c r="M118" s="28">
        <f>IF($A118="","",BDP($A118,M$3))</f>
        <v/>
      </c>
      <c r="N118" s="30">
        <f>IF($A118="","",BDP($A118,N$3))</f>
        <v/>
      </c>
      <c r="O118" s="31">
        <f>IF($A118="","",BDP($A118,O$3))</f>
        <v/>
      </c>
      <c r="P118" s="30">
        <f>IF($A118="","",BDH($A118,$N$3,'參數'!$B$5,'參數'!$B$5,"Days=A","Fill=P","Dates=H"))</f>
        <v/>
      </c>
      <c r="Q118" s="30">
        <f>IF($A118="","",BDH($A118,$N$3,'參數'!$B$6,'參數'!$B$6,"Days=A","Fill=P","Dates=H"))</f>
        <v/>
      </c>
      <c r="R118" s="30">
        <f>IF($A118="","",BDH($A118,$N$3,'參數'!$B$7,'參數'!$B$7,"Days=A","Fill=P","Dates=H"))</f>
        <v/>
      </c>
      <c r="S118" s="32">
        <f>IF($A118="","",IFERROR(INDEX('發行人'!$A$5:$A$44,MATCH(B118,'發行人'!$D$5:$D$44,0)),"未對應"))</f>
        <v/>
      </c>
      <c r="T118" s="24">
        <f>IF($A118="","",IFERROR(INDEX('發行人'!$G$5:$G$44,MATCH(B118,'發行人'!$D$5:$D$44,0))+0,""))</f>
        <v/>
      </c>
      <c r="U118" s="18">
        <f>IF(ISNUMBER(E118),YEARFRAC('參數'!$B$4,E118),"")</f>
        <v/>
      </c>
      <c r="V118" s="8">
        <f>IF(U118="","",IF(U118&lt;3,"1-3y",IF(U118&lt;5,"3-5y",IF(U118&lt;7,"5-7y",IF(U118&lt;10,"7-10y","10y+")))))</f>
        <v/>
      </c>
      <c r="W118" s="30">
        <f>IF($A118="","",IFERROR(INDEX('參數'!$B$24:$B$45,MATCH(G118,'參數'!$A$24:$A$45,0)),""))</f>
        <v/>
      </c>
      <c r="X118" s="8">
        <f>IF($A118="","",IFERROR(INDEX('參數'!$C$24:$C$45,MATCH(G118,'參數'!$A$24:$A$45,0)),""))</f>
        <v/>
      </c>
      <c r="Y118" s="30">
        <f>IF(AND(ISNUMBER(N118),ISNUMBER(O118),ISNUMBER(U118)),IF(AND(O118&gt;0,X118&lt;&gt;""),1,0),0)</f>
        <v/>
      </c>
      <c r="Z118" s="17">
        <f>IF(Y118=1,O118*N118,"")</f>
        <v/>
      </c>
      <c r="AA118" s="33">
        <f>IF(Y118=1,IF(ISNUMBER(Q118),N118-Q118,""),"")</f>
        <v/>
      </c>
      <c r="AB118" s="33">
        <f>IF(Y118=1,IF(AND(ISNUMBER(P118),ISNUMBER(R118)),R118*5/12-O118*(P118-R118),""),"")</f>
        <v/>
      </c>
      <c r="AC118" s="30">
        <f>IF(Y118=1,COUNTIFS($X$5:$X$404,X118,$V$5:$V$404,V118,$Y$5:$Y$404,1),"")</f>
        <v/>
      </c>
      <c r="AD118" s="30">
        <f>IF(Y118=1,IFERROR(IF(AC118&gt;='參數'!$B$9,INDEX('分群統計'!$G$13:$K$16,MATCH(X118,'分群統計'!$A$13:$A$16,0),MATCH(V118,'分群統計'!$G$12:$K$12,0)),INDEX('分群統計'!$I$5:$I$8,MATCH(X118,'分群統計'!$A$5:$A$8,0))),""),"")</f>
        <v/>
      </c>
      <c r="AE118" s="18">
        <f>IF(Y118=1,IFERROR(IF(AC118&gt;='參數'!$B$9,INDEX('分群統計'!$L$13:$P$16,MATCH(X118,'分群統計'!$A$13:$A$16,0),MATCH(V118,'分群統計'!$L$12:$P$12,0)),INDEX('分群統計'!$J$5:$J$8,MATCH(X118,'分群統計'!$A$5:$A$8,0))),""),"")</f>
        <v/>
      </c>
      <c r="AF118" s="31">
        <f>IF(ISNUMBER(AE118),IF(AE118&gt;0,MAX(-3,MIN(3,(N118-AD118)/AE118)),0),"")</f>
        <v/>
      </c>
      <c r="AG118" s="30">
        <f>IF(Y118=1,COUNTIFS($B$5:$B$404,B118,$Y$5:$Y$404,1),"")</f>
        <v/>
      </c>
      <c r="AH118" s="30">
        <f>IF(Y118=1,IFERROR(IF(ISNUMBER(INDEX('分群統計'!$G$20:$G$59,MATCH(B118,'分群統計'!$A$20:$A$59,0))),INDEX('分群統計'!$H$20:$H$59,MATCH(B118,'分群統計'!$A$20:$A$59,0))+INDEX('分群統計'!$G$20:$G$59,MATCH(B118,'分群統計'!$A$20:$A$59,0))*AU118,""),""),"")</f>
        <v/>
      </c>
      <c r="AI118" s="34">
        <f>IF(ISNUMBER(AH118),N118-AH118,"")</f>
        <v/>
      </c>
      <c r="AJ118" s="30">
        <f>IF(Y118=1,IFERROR(IF(ISNUMBER(INDEX('分群統計'!$G$5:$G$8,MATCH(X118,'分群統計'!$A$5:$A$8,0))),INDEX('分群統計'!$H$5:$H$8,MATCH(X118,'分群統計'!$A$5:$A$8,0))+INDEX('分群統計'!$G$5:$G$8,MATCH(X118,'分群統計'!$A$5:$A$8,0))*AU118,""),""),"")</f>
        <v/>
      </c>
      <c r="AK118" s="34">
        <f>IF(ISNUMBER(AJ118),N118-AJ118,"")</f>
        <v/>
      </c>
      <c r="AL118" s="21">
        <f>IF(ISNUMBER(AJ118),IF(AJ118&gt;0,AK118/AJ118,""),"")</f>
        <v/>
      </c>
      <c r="AM118" s="31">
        <f>IF(AY118&lt;&gt;1,"",IFERROR(IF(INDEX('分群統計'!$K$5:$K$8,MATCH(X118,'分群統計'!$A$5:$A$8,0))&lt;3,"",IF(INDEX('分群統計'!$M$5:$M$8,MATCH(X118,'分群統計'!$A$5:$A$8,0))&gt;0,MAX(-3,MIN(3,(AX118-INDEX('分群統計'!$L$5:$L$8,MATCH(X118,'分群統計'!$A$5:$A$8,0)))/INDEX('分群統計'!$M$5:$M$8,MATCH(X118,'分群統計'!$A$5:$A$8,0)))),0)),""))</f>
        <v/>
      </c>
      <c r="AN118" s="31">
        <f>IF(ISNUMBER(AB118),IF(Z118&gt;0,AB118/Z118*100,""),"")</f>
        <v/>
      </c>
      <c r="AO118" s="31">
        <f>IF(BA118&lt;&gt;1,"",IFERROR(IF(INDEX('分群統計'!$N$5:$N$8,MATCH(X118,'分群統計'!$A$5:$A$8,0))&lt;3,"",IF(INDEX('分群統計'!$P$5:$P$8,MATCH(X118,'分群統計'!$A$5:$A$8,0))&gt;0,MAX(-3,MIN(3,(AZ118-INDEX('分群統計'!$O$5:$O$8,MATCH(X118,'分群統計'!$A$5:$A$8,0)))/INDEX('分群統計'!$P$5:$P$8,MATCH(X118,'分群統計'!$A$5:$A$8,0)))),0)),""))</f>
        <v/>
      </c>
      <c r="AP118" s="31">
        <f>IF(BC118&lt;&gt;1,"",IFERROR(IF(INDEX('分群統計'!$Q$5:$Q$8,MATCH(X118,'分群統計'!$A$5:$A$8,0))&lt;3,"",IF(INDEX('分群統計'!$S$5:$S$8,MATCH(X118,'分群統計'!$A$5:$A$8,0))&gt;0,MAX(-3,MIN(3,(BB118-INDEX('分群統計'!$R$5:$R$8,MATCH(X118,'分群統計'!$A$5:$A$8,0)))/INDEX('分群統計'!$S$5:$S$8,MATCH(X118,'分群統計'!$A$5:$A$8,0)))),0)),""))</f>
        <v/>
      </c>
      <c r="AQ118" s="31">
        <f>IF(Y118=1,(IF(ISNUMBER(AF118),AF118,0)*'參數'!$B$13+IF(ISNUMBER(AM118),AM118,0)*'參數'!$B$14+IF(ISNUMBER(AO118),AO118,0)*'參數'!$B$15+IF(ISNUMBER(AP118),AP118,0)*'參數'!$B$16)/('參數'!$B$13+'參數'!$B$14+'參數'!$B$15+'參數'!$B$16),"")</f>
        <v/>
      </c>
      <c r="AR118" s="35">
        <f>IF(Y118=1,(SUMPRODUCT(($X$5:$X$404=X118)*($Y$5:$Y$404=1)*($BD$5:$BD$404&gt;BD118))+1)/COUNTIFS($X$5:$X$404,X118,$Y$5:$Y$404,1),"")</f>
        <v/>
      </c>
      <c r="AS118" s="8">
        <f>IF(ISNUMBER(AR118),IF(AR118&lt;='參數'!$B$18,"加碼候選",IF(AR118&gt;'參數'!$B$19,"減碼候選","")),"")</f>
        <v/>
      </c>
      <c r="AT118" s="7">
        <f>IF(Y118=1,N118,0)</f>
        <v/>
      </c>
      <c r="AU118" s="7">
        <f>IF(Y118=1,LN(O118),0)</f>
        <v/>
      </c>
      <c r="AV118" s="36">
        <f>IF(Y118=1,IF(ISNUMBER(F118),F118,0),0)</f>
        <v/>
      </c>
      <c r="AW118" s="7">
        <f>IF(Y118=1,Z118,0)</f>
        <v/>
      </c>
      <c r="AX118" s="7">
        <f>IF(Y118=1,IF(ISNUMBER(AL118),AL118,0),0)</f>
        <v/>
      </c>
      <c r="AY118" s="7">
        <f>IF(Y118=1,IF(ISNUMBER(AL118),1,0),0)</f>
        <v/>
      </c>
      <c r="AZ118" s="7">
        <f>IF(Y118=1,IF(ISNUMBER(AN118),AN118,0),0)</f>
        <v/>
      </c>
      <c r="BA118" s="7">
        <f>IF(Y118=1,IF(ISNUMBER(AN118),1,0),0)</f>
        <v/>
      </c>
      <c r="BB118" s="7">
        <f>IF(Y118=1,IF(ISNUMBER(T118),T118,0),0)</f>
        <v/>
      </c>
      <c r="BC118" s="7">
        <f>IF(Y118=1,IF(ISNUMBER(T118),1,0),0)</f>
        <v/>
      </c>
      <c r="BD118" s="7">
        <f>IF(Y118=1,AQ118+ROW()/1E9,-1E9)</f>
        <v/>
      </c>
      <c r="BE118" s="7">
        <f>IF(Y118=1,AQ118+ROW()/1E9,1E9)</f>
        <v/>
      </c>
    </row>
    <row r="119">
      <c r="A119" s="16" t="n"/>
      <c r="B119" s="8">
        <f>IF($A119="","",BDP($A119,B$3))</f>
        <v/>
      </c>
      <c r="C119" s="8">
        <f>IF($A119="","",BDP($A119,C$3))</f>
        <v/>
      </c>
      <c r="D119" s="28">
        <f>IF($A119="","",BDP($A119,D$3))</f>
        <v/>
      </c>
      <c r="E119" s="29">
        <f>IF($A119="","",BDP($A119,E$3))</f>
        <v/>
      </c>
      <c r="F119" s="17">
        <f>IF($A119="","",BDP($A119,F$3))</f>
        <v/>
      </c>
      <c r="G119" s="8">
        <f>IF($A119="","",BDP($A119,G$3))</f>
        <v/>
      </c>
      <c r="H119" s="8">
        <f>IF($A119="","",BDP($A119,H$3))</f>
        <v/>
      </c>
      <c r="I119" s="8">
        <f>IF($A119="","",BDP($A119,I$3))</f>
        <v/>
      </c>
      <c r="J119" s="8">
        <f>IF($A119="","",BDP($A119,J$3))</f>
        <v/>
      </c>
      <c r="K119" s="8">
        <f>IF($A119="","",BDP($A119,K$3))</f>
        <v/>
      </c>
      <c r="L119" s="28">
        <f>IF($A119="","",BDP($A119,L$3))</f>
        <v/>
      </c>
      <c r="M119" s="28">
        <f>IF($A119="","",BDP($A119,M$3))</f>
        <v/>
      </c>
      <c r="N119" s="30">
        <f>IF($A119="","",BDP($A119,N$3))</f>
        <v/>
      </c>
      <c r="O119" s="31">
        <f>IF($A119="","",BDP($A119,O$3))</f>
        <v/>
      </c>
      <c r="P119" s="30">
        <f>IF($A119="","",BDH($A119,$N$3,'參數'!$B$5,'參數'!$B$5,"Days=A","Fill=P","Dates=H"))</f>
        <v/>
      </c>
      <c r="Q119" s="30">
        <f>IF($A119="","",BDH($A119,$N$3,'參數'!$B$6,'參數'!$B$6,"Days=A","Fill=P","Dates=H"))</f>
        <v/>
      </c>
      <c r="R119" s="30">
        <f>IF($A119="","",BDH($A119,$N$3,'參數'!$B$7,'參數'!$B$7,"Days=A","Fill=P","Dates=H"))</f>
        <v/>
      </c>
      <c r="S119" s="32">
        <f>IF($A119="","",IFERROR(INDEX('發行人'!$A$5:$A$44,MATCH(B119,'發行人'!$D$5:$D$44,0)),"未對應"))</f>
        <v/>
      </c>
      <c r="T119" s="24">
        <f>IF($A119="","",IFERROR(INDEX('發行人'!$G$5:$G$44,MATCH(B119,'發行人'!$D$5:$D$44,0))+0,""))</f>
        <v/>
      </c>
      <c r="U119" s="18">
        <f>IF(ISNUMBER(E119),YEARFRAC('參數'!$B$4,E119),"")</f>
        <v/>
      </c>
      <c r="V119" s="8">
        <f>IF(U119="","",IF(U119&lt;3,"1-3y",IF(U119&lt;5,"3-5y",IF(U119&lt;7,"5-7y",IF(U119&lt;10,"7-10y","10y+")))))</f>
        <v/>
      </c>
      <c r="W119" s="30">
        <f>IF($A119="","",IFERROR(INDEX('參數'!$B$24:$B$45,MATCH(G119,'參數'!$A$24:$A$45,0)),""))</f>
        <v/>
      </c>
      <c r="X119" s="8">
        <f>IF($A119="","",IFERROR(INDEX('參數'!$C$24:$C$45,MATCH(G119,'參數'!$A$24:$A$45,0)),""))</f>
        <v/>
      </c>
      <c r="Y119" s="30">
        <f>IF(AND(ISNUMBER(N119),ISNUMBER(O119),ISNUMBER(U119)),IF(AND(O119&gt;0,X119&lt;&gt;""),1,0),0)</f>
        <v/>
      </c>
      <c r="Z119" s="17">
        <f>IF(Y119=1,O119*N119,"")</f>
        <v/>
      </c>
      <c r="AA119" s="33">
        <f>IF(Y119=1,IF(ISNUMBER(Q119),N119-Q119,""),"")</f>
        <v/>
      </c>
      <c r="AB119" s="33">
        <f>IF(Y119=1,IF(AND(ISNUMBER(P119),ISNUMBER(R119)),R119*5/12-O119*(P119-R119),""),"")</f>
        <v/>
      </c>
      <c r="AC119" s="30">
        <f>IF(Y119=1,COUNTIFS($X$5:$X$404,X119,$V$5:$V$404,V119,$Y$5:$Y$404,1),"")</f>
        <v/>
      </c>
      <c r="AD119" s="30">
        <f>IF(Y119=1,IFERROR(IF(AC119&gt;='參數'!$B$9,INDEX('分群統計'!$G$13:$K$16,MATCH(X119,'分群統計'!$A$13:$A$16,0),MATCH(V119,'分群統計'!$G$12:$K$12,0)),INDEX('分群統計'!$I$5:$I$8,MATCH(X119,'分群統計'!$A$5:$A$8,0))),""),"")</f>
        <v/>
      </c>
      <c r="AE119" s="18">
        <f>IF(Y119=1,IFERROR(IF(AC119&gt;='參數'!$B$9,INDEX('分群統計'!$L$13:$P$16,MATCH(X119,'分群統計'!$A$13:$A$16,0),MATCH(V119,'分群統計'!$L$12:$P$12,0)),INDEX('分群統計'!$J$5:$J$8,MATCH(X119,'分群統計'!$A$5:$A$8,0))),""),"")</f>
        <v/>
      </c>
      <c r="AF119" s="31">
        <f>IF(ISNUMBER(AE119),IF(AE119&gt;0,MAX(-3,MIN(3,(N119-AD119)/AE119)),0),"")</f>
        <v/>
      </c>
      <c r="AG119" s="30">
        <f>IF(Y119=1,COUNTIFS($B$5:$B$404,B119,$Y$5:$Y$404,1),"")</f>
        <v/>
      </c>
      <c r="AH119" s="30">
        <f>IF(Y119=1,IFERROR(IF(ISNUMBER(INDEX('分群統計'!$G$20:$G$59,MATCH(B119,'分群統計'!$A$20:$A$59,0))),INDEX('分群統計'!$H$20:$H$59,MATCH(B119,'分群統計'!$A$20:$A$59,0))+INDEX('分群統計'!$G$20:$G$59,MATCH(B119,'分群統計'!$A$20:$A$59,0))*AU119,""),""),"")</f>
        <v/>
      </c>
      <c r="AI119" s="34">
        <f>IF(ISNUMBER(AH119),N119-AH119,"")</f>
        <v/>
      </c>
      <c r="AJ119" s="30">
        <f>IF(Y119=1,IFERROR(IF(ISNUMBER(INDEX('分群統計'!$G$5:$G$8,MATCH(X119,'分群統計'!$A$5:$A$8,0))),INDEX('分群統計'!$H$5:$H$8,MATCH(X119,'分群統計'!$A$5:$A$8,0))+INDEX('分群統計'!$G$5:$G$8,MATCH(X119,'分群統計'!$A$5:$A$8,0))*AU119,""),""),"")</f>
        <v/>
      </c>
      <c r="AK119" s="34">
        <f>IF(ISNUMBER(AJ119),N119-AJ119,"")</f>
        <v/>
      </c>
      <c r="AL119" s="21">
        <f>IF(ISNUMBER(AJ119),IF(AJ119&gt;0,AK119/AJ119,""),"")</f>
        <v/>
      </c>
      <c r="AM119" s="31">
        <f>IF(AY119&lt;&gt;1,"",IFERROR(IF(INDEX('分群統計'!$K$5:$K$8,MATCH(X119,'分群統計'!$A$5:$A$8,0))&lt;3,"",IF(INDEX('分群統計'!$M$5:$M$8,MATCH(X119,'分群統計'!$A$5:$A$8,0))&gt;0,MAX(-3,MIN(3,(AX119-INDEX('分群統計'!$L$5:$L$8,MATCH(X119,'分群統計'!$A$5:$A$8,0)))/INDEX('分群統計'!$M$5:$M$8,MATCH(X119,'分群統計'!$A$5:$A$8,0)))),0)),""))</f>
        <v/>
      </c>
      <c r="AN119" s="31">
        <f>IF(ISNUMBER(AB119),IF(Z119&gt;0,AB119/Z119*100,""),"")</f>
        <v/>
      </c>
      <c r="AO119" s="31">
        <f>IF(BA119&lt;&gt;1,"",IFERROR(IF(INDEX('分群統計'!$N$5:$N$8,MATCH(X119,'分群統計'!$A$5:$A$8,0))&lt;3,"",IF(INDEX('分群統計'!$P$5:$P$8,MATCH(X119,'分群統計'!$A$5:$A$8,0))&gt;0,MAX(-3,MIN(3,(AZ119-INDEX('分群統計'!$O$5:$O$8,MATCH(X119,'分群統計'!$A$5:$A$8,0)))/INDEX('分群統計'!$P$5:$P$8,MATCH(X119,'分群統計'!$A$5:$A$8,0)))),0)),""))</f>
        <v/>
      </c>
      <c r="AP119" s="31">
        <f>IF(BC119&lt;&gt;1,"",IFERROR(IF(INDEX('分群統計'!$Q$5:$Q$8,MATCH(X119,'分群統計'!$A$5:$A$8,0))&lt;3,"",IF(INDEX('分群統計'!$S$5:$S$8,MATCH(X119,'分群統計'!$A$5:$A$8,0))&gt;0,MAX(-3,MIN(3,(BB119-INDEX('分群統計'!$R$5:$R$8,MATCH(X119,'分群統計'!$A$5:$A$8,0)))/INDEX('分群統計'!$S$5:$S$8,MATCH(X119,'分群統計'!$A$5:$A$8,0)))),0)),""))</f>
        <v/>
      </c>
      <c r="AQ119" s="31">
        <f>IF(Y119=1,(IF(ISNUMBER(AF119),AF119,0)*'參數'!$B$13+IF(ISNUMBER(AM119),AM119,0)*'參數'!$B$14+IF(ISNUMBER(AO119),AO119,0)*'參數'!$B$15+IF(ISNUMBER(AP119),AP119,0)*'參數'!$B$16)/('參數'!$B$13+'參數'!$B$14+'參數'!$B$15+'參數'!$B$16),"")</f>
        <v/>
      </c>
      <c r="AR119" s="35">
        <f>IF(Y119=1,(SUMPRODUCT(($X$5:$X$404=X119)*($Y$5:$Y$404=1)*($BD$5:$BD$404&gt;BD119))+1)/COUNTIFS($X$5:$X$404,X119,$Y$5:$Y$404,1),"")</f>
        <v/>
      </c>
      <c r="AS119" s="8">
        <f>IF(ISNUMBER(AR119),IF(AR119&lt;='參數'!$B$18,"加碼候選",IF(AR119&gt;'參數'!$B$19,"減碼候選","")),"")</f>
        <v/>
      </c>
      <c r="AT119" s="7">
        <f>IF(Y119=1,N119,0)</f>
        <v/>
      </c>
      <c r="AU119" s="7">
        <f>IF(Y119=1,LN(O119),0)</f>
        <v/>
      </c>
      <c r="AV119" s="36">
        <f>IF(Y119=1,IF(ISNUMBER(F119),F119,0),0)</f>
        <v/>
      </c>
      <c r="AW119" s="7">
        <f>IF(Y119=1,Z119,0)</f>
        <v/>
      </c>
      <c r="AX119" s="7">
        <f>IF(Y119=1,IF(ISNUMBER(AL119),AL119,0),0)</f>
        <v/>
      </c>
      <c r="AY119" s="7">
        <f>IF(Y119=1,IF(ISNUMBER(AL119),1,0),0)</f>
        <v/>
      </c>
      <c r="AZ119" s="7">
        <f>IF(Y119=1,IF(ISNUMBER(AN119),AN119,0),0)</f>
        <v/>
      </c>
      <c r="BA119" s="7">
        <f>IF(Y119=1,IF(ISNUMBER(AN119),1,0),0)</f>
        <v/>
      </c>
      <c r="BB119" s="7">
        <f>IF(Y119=1,IF(ISNUMBER(T119),T119,0),0)</f>
        <v/>
      </c>
      <c r="BC119" s="7">
        <f>IF(Y119=1,IF(ISNUMBER(T119),1,0),0)</f>
        <v/>
      </c>
      <c r="BD119" s="7">
        <f>IF(Y119=1,AQ119+ROW()/1E9,-1E9)</f>
        <v/>
      </c>
      <c r="BE119" s="7">
        <f>IF(Y119=1,AQ119+ROW()/1E9,1E9)</f>
        <v/>
      </c>
    </row>
    <row r="120">
      <c r="A120" s="16" t="n"/>
      <c r="B120" s="8">
        <f>IF($A120="","",BDP($A120,B$3))</f>
        <v/>
      </c>
      <c r="C120" s="8">
        <f>IF($A120="","",BDP($A120,C$3))</f>
        <v/>
      </c>
      <c r="D120" s="28">
        <f>IF($A120="","",BDP($A120,D$3))</f>
        <v/>
      </c>
      <c r="E120" s="29">
        <f>IF($A120="","",BDP($A120,E$3))</f>
        <v/>
      </c>
      <c r="F120" s="17">
        <f>IF($A120="","",BDP($A120,F$3))</f>
        <v/>
      </c>
      <c r="G120" s="8">
        <f>IF($A120="","",BDP($A120,G$3))</f>
        <v/>
      </c>
      <c r="H120" s="8">
        <f>IF($A120="","",BDP($A120,H$3))</f>
        <v/>
      </c>
      <c r="I120" s="8">
        <f>IF($A120="","",BDP($A120,I$3))</f>
        <v/>
      </c>
      <c r="J120" s="8">
        <f>IF($A120="","",BDP($A120,J$3))</f>
        <v/>
      </c>
      <c r="K120" s="8">
        <f>IF($A120="","",BDP($A120,K$3))</f>
        <v/>
      </c>
      <c r="L120" s="28">
        <f>IF($A120="","",BDP($A120,L$3))</f>
        <v/>
      </c>
      <c r="M120" s="28">
        <f>IF($A120="","",BDP($A120,M$3))</f>
        <v/>
      </c>
      <c r="N120" s="30">
        <f>IF($A120="","",BDP($A120,N$3))</f>
        <v/>
      </c>
      <c r="O120" s="31">
        <f>IF($A120="","",BDP($A120,O$3))</f>
        <v/>
      </c>
      <c r="P120" s="30">
        <f>IF($A120="","",BDH($A120,$N$3,'參數'!$B$5,'參數'!$B$5,"Days=A","Fill=P","Dates=H"))</f>
        <v/>
      </c>
      <c r="Q120" s="30">
        <f>IF($A120="","",BDH($A120,$N$3,'參數'!$B$6,'參數'!$B$6,"Days=A","Fill=P","Dates=H"))</f>
        <v/>
      </c>
      <c r="R120" s="30">
        <f>IF($A120="","",BDH($A120,$N$3,'參數'!$B$7,'參數'!$B$7,"Days=A","Fill=P","Dates=H"))</f>
        <v/>
      </c>
      <c r="S120" s="32">
        <f>IF($A120="","",IFERROR(INDEX('發行人'!$A$5:$A$44,MATCH(B120,'發行人'!$D$5:$D$44,0)),"未對應"))</f>
        <v/>
      </c>
      <c r="T120" s="24">
        <f>IF($A120="","",IFERROR(INDEX('發行人'!$G$5:$G$44,MATCH(B120,'發行人'!$D$5:$D$44,0))+0,""))</f>
        <v/>
      </c>
      <c r="U120" s="18">
        <f>IF(ISNUMBER(E120),YEARFRAC('參數'!$B$4,E120),"")</f>
        <v/>
      </c>
      <c r="V120" s="8">
        <f>IF(U120="","",IF(U120&lt;3,"1-3y",IF(U120&lt;5,"3-5y",IF(U120&lt;7,"5-7y",IF(U120&lt;10,"7-10y","10y+")))))</f>
        <v/>
      </c>
      <c r="W120" s="30">
        <f>IF($A120="","",IFERROR(INDEX('參數'!$B$24:$B$45,MATCH(G120,'參數'!$A$24:$A$45,0)),""))</f>
        <v/>
      </c>
      <c r="X120" s="8">
        <f>IF($A120="","",IFERROR(INDEX('參數'!$C$24:$C$45,MATCH(G120,'參數'!$A$24:$A$45,0)),""))</f>
        <v/>
      </c>
      <c r="Y120" s="30">
        <f>IF(AND(ISNUMBER(N120),ISNUMBER(O120),ISNUMBER(U120)),IF(AND(O120&gt;0,X120&lt;&gt;""),1,0),0)</f>
        <v/>
      </c>
      <c r="Z120" s="17">
        <f>IF(Y120=1,O120*N120,"")</f>
        <v/>
      </c>
      <c r="AA120" s="33">
        <f>IF(Y120=1,IF(ISNUMBER(Q120),N120-Q120,""),"")</f>
        <v/>
      </c>
      <c r="AB120" s="33">
        <f>IF(Y120=1,IF(AND(ISNUMBER(P120),ISNUMBER(R120)),R120*5/12-O120*(P120-R120),""),"")</f>
        <v/>
      </c>
      <c r="AC120" s="30">
        <f>IF(Y120=1,COUNTIFS($X$5:$X$404,X120,$V$5:$V$404,V120,$Y$5:$Y$404,1),"")</f>
        <v/>
      </c>
      <c r="AD120" s="30">
        <f>IF(Y120=1,IFERROR(IF(AC120&gt;='參數'!$B$9,INDEX('分群統計'!$G$13:$K$16,MATCH(X120,'分群統計'!$A$13:$A$16,0),MATCH(V120,'分群統計'!$G$12:$K$12,0)),INDEX('分群統計'!$I$5:$I$8,MATCH(X120,'分群統計'!$A$5:$A$8,0))),""),"")</f>
        <v/>
      </c>
      <c r="AE120" s="18">
        <f>IF(Y120=1,IFERROR(IF(AC120&gt;='參數'!$B$9,INDEX('分群統計'!$L$13:$P$16,MATCH(X120,'分群統計'!$A$13:$A$16,0),MATCH(V120,'分群統計'!$L$12:$P$12,0)),INDEX('分群統計'!$J$5:$J$8,MATCH(X120,'分群統計'!$A$5:$A$8,0))),""),"")</f>
        <v/>
      </c>
      <c r="AF120" s="31">
        <f>IF(ISNUMBER(AE120),IF(AE120&gt;0,MAX(-3,MIN(3,(N120-AD120)/AE120)),0),"")</f>
        <v/>
      </c>
      <c r="AG120" s="30">
        <f>IF(Y120=1,COUNTIFS($B$5:$B$404,B120,$Y$5:$Y$404,1),"")</f>
        <v/>
      </c>
      <c r="AH120" s="30">
        <f>IF(Y120=1,IFERROR(IF(ISNUMBER(INDEX('分群統計'!$G$20:$G$59,MATCH(B120,'分群統計'!$A$20:$A$59,0))),INDEX('分群統計'!$H$20:$H$59,MATCH(B120,'分群統計'!$A$20:$A$59,0))+INDEX('分群統計'!$G$20:$G$59,MATCH(B120,'分群統計'!$A$20:$A$59,0))*AU120,""),""),"")</f>
        <v/>
      </c>
      <c r="AI120" s="34">
        <f>IF(ISNUMBER(AH120),N120-AH120,"")</f>
        <v/>
      </c>
      <c r="AJ120" s="30">
        <f>IF(Y120=1,IFERROR(IF(ISNUMBER(INDEX('分群統計'!$G$5:$G$8,MATCH(X120,'分群統計'!$A$5:$A$8,0))),INDEX('分群統計'!$H$5:$H$8,MATCH(X120,'分群統計'!$A$5:$A$8,0))+INDEX('分群統計'!$G$5:$G$8,MATCH(X120,'分群統計'!$A$5:$A$8,0))*AU120,""),""),"")</f>
        <v/>
      </c>
      <c r="AK120" s="34">
        <f>IF(ISNUMBER(AJ120),N120-AJ120,"")</f>
        <v/>
      </c>
      <c r="AL120" s="21">
        <f>IF(ISNUMBER(AJ120),IF(AJ120&gt;0,AK120/AJ120,""),"")</f>
        <v/>
      </c>
      <c r="AM120" s="31">
        <f>IF(AY120&lt;&gt;1,"",IFERROR(IF(INDEX('分群統計'!$K$5:$K$8,MATCH(X120,'分群統計'!$A$5:$A$8,0))&lt;3,"",IF(INDEX('分群統計'!$M$5:$M$8,MATCH(X120,'分群統計'!$A$5:$A$8,0))&gt;0,MAX(-3,MIN(3,(AX120-INDEX('分群統計'!$L$5:$L$8,MATCH(X120,'分群統計'!$A$5:$A$8,0)))/INDEX('分群統計'!$M$5:$M$8,MATCH(X120,'分群統計'!$A$5:$A$8,0)))),0)),""))</f>
        <v/>
      </c>
      <c r="AN120" s="31">
        <f>IF(ISNUMBER(AB120),IF(Z120&gt;0,AB120/Z120*100,""),"")</f>
        <v/>
      </c>
      <c r="AO120" s="31">
        <f>IF(BA120&lt;&gt;1,"",IFERROR(IF(INDEX('分群統計'!$N$5:$N$8,MATCH(X120,'分群統計'!$A$5:$A$8,0))&lt;3,"",IF(INDEX('分群統計'!$P$5:$P$8,MATCH(X120,'分群統計'!$A$5:$A$8,0))&gt;0,MAX(-3,MIN(3,(AZ120-INDEX('分群統計'!$O$5:$O$8,MATCH(X120,'分群統計'!$A$5:$A$8,0)))/INDEX('分群統計'!$P$5:$P$8,MATCH(X120,'分群統計'!$A$5:$A$8,0)))),0)),""))</f>
        <v/>
      </c>
      <c r="AP120" s="31">
        <f>IF(BC120&lt;&gt;1,"",IFERROR(IF(INDEX('分群統計'!$Q$5:$Q$8,MATCH(X120,'分群統計'!$A$5:$A$8,0))&lt;3,"",IF(INDEX('分群統計'!$S$5:$S$8,MATCH(X120,'分群統計'!$A$5:$A$8,0))&gt;0,MAX(-3,MIN(3,(BB120-INDEX('分群統計'!$R$5:$R$8,MATCH(X120,'分群統計'!$A$5:$A$8,0)))/INDEX('分群統計'!$S$5:$S$8,MATCH(X120,'分群統計'!$A$5:$A$8,0)))),0)),""))</f>
        <v/>
      </c>
      <c r="AQ120" s="31">
        <f>IF(Y120=1,(IF(ISNUMBER(AF120),AF120,0)*'參數'!$B$13+IF(ISNUMBER(AM120),AM120,0)*'參數'!$B$14+IF(ISNUMBER(AO120),AO120,0)*'參數'!$B$15+IF(ISNUMBER(AP120),AP120,0)*'參數'!$B$16)/('參數'!$B$13+'參數'!$B$14+'參數'!$B$15+'參數'!$B$16),"")</f>
        <v/>
      </c>
      <c r="AR120" s="35">
        <f>IF(Y120=1,(SUMPRODUCT(($X$5:$X$404=X120)*($Y$5:$Y$404=1)*($BD$5:$BD$404&gt;BD120))+1)/COUNTIFS($X$5:$X$404,X120,$Y$5:$Y$404,1),"")</f>
        <v/>
      </c>
      <c r="AS120" s="8">
        <f>IF(ISNUMBER(AR120),IF(AR120&lt;='參數'!$B$18,"加碼候選",IF(AR120&gt;'參數'!$B$19,"減碼候選","")),"")</f>
        <v/>
      </c>
      <c r="AT120" s="7">
        <f>IF(Y120=1,N120,0)</f>
        <v/>
      </c>
      <c r="AU120" s="7">
        <f>IF(Y120=1,LN(O120),0)</f>
        <v/>
      </c>
      <c r="AV120" s="36">
        <f>IF(Y120=1,IF(ISNUMBER(F120),F120,0),0)</f>
        <v/>
      </c>
      <c r="AW120" s="7">
        <f>IF(Y120=1,Z120,0)</f>
        <v/>
      </c>
      <c r="AX120" s="7">
        <f>IF(Y120=1,IF(ISNUMBER(AL120),AL120,0),0)</f>
        <v/>
      </c>
      <c r="AY120" s="7">
        <f>IF(Y120=1,IF(ISNUMBER(AL120),1,0),0)</f>
        <v/>
      </c>
      <c r="AZ120" s="7">
        <f>IF(Y120=1,IF(ISNUMBER(AN120),AN120,0),0)</f>
        <v/>
      </c>
      <c r="BA120" s="7">
        <f>IF(Y120=1,IF(ISNUMBER(AN120),1,0),0)</f>
        <v/>
      </c>
      <c r="BB120" s="7">
        <f>IF(Y120=1,IF(ISNUMBER(T120),T120,0),0)</f>
        <v/>
      </c>
      <c r="BC120" s="7">
        <f>IF(Y120=1,IF(ISNUMBER(T120),1,0),0)</f>
        <v/>
      </c>
      <c r="BD120" s="7">
        <f>IF(Y120=1,AQ120+ROW()/1E9,-1E9)</f>
        <v/>
      </c>
      <c r="BE120" s="7">
        <f>IF(Y120=1,AQ120+ROW()/1E9,1E9)</f>
        <v/>
      </c>
    </row>
    <row r="121">
      <c r="A121" s="16" t="n"/>
      <c r="B121" s="8">
        <f>IF($A121="","",BDP($A121,B$3))</f>
        <v/>
      </c>
      <c r="C121" s="8">
        <f>IF($A121="","",BDP($A121,C$3))</f>
        <v/>
      </c>
      <c r="D121" s="28">
        <f>IF($A121="","",BDP($A121,D$3))</f>
        <v/>
      </c>
      <c r="E121" s="29">
        <f>IF($A121="","",BDP($A121,E$3))</f>
        <v/>
      </c>
      <c r="F121" s="17">
        <f>IF($A121="","",BDP($A121,F$3))</f>
        <v/>
      </c>
      <c r="G121" s="8">
        <f>IF($A121="","",BDP($A121,G$3))</f>
        <v/>
      </c>
      <c r="H121" s="8">
        <f>IF($A121="","",BDP($A121,H$3))</f>
        <v/>
      </c>
      <c r="I121" s="8">
        <f>IF($A121="","",BDP($A121,I$3))</f>
        <v/>
      </c>
      <c r="J121" s="8">
        <f>IF($A121="","",BDP($A121,J$3))</f>
        <v/>
      </c>
      <c r="K121" s="8">
        <f>IF($A121="","",BDP($A121,K$3))</f>
        <v/>
      </c>
      <c r="L121" s="28">
        <f>IF($A121="","",BDP($A121,L$3))</f>
        <v/>
      </c>
      <c r="M121" s="28">
        <f>IF($A121="","",BDP($A121,M$3))</f>
        <v/>
      </c>
      <c r="N121" s="30">
        <f>IF($A121="","",BDP($A121,N$3))</f>
        <v/>
      </c>
      <c r="O121" s="31">
        <f>IF($A121="","",BDP($A121,O$3))</f>
        <v/>
      </c>
      <c r="P121" s="30">
        <f>IF($A121="","",BDH($A121,$N$3,'參數'!$B$5,'參數'!$B$5,"Days=A","Fill=P","Dates=H"))</f>
        <v/>
      </c>
      <c r="Q121" s="30">
        <f>IF($A121="","",BDH($A121,$N$3,'參數'!$B$6,'參數'!$B$6,"Days=A","Fill=P","Dates=H"))</f>
        <v/>
      </c>
      <c r="R121" s="30">
        <f>IF($A121="","",BDH($A121,$N$3,'參數'!$B$7,'參數'!$B$7,"Days=A","Fill=P","Dates=H"))</f>
        <v/>
      </c>
      <c r="S121" s="32">
        <f>IF($A121="","",IFERROR(INDEX('發行人'!$A$5:$A$44,MATCH(B121,'發行人'!$D$5:$D$44,0)),"未對應"))</f>
        <v/>
      </c>
      <c r="T121" s="24">
        <f>IF($A121="","",IFERROR(INDEX('發行人'!$G$5:$G$44,MATCH(B121,'發行人'!$D$5:$D$44,0))+0,""))</f>
        <v/>
      </c>
      <c r="U121" s="18">
        <f>IF(ISNUMBER(E121),YEARFRAC('參數'!$B$4,E121),"")</f>
        <v/>
      </c>
      <c r="V121" s="8">
        <f>IF(U121="","",IF(U121&lt;3,"1-3y",IF(U121&lt;5,"3-5y",IF(U121&lt;7,"5-7y",IF(U121&lt;10,"7-10y","10y+")))))</f>
        <v/>
      </c>
      <c r="W121" s="30">
        <f>IF($A121="","",IFERROR(INDEX('參數'!$B$24:$B$45,MATCH(G121,'參數'!$A$24:$A$45,0)),""))</f>
        <v/>
      </c>
      <c r="X121" s="8">
        <f>IF($A121="","",IFERROR(INDEX('參數'!$C$24:$C$45,MATCH(G121,'參數'!$A$24:$A$45,0)),""))</f>
        <v/>
      </c>
      <c r="Y121" s="30">
        <f>IF(AND(ISNUMBER(N121),ISNUMBER(O121),ISNUMBER(U121)),IF(AND(O121&gt;0,X121&lt;&gt;""),1,0),0)</f>
        <v/>
      </c>
      <c r="Z121" s="17">
        <f>IF(Y121=1,O121*N121,"")</f>
        <v/>
      </c>
      <c r="AA121" s="33">
        <f>IF(Y121=1,IF(ISNUMBER(Q121),N121-Q121,""),"")</f>
        <v/>
      </c>
      <c r="AB121" s="33">
        <f>IF(Y121=1,IF(AND(ISNUMBER(P121),ISNUMBER(R121)),R121*5/12-O121*(P121-R121),""),"")</f>
        <v/>
      </c>
      <c r="AC121" s="30">
        <f>IF(Y121=1,COUNTIFS($X$5:$X$404,X121,$V$5:$V$404,V121,$Y$5:$Y$404,1),"")</f>
        <v/>
      </c>
      <c r="AD121" s="30">
        <f>IF(Y121=1,IFERROR(IF(AC121&gt;='參數'!$B$9,INDEX('分群統計'!$G$13:$K$16,MATCH(X121,'分群統計'!$A$13:$A$16,0),MATCH(V121,'分群統計'!$G$12:$K$12,0)),INDEX('分群統計'!$I$5:$I$8,MATCH(X121,'分群統計'!$A$5:$A$8,0))),""),"")</f>
        <v/>
      </c>
      <c r="AE121" s="18">
        <f>IF(Y121=1,IFERROR(IF(AC121&gt;='參數'!$B$9,INDEX('分群統計'!$L$13:$P$16,MATCH(X121,'分群統計'!$A$13:$A$16,0),MATCH(V121,'分群統計'!$L$12:$P$12,0)),INDEX('分群統計'!$J$5:$J$8,MATCH(X121,'分群統計'!$A$5:$A$8,0))),""),"")</f>
        <v/>
      </c>
      <c r="AF121" s="31">
        <f>IF(ISNUMBER(AE121),IF(AE121&gt;0,MAX(-3,MIN(3,(N121-AD121)/AE121)),0),"")</f>
        <v/>
      </c>
      <c r="AG121" s="30">
        <f>IF(Y121=1,COUNTIFS($B$5:$B$404,B121,$Y$5:$Y$404,1),"")</f>
        <v/>
      </c>
      <c r="AH121" s="30">
        <f>IF(Y121=1,IFERROR(IF(ISNUMBER(INDEX('分群統計'!$G$20:$G$59,MATCH(B121,'分群統計'!$A$20:$A$59,0))),INDEX('分群統計'!$H$20:$H$59,MATCH(B121,'分群統計'!$A$20:$A$59,0))+INDEX('分群統計'!$G$20:$G$59,MATCH(B121,'分群統計'!$A$20:$A$59,0))*AU121,""),""),"")</f>
        <v/>
      </c>
      <c r="AI121" s="34">
        <f>IF(ISNUMBER(AH121),N121-AH121,"")</f>
        <v/>
      </c>
      <c r="AJ121" s="30">
        <f>IF(Y121=1,IFERROR(IF(ISNUMBER(INDEX('分群統計'!$G$5:$G$8,MATCH(X121,'分群統計'!$A$5:$A$8,0))),INDEX('分群統計'!$H$5:$H$8,MATCH(X121,'分群統計'!$A$5:$A$8,0))+INDEX('分群統計'!$G$5:$G$8,MATCH(X121,'分群統計'!$A$5:$A$8,0))*AU121,""),""),"")</f>
        <v/>
      </c>
      <c r="AK121" s="34">
        <f>IF(ISNUMBER(AJ121),N121-AJ121,"")</f>
        <v/>
      </c>
      <c r="AL121" s="21">
        <f>IF(ISNUMBER(AJ121),IF(AJ121&gt;0,AK121/AJ121,""),"")</f>
        <v/>
      </c>
      <c r="AM121" s="31">
        <f>IF(AY121&lt;&gt;1,"",IFERROR(IF(INDEX('分群統計'!$K$5:$K$8,MATCH(X121,'分群統計'!$A$5:$A$8,0))&lt;3,"",IF(INDEX('分群統計'!$M$5:$M$8,MATCH(X121,'分群統計'!$A$5:$A$8,0))&gt;0,MAX(-3,MIN(3,(AX121-INDEX('分群統計'!$L$5:$L$8,MATCH(X121,'分群統計'!$A$5:$A$8,0)))/INDEX('分群統計'!$M$5:$M$8,MATCH(X121,'分群統計'!$A$5:$A$8,0)))),0)),""))</f>
        <v/>
      </c>
      <c r="AN121" s="31">
        <f>IF(ISNUMBER(AB121),IF(Z121&gt;0,AB121/Z121*100,""),"")</f>
        <v/>
      </c>
      <c r="AO121" s="31">
        <f>IF(BA121&lt;&gt;1,"",IFERROR(IF(INDEX('分群統計'!$N$5:$N$8,MATCH(X121,'分群統計'!$A$5:$A$8,0))&lt;3,"",IF(INDEX('分群統計'!$P$5:$P$8,MATCH(X121,'分群統計'!$A$5:$A$8,0))&gt;0,MAX(-3,MIN(3,(AZ121-INDEX('分群統計'!$O$5:$O$8,MATCH(X121,'分群統計'!$A$5:$A$8,0)))/INDEX('分群統計'!$P$5:$P$8,MATCH(X121,'分群統計'!$A$5:$A$8,0)))),0)),""))</f>
        <v/>
      </c>
      <c r="AP121" s="31">
        <f>IF(BC121&lt;&gt;1,"",IFERROR(IF(INDEX('分群統計'!$Q$5:$Q$8,MATCH(X121,'分群統計'!$A$5:$A$8,0))&lt;3,"",IF(INDEX('分群統計'!$S$5:$S$8,MATCH(X121,'分群統計'!$A$5:$A$8,0))&gt;0,MAX(-3,MIN(3,(BB121-INDEX('分群統計'!$R$5:$R$8,MATCH(X121,'分群統計'!$A$5:$A$8,0)))/INDEX('分群統計'!$S$5:$S$8,MATCH(X121,'分群統計'!$A$5:$A$8,0)))),0)),""))</f>
        <v/>
      </c>
      <c r="AQ121" s="31">
        <f>IF(Y121=1,(IF(ISNUMBER(AF121),AF121,0)*'參數'!$B$13+IF(ISNUMBER(AM121),AM121,0)*'參數'!$B$14+IF(ISNUMBER(AO121),AO121,0)*'參數'!$B$15+IF(ISNUMBER(AP121),AP121,0)*'參數'!$B$16)/('參數'!$B$13+'參數'!$B$14+'參數'!$B$15+'參數'!$B$16),"")</f>
        <v/>
      </c>
      <c r="AR121" s="35">
        <f>IF(Y121=1,(SUMPRODUCT(($X$5:$X$404=X121)*($Y$5:$Y$404=1)*($BD$5:$BD$404&gt;BD121))+1)/COUNTIFS($X$5:$X$404,X121,$Y$5:$Y$404,1),"")</f>
        <v/>
      </c>
      <c r="AS121" s="8">
        <f>IF(ISNUMBER(AR121),IF(AR121&lt;='參數'!$B$18,"加碼候選",IF(AR121&gt;'參數'!$B$19,"減碼候選","")),"")</f>
        <v/>
      </c>
      <c r="AT121" s="7">
        <f>IF(Y121=1,N121,0)</f>
        <v/>
      </c>
      <c r="AU121" s="7">
        <f>IF(Y121=1,LN(O121),0)</f>
        <v/>
      </c>
      <c r="AV121" s="36">
        <f>IF(Y121=1,IF(ISNUMBER(F121),F121,0),0)</f>
        <v/>
      </c>
      <c r="AW121" s="7">
        <f>IF(Y121=1,Z121,0)</f>
        <v/>
      </c>
      <c r="AX121" s="7">
        <f>IF(Y121=1,IF(ISNUMBER(AL121),AL121,0),0)</f>
        <v/>
      </c>
      <c r="AY121" s="7">
        <f>IF(Y121=1,IF(ISNUMBER(AL121),1,0),0)</f>
        <v/>
      </c>
      <c r="AZ121" s="7">
        <f>IF(Y121=1,IF(ISNUMBER(AN121),AN121,0),0)</f>
        <v/>
      </c>
      <c r="BA121" s="7">
        <f>IF(Y121=1,IF(ISNUMBER(AN121),1,0),0)</f>
        <v/>
      </c>
      <c r="BB121" s="7">
        <f>IF(Y121=1,IF(ISNUMBER(T121),T121,0),0)</f>
        <v/>
      </c>
      <c r="BC121" s="7">
        <f>IF(Y121=1,IF(ISNUMBER(T121),1,0),0)</f>
        <v/>
      </c>
      <c r="BD121" s="7">
        <f>IF(Y121=1,AQ121+ROW()/1E9,-1E9)</f>
        <v/>
      </c>
      <c r="BE121" s="7">
        <f>IF(Y121=1,AQ121+ROW()/1E9,1E9)</f>
        <v/>
      </c>
    </row>
    <row r="122">
      <c r="A122" s="16" t="n"/>
      <c r="B122" s="8">
        <f>IF($A122="","",BDP($A122,B$3))</f>
        <v/>
      </c>
      <c r="C122" s="8">
        <f>IF($A122="","",BDP($A122,C$3))</f>
        <v/>
      </c>
      <c r="D122" s="28">
        <f>IF($A122="","",BDP($A122,D$3))</f>
        <v/>
      </c>
      <c r="E122" s="29">
        <f>IF($A122="","",BDP($A122,E$3))</f>
        <v/>
      </c>
      <c r="F122" s="17">
        <f>IF($A122="","",BDP($A122,F$3))</f>
        <v/>
      </c>
      <c r="G122" s="8">
        <f>IF($A122="","",BDP($A122,G$3))</f>
        <v/>
      </c>
      <c r="H122" s="8">
        <f>IF($A122="","",BDP($A122,H$3))</f>
        <v/>
      </c>
      <c r="I122" s="8">
        <f>IF($A122="","",BDP($A122,I$3))</f>
        <v/>
      </c>
      <c r="J122" s="8">
        <f>IF($A122="","",BDP($A122,J$3))</f>
        <v/>
      </c>
      <c r="K122" s="8">
        <f>IF($A122="","",BDP($A122,K$3))</f>
        <v/>
      </c>
      <c r="L122" s="28">
        <f>IF($A122="","",BDP($A122,L$3))</f>
        <v/>
      </c>
      <c r="M122" s="28">
        <f>IF($A122="","",BDP($A122,M$3))</f>
        <v/>
      </c>
      <c r="N122" s="30">
        <f>IF($A122="","",BDP($A122,N$3))</f>
        <v/>
      </c>
      <c r="O122" s="31">
        <f>IF($A122="","",BDP($A122,O$3))</f>
        <v/>
      </c>
      <c r="P122" s="30">
        <f>IF($A122="","",BDH($A122,$N$3,'參數'!$B$5,'參數'!$B$5,"Days=A","Fill=P","Dates=H"))</f>
        <v/>
      </c>
      <c r="Q122" s="30">
        <f>IF($A122="","",BDH($A122,$N$3,'參數'!$B$6,'參數'!$B$6,"Days=A","Fill=P","Dates=H"))</f>
        <v/>
      </c>
      <c r="R122" s="30">
        <f>IF($A122="","",BDH($A122,$N$3,'參數'!$B$7,'參數'!$B$7,"Days=A","Fill=P","Dates=H"))</f>
        <v/>
      </c>
      <c r="S122" s="32">
        <f>IF($A122="","",IFERROR(INDEX('發行人'!$A$5:$A$44,MATCH(B122,'發行人'!$D$5:$D$44,0)),"未對應"))</f>
        <v/>
      </c>
      <c r="T122" s="24">
        <f>IF($A122="","",IFERROR(INDEX('發行人'!$G$5:$G$44,MATCH(B122,'發行人'!$D$5:$D$44,0))+0,""))</f>
        <v/>
      </c>
      <c r="U122" s="18">
        <f>IF(ISNUMBER(E122),YEARFRAC('參數'!$B$4,E122),"")</f>
        <v/>
      </c>
      <c r="V122" s="8">
        <f>IF(U122="","",IF(U122&lt;3,"1-3y",IF(U122&lt;5,"3-5y",IF(U122&lt;7,"5-7y",IF(U122&lt;10,"7-10y","10y+")))))</f>
        <v/>
      </c>
      <c r="W122" s="30">
        <f>IF($A122="","",IFERROR(INDEX('參數'!$B$24:$B$45,MATCH(G122,'參數'!$A$24:$A$45,0)),""))</f>
        <v/>
      </c>
      <c r="X122" s="8">
        <f>IF($A122="","",IFERROR(INDEX('參數'!$C$24:$C$45,MATCH(G122,'參數'!$A$24:$A$45,0)),""))</f>
        <v/>
      </c>
      <c r="Y122" s="30">
        <f>IF(AND(ISNUMBER(N122),ISNUMBER(O122),ISNUMBER(U122)),IF(AND(O122&gt;0,X122&lt;&gt;""),1,0),0)</f>
        <v/>
      </c>
      <c r="Z122" s="17">
        <f>IF(Y122=1,O122*N122,"")</f>
        <v/>
      </c>
      <c r="AA122" s="33">
        <f>IF(Y122=1,IF(ISNUMBER(Q122),N122-Q122,""),"")</f>
        <v/>
      </c>
      <c r="AB122" s="33">
        <f>IF(Y122=1,IF(AND(ISNUMBER(P122),ISNUMBER(R122)),R122*5/12-O122*(P122-R122),""),"")</f>
        <v/>
      </c>
      <c r="AC122" s="30">
        <f>IF(Y122=1,COUNTIFS($X$5:$X$404,X122,$V$5:$V$404,V122,$Y$5:$Y$404,1),"")</f>
        <v/>
      </c>
      <c r="AD122" s="30">
        <f>IF(Y122=1,IFERROR(IF(AC122&gt;='參數'!$B$9,INDEX('分群統計'!$G$13:$K$16,MATCH(X122,'分群統計'!$A$13:$A$16,0),MATCH(V122,'分群統計'!$G$12:$K$12,0)),INDEX('分群統計'!$I$5:$I$8,MATCH(X122,'分群統計'!$A$5:$A$8,0))),""),"")</f>
        <v/>
      </c>
      <c r="AE122" s="18">
        <f>IF(Y122=1,IFERROR(IF(AC122&gt;='參數'!$B$9,INDEX('分群統計'!$L$13:$P$16,MATCH(X122,'分群統計'!$A$13:$A$16,0),MATCH(V122,'分群統計'!$L$12:$P$12,0)),INDEX('分群統計'!$J$5:$J$8,MATCH(X122,'分群統計'!$A$5:$A$8,0))),""),"")</f>
        <v/>
      </c>
      <c r="AF122" s="31">
        <f>IF(ISNUMBER(AE122),IF(AE122&gt;0,MAX(-3,MIN(3,(N122-AD122)/AE122)),0),"")</f>
        <v/>
      </c>
      <c r="AG122" s="30">
        <f>IF(Y122=1,COUNTIFS($B$5:$B$404,B122,$Y$5:$Y$404,1),"")</f>
        <v/>
      </c>
      <c r="AH122" s="30">
        <f>IF(Y122=1,IFERROR(IF(ISNUMBER(INDEX('分群統計'!$G$20:$G$59,MATCH(B122,'分群統計'!$A$20:$A$59,0))),INDEX('分群統計'!$H$20:$H$59,MATCH(B122,'分群統計'!$A$20:$A$59,0))+INDEX('分群統計'!$G$20:$G$59,MATCH(B122,'分群統計'!$A$20:$A$59,0))*AU122,""),""),"")</f>
        <v/>
      </c>
      <c r="AI122" s="34">
        <f>IF(ISNUMBER(AH122),N122-AH122,"")</f>
        <v/>
      </c>
      <c r="AJ122" s="30">
        <f>IF(Y122=1,IFERROR(IF(ISNUMBER(INDEX('分群統計'!$G$5:$G$8,MATCH(X122,'分群統計'!$A$5:$A$8,0))),INDEX('分群統計'!$H$5:$H$8,MATCH(X122,'分群統計'!$A$5:$A$8,0))+INDEX('分群統計'!$G$5:$G$8,MATCH(X122,'分群統計'!$A$5:$A$8,0))*AU122,""),""),"")</f>
        <v/>
      </c>
      <c r="AK122" s="34">
        <f>IF(ISNUMBER(AJ122),N122-AJ122,"")</f>
        <v/>
      </c>
      <c r="AL122" s="21">
        <f>IF(ISNUMBER(AJ122),IF(AJ122&gt;0,AK122/AJ122,""),"")</f>
        <v/>
      </c>
      <c r="AM122" s="31">
        <f>IF(AY122&lt;&gt;1,"",IFERROR(IF(INDEX('分群統計'!$K$5:$K$8,MATCH(X122,'分群統計'!$A$5:$A$8,0))&lt;3,"",IF(INDEX('分群統計'!$M$5:$M$8,MATCH(X122,'分群統計'!$A$5:$A$8,0))&gt;0,MAX(-3,MIN(3,(AX122-INDEX('分群統計'!$L$5:$L$8,MATCH(X122,'分群統計'!$A$5:$A$8,0)))/INDEX('分群統計'!$M$5:$M$8,MATCH(X122,'分群統計'!$A$5:$A$8,0)))),0)),""))</f>
        <v/>
      </c>
      <c r="AN122" s="31">
        <f>IF(ISNUMBER(AB122),IF(Z122&gt;0,AB122/Z122*100,""),"")</f>
        <v/>
      </c>
      <c r="AO122" s="31">
        <f>IF(BA122&lt;&gt;1,"",IFERROR(IF(INDEX('分群統計'!$N$5:$N$8,MATCH(X122,'分群統計'!$A$5:$A$8,0))&lt;3,"",IF(INDEX('分群統計'!$P$5:$P$8,MATCH(X122,'分群統計'!$A$5:$A$8,0))&gt;0,MAX(-3,MIN(3,(AZ122-INDEX('分群統計'!$O$5:$O$8,MATCH(X122,'分群統計'!$A$5:$A$8,0)))/INDEX('分群統計'!$P$5:$P$8,MATCH(X122,'分群統計'!$A$5:$A$8,0)))),0)),""))</f>
        <v/>
      </c>
      <c r="AP122" s="31">
        <f>IF(BC122&lt;&gt;1,"",IFERROR(IF(INDEX('分群統計'!$Q$5:$Q$8,MATCH(X122,'分群統計'!$A$5:$A$8,0))&lt;3,"",IF(INDEX('分群統計'!$S$5:$S$8,MATCH(X122,'分群統計'!$A$5:$A$8,0))&gt;0,MAX(-3,MIN(3,(BB122-INDEX('分群統計'!$R$5:$R$8,MATCH(X122,'分群統計'!$A$5:$A$8,0)))/INDEX('分群統計'!$S$5:$S$8,MATCH(X122,'分群統計'!$A$5:$A$8,0)))),0)),""))</f>
        <v/>
      </c>
      <c r="AQ122" s="31">
        <f>IF(Y122=1,(IF(ISNUMBER(AF122),AF122,0)*'參數'!$B$13+IF(ISNUMBER(AM122),AM122,0)*'參數'!$B$14+IF(ISNUMBER(AO122),AO122,0)*'參數'!$B$15+IF(ISNUMBER(AP122),AP122,0)*'參數'!$B$16)/('參數'!$B$13+'參數'!$B$14+'參數'!$B$15+'參數'!$B$16),"")</f>
        <v/>
      </c>
      <c r="AR122" s="35">
        <f>IF(Y122=1,(SUMPRODUCT(($X$5:$X$404=X122)*($Y$5:$Y$404=1)*($BD$5:$BD$404&gt;BD122))+1)/COUNTIFS($X$5:$X$404,X122,$Y$5:$Y$404,1),"")</f>
        <v/>
      </c>
      <c r="AS122" s="8">
        <f>IF(ISNUMBER(AR122),IF(AR122&lt;='參數'!$B$18,"加碼候選",IF(AR122&gt;'參數'!$B$19,"減碼候選","")),"")</f>
        <v/>
      </c>
      <c r="AT122" s="7">
        <f>IF(Y122=1,N122,0)</f>
        <v/>
      </c>
      <c r="AU122" s="7">
        <f>IF(Y122=1,LN(O122),0)</f>
        <v/>
      </c>
      <c r="AV122" s="36">
        <f>IF(Y122=1,IF(ISNUMBER(F122),F122,0),0)</f>
        <v/>
      </c>
      <c r="AW122" s="7">
        <f>IF(Y122=1,Z122,0)</f>
        <v/>
      </c>
      <c r="AX122" s="7">
        <f>IF(Y122=1,IF(ISNUMBER(AL122),AL122,0),0)</f>
        <v/>
      </c>
      <c r="AY122" s="7">
        <f>IF(Y122=1,IF(ISNUMBER(AL122),1,0),0)</f>
        <v/>
      </c>
      <c r="AZ122" s="7">
        <f>IF(Y122=1,IF(ISNUMBER(AN122),AN122,0),0)</f>
        <v/>
      </c>
      <c r="BA122" s="7">
        <f>IF(Y122=1,IF(ISNUMBER(AN122),1,0),0)</f>
        <v/>
      </c>
      <c r="BB122" s="7">
        <f>IF(Y122=1,IF(ISNUMBER(T122),T122,0),0)</f>
        <v/>
      </c>
      <c r="BC122" s="7">
        <f>IF(Y122=1,IF(ISNUMBER(T122),1,0),0)</f>
        <v/>
      </c>
      <c r="BD122" s="7">
        <f>IF(Y122=1,AQ122+ROW()/1E9,-1E9)</f>
        <v/>
      </c>
      <c r="BE122" s="7">
        <f>IF(Y122=1,AQ122+ROW()/1E9,1E9)</f>
        <v/>
      </c>
    </row>
    <row r="123">
      <c r="A123" s="16" t="n"/>
      <c r="B123" s="8">
        <f>IF($A123="","",BDP($A123,B$3))</f>
        <v/>
      </c>
      <c r="C123" s="8">
        <f>IF($A123="","",BDP($A123,C$3))</f>
        <v/>
      </c>
      <c r="D123" s="28">
        <f>IF($A123="","",BDP($A123,D$3))</f>
        <v/>
      </c>
      <c r="E123" s="29">
        <f>IF($A123="","",BDP($A123,E$3))</f>
        <v/>
      </c>
      <c r="F123" s="17">
        <f>IF($A123="","",BDP($A123,F$3))</f>
        <v/>
      </c>
      <c r="G123" s="8">
        <f>IF($A123="","",BDP($A123,G$3))</f>
        <v/>
      </c>
      <c r="H123" s="8">
        <f>IF($A123="","",BDP($A123,H$3))</f>
        <v/>
      </c>
      <c r="I123" s="8">
        <f>IF($A123="","",BDP($A123,I$3))</f>
        <v/>
      </c>
      <c r="J123" s="8">
        <f>IF($A123="","",BDP($A123,J$3))</f>
        <v/>
      </c>
      <c r="K123" s="8">
        <f>IF($A123="","",BDP($A123,K$3))</f>
        <v/>
      </c>
      <c r="L123" s="28">
        <f>IF($A123="","",BDP($A123,L$3))</f>
        <v/>
      </c>
      <c r="M123" s="28">
        <f>IF($A123="","",BDP($A123,M$3))</f>
        <v/>
      </c>
      <c r="N123" s="30">
        <f>IF($A123="","",BDP($A123,N$3))</f>
        <v/>
      </c>
      <c r="O123" s="31">
        <f>IF($A123="","",BDP($A123,O$3))</f>
        <v/>
      </c>
      <c r="P123" s="30">
        <f>IF($A123="","",BDH($A123,$N$3,'參數'!$B$5,'參數'!$B$5,"Days=A","Fill=P","Dates=H"))</f>
        <v/>
      </c>
      <c r="Q123" s="30">
        <f>IF($A123="","",BDH($A123,$N$3,'參數'!$B$6,'參數'!$B$6,"Days=A","Fill=P","Dates=H"))</f>
        <v/>
      </c>
      <c r="R123" s="30">
        <f>IF($A123="","",BDH($A123,$N$3,'參數'!$B$7,'參數'!$B$7,"Days=A","Fill=P","Dates=H"))</f>
        <v/>
      </c>
      <c r="S123" s="32">
        <f>IF($A123="","",IFERROR(INDEX('發行人'!$A$5:$A$44,MATCH(B123,'發行人'!$D$5:$D$44,0)),"未對應"))</f>
        <v/>
      </c>
      <c r="T123" s="24">
        <f>IF($A123="","",IFERROR(INDEX('發行人'!$G$5:$G$44,MATCH(B123,'發行人'!$D$5:$D$44,0))+0,""))</f>
        <v/>
      </c>
      <c r="U123" s="18">
        <f>IF(ISNUMBER(E123),YEARFRAC('參數'!$B$4,E123),"")</f>
        <v/>
      </c>
      <c r="V123" s="8">
        <f>IF(U123="","",IF(U123&lt;3,"1-3y",IF(U123&lt;5,"3-5y",IF(U123&lt;7,"5-7y",IF(U123&lt;10,"7-10y","10y+")))))</f>
        <v/>
      </c>
      <c r="W123" s="30">
        <f>IF($A123="","",IFERROR(INDEX('參數'!$B$24:$B$45,MATCH(G123,'參數'!$A$24:$A$45,0)),""))</f>
        <v/>
      </c>
      <c r="X123" s="8">
        <f>IF($A123="","",IFERROR(INDEX('參數'!$C$24:$C$45,MATCH(G123,'參數'!$A$24:$A$45,0)),""))</f>
        <v/>
      </c>
      <c r="Y123" s="30">
        <f>IF(AND(ISNUMBER(N123),ISNUMBER(O123),ISNUMBER(U123)),IF(AND(O123&gt;0,X123&lt;&gt;""),1,0),0)</f>
        <v/>
      </c>
      <c r="Z123" s="17">
        <f>IF(Y123=1,O123*N123,"")</f>
        <v/>
      </c>
      <c r="AA123" s="33">
        <f>IF(Y123=1,IF(ISNUMBER(Q123),N123-Q123,""),"")</f>
        <v/>
      </c>
      <c r="AB123" s="33">
        <f>IF(Y123=1,IF(AND(ISNUMBER(P123),ISNUMBER(R123)),R123*5/12-O123*(P123-R123),""),"")</f>
        <v/>
      </c>
      <c r="AC123" s="30">
        <f>IF(Y123=1,COUNTIFS($X$5:$X$404,X123,$V$5:$V$404,V123,$Y$5:$Y$404,1),"")</f>
        <v/>
      </c>
      <c r="AD123" s="30">
        <f>IF(Y123=1,IFERROR(IF(AC123&gt;='參數'!$B$9,INDEX('分群統計'!$G$13:$K$16,MATCH(X123,'分群統計'!$A$13:$A$16,0),MATCH(V123,'分群統計'!$G$12:$K$12,0)),INDEX('分群統計'!$I$5:$I$8,MATCH(X123,'分群統計'!$A$5:$A$8,0))),""),"")</f>
        <v/>
      </c>
      <c r="AE123" s="18">
        <f>IF(Y123=1,IFERROR(IF(AC123&gt;='參數'!$B$9,INDEX('分群統計'!$L$13:$P$16,MATCH(X123,'分群統計'!$A$13:$A$16,0),MATCH(V123,'分群統計'!$L$12:$P$12,0)),INDEX('分群統計'!$J$5:$J$8,MATCH(X123,'分群統計'!$A$5:$A$8,0))),""),"")</f>
        <v/>
      </c>
      <c r="AF123" s="31">
        <f>IF(ISNUMBER(AE123),IF(AE123&gt;0,MAX(-3,MIN(3,(N123-AD123)/AE123)),0),"")</f>
        <v/>
      </c>
      <c r="AG123" s="30">
        <f>IF(Y123=1,COUNTIFS($B$5:$B$404,B123,$Y$5:$Y$404,1),"")</f>
        <v/>
      </c>
      <c r="AH123" s="30">
        <f>IF(Y123=1,IFERROR(IF(ISNUMBER(INDEX('分群統計'!$G$20:$G$59,MATCH(B123,'分群統計'!$A$20:$A$59,0))),INDEX('分群統計'!$H$20:$H$59,MATCH(B123,'分群統計'!$A$20:$A$59,0))+INDEX('分群統計'!$G$20:$G$59,MATCH(B123,'分群統計'!$A$20:$A$59,0))*AU123,""),""),"")</f>
        <v/>
      </c>
      <c r="AI123" s="34">
        <f>IF(ISNUMBER(AH123),N123-AH123,"")</f>
        <v/>
      </c>
      <c r="AJ123" s="30">
        <f>IF(Y123=1,IFERROR(IF(ISNUMBER(INDEX('分群統計'!$G$5:$G$8,MATCH(X123,'分群統計'!$A$5:$A$8,0))),INDEX('分群統計'!$H$5:$H$8,MATCH(X123,'分群統計'!$A$5:$A$8,0))+INDEX('分群統計'!$G$5:$G$8,MATCH(X123,'分群統計'!$A$5:$A$8,0))*AU123,""),""),"")</f>
        <v/>
      </c>
      <c r="AK123" s="34">
        <f>IF(ISNUMBER(AJ123),N123-AJ123,"")</f>
        <v/>
      </c>
      <c r="AL123" s="21">
        <f>IF(ISNUMBER(AJ123),IF(AJ123&gt;0,AK123/AJ123,""),"")</f>
        <v/>
      </c>
      <c r="AM123" s="31">
        <f>IF(AY123&lt;&gt;1,"",IFERROR(IF(INDEX('分群統計'!$K$5:$K$8,MATCH(X123,'分群統計'!$A$5:$A$8,0))&lt;3,"",IF(INDEX('分群統計'!$M$5:$M$8,MATCH(X123,'分群統計'!$A$5:$A$8,0))&gt;0,MAX(-3,MIN(3,(AX123-INDEX('分群統計'!$L$5:$L$8,MATCH(X123,'分群統計'!$A$5:$A$8,0)))/INDEX('分群統計'!$M$5:$M$8,MATCH(X123,'分群統計'!$A$5:$A$8,0)))),0)),""))</f>
        <v/>
      </c>
      <c r="AN123" s="31">
        <f>IF(ISNUMBER(AB123),IF(Z123&gt;0,AB123/Z123*100,""),"")</f>
        <v/>
      </c>
      <c r="AO123" s="31">
        <f>IF(BA123&lt;&gt;1,"",IFERROR(IF(INDEX('分群統計'!$N$5:$N$8,MATCH(X123,'分群統計'!$A$5:$A$8,0))&lt;3,"",IF(INDEX('分群統計'!$P$5:$P$8,MATCH(X123,'分群統計'!$A$5:$A$8,0))&gt;0,MAX(-3,MIN(3,(AZ123-INDEX('分群統計'!$O$5:$O$8,MATCH(X123,'分群統計'!$A$5:$A$8,0)))/INDEX('分群統計'!$P$5:$P$8,MATCH(X123,'分群統計'!$A$5:$A$8,0)))),0)),""))</f>
        <v/>
      </c>
      <c r="AP123" s="31">
        <f>IF(BC123&lt;&gt;1,"",IFERROR(IF(INDEX('分群統計'!$Q$5:$Q$8,MATCH(X123,'分群統計'!$A$5:$A$8,0))&lt;3,"",IF(INDEX('分群統計'!$S$5:$S$8,MATCH(X123,'分群統計'!$A$5:$A$8,0))&gt;0,MAX(-3,MIN(3,(BB123-INDEX('分群統計'!$R$5:$R$8,MATCH(X123,'分群統計'!$A$5:$A$8,0)))/INDEX('分群統計'!$S$5:$S$8,MATCH(X123,'分群統計'!$A$5:$A$8,0)))),0)),""))</f>
        <v/>
      </c>
      <c r="AQ123" s="31">
        <f>IF(Y123=1,(IF(ISNUMBER(AF123),AF123,0)*'參數'!$B$13+IF(ISNUMBER(AM123),AM123,0)*'參數'!$B$14+IF(ISNUMBER(AO123),AO123,0)*'參數'!$B$15+IF(ISNUMBER(AP123),AP123,0)*'參數'!$B$16)/('參數'!$B$13+'參數'!$B$14+'參數'!$B$15+'參數'!$B$16),"")</f>
        <v/>
      </c>
      <c r="AR123" s="35">
        <f>IF(Y123=1,(SUMPRODUCT(($X$5:$X$404=X123)*($Y$5:$Y$404=1)*($BD$5:$BD$404&gt;BD123))+1)/COUNTIFS($X$5:$X$404,X123,$Y$5:$Y$404,1),"")</f>
        <v/>
      </c>
      <c r="AS123" s="8">
        <f>IF(ISNUMBER(AR123),IF(AR123&lt;='參數'!$B$18,"加碼候選",IF(AR123&gt;'參數'!$B$19,"減碼候選","")),"")</f>
        <v/>
      </c>
      <c r="AT123" s="7">
        <f>IF(Y123=1,N123,0)</f>
        <v/>
      </c>
      <c r="AU123" s="7">
        <f>IF(Y123=1,LN(O123),0)</f>
        <v/>
      </c>
      <c r="AV123" s="36">
        <f>IF(Y123=1,IF(ISNUMBER(F123),F123,0),0)</f>
        <v/>
      </c>
      <c r="AW123" s="7">
        <f>IF(Y123=1,Z123,0)</f>
        <v/>
      </c>
      <c r="AX123" s="7">
        <f>IF(Y123=1,IF(ISNUMBER(AL123),AL123,0),0)</f>
        <v/>
      </c>
      <c r="AY123" s="7">
        <f>IF(Y123=1,IF(ISNUMBER(AL123),1,0),0)</f>
        <v/>
      </c>
      <c r="AZ123" s="7">
        <f>IF(Y123=1,IF(ISNUMBER(AN123),AN123,0),0)</f>
        <v/>
      </c>
      <c r="BA123" s="7">
        <f>IF(Y123=1,IF(ISNUMBER(AN123),1,0),0)</f>
        <v/>
      </c>
      <c r="BB123" s="7">
        <f>IF(Y123=1,IF(ISNUMBER(T123),T123,0),0)</f>
        <v/>
      </c>
      <c r="BC123" s="7">
        <f>IF(Y123=1,IF(ISNUMBER(T123),1,0),0)</f>
        <v/>
      </c>
      <c r="BD123" s="7">
        <f>IF(Y123=1,AQ123+ROW()/1E9,-1E9)</f>
        <v/>
      </c>
      <c r="BE123" s="7">
        <f>IF(Y123=1,AQ123+ROW()/1E9,1E9)</f>
        <v/>
      </c>
    </row>
    <row r="124">
      <c r="A124" s="16" t="n"/>
      <c r="B124" s="8">
        <f>IF($A124="","",BDP($A124,B$3))</f>
        <v/>
      </c>
      <c r="C124" s="8">
        <f>IF($A124="","",BDP($A124,C$3))</f>
        <v/>
      </c>
      <c r="D124" s="28">
        <f>IF($A124="","",BDP($A124,D$3))</f>
        <v/>
      </c>
      <c r="E124" s="29">
        <f>IF($A124="","",BDP($A124,E$3))</f>
        <v/>
      </c>
      <c r="F124" s="17">
        <f>IF($A124="","",BDP($A124,F$3))</f>
        <v/>
      </c>
      <c r="G124" s="8">
        <f>IF($A124="","",BDP($A124,G$3))</f>
        <v/>
      </c>
      <c r="H124" s="8">
        <f>IF($A124="","",BDP($A124,H$3))</f>
        <v/>
      </c>
      <c r="I124" s="8">
        <f>IF($A124="","",BDP($A124,I$3))</f>
        <v/>
      </c>
      <c r="J124" s="8">
        <f>IF($A124="","",BDP($A124,J$3))</f>
        <v/>
      </c>
      <c r="K124" s="8">
        <f>IF($A124="","",BDP($A124,K$3))</f>
        <v/>
      </c>
      <c r="L124" s="28">
        <f>IF($A124="","",BDP($A124,L$3))</f>
        <v/>
      </c>
      <c r="M124" s="28">
        <f>IF($A124="","",BDP($A124,M$3))</f>
        <v/>
      </c>
      <c r="N124" s="30">
        <f>IF($A124="","",BDP($A124,N$3))</f>
        <v/>
      </c>
      <c r="O124" s="31">
        <f>IF($A124="","",BDP($A124,O$3))</f>
        <v/>
      </c>
      <c r="P124" s="30">
        <f>IF($A124="","",BDH($A124,$N$3,'參數'!$B$5,'參數'!$B$5,"Days=A","Fill=P","Dates=H"))</f>
        <v/>
      </c>
      <c r="Q124" s="30">
        <f>IF($A124="","",BDH($A124,$N$3,'參數'!$B$6,'參數'!$B$6,"Days=A","Fill=P","Dates=H"))</f>
        <v/>
      </c>
      <c r="R124" s="30">
        <f>IF($A124="","",BDH($A124,$N$3,'參數'!$B$7,'參數'!$B$7,"Days=A","Fill=P","Dates=H"))</f>
        <v/>
      </c>
      <c r="S124" s="32">
        <f>IF($A124="","",IFERROR(INDEX('發行人'!$A$5:$A$44,MATCH(B124,'發行人'!$D$5:$D$44,0)),"未對應"))</f>
        <v/>
      </c>
      <c r="T124" s="24">
        <f>IF($A124="","",IFERROR(INDEX('發行人'!$G$5:$G$44,MATCH(B124,'發行人'!$D$5:$D$44,0))+0,""))</f>
        <v/>
      </c>
      <c r="U124" s="18">
        <f>IF(ISNUMBER(E124),YEARFRAC('參數'!$B$4,E124),"")</f>
        <v/>
      </c>
      <c r="V124" s="8">
        <f>IF(U124="","",IF(U124&lt;3,"1-3y",IF(U124&lt;5,"3-5y",IF(U124&lt;7,"5-7y",IF(U124&lt;10,"7-10y","10y+")))))</f>
        <v/>
      </c>
      <c r="W124" s="30">
        <f>IF($A124="","",IFERROR(INDEX('參數'!$B$24:$B$45,MATCH(G124,'參數'!$A$24:$A$45,0)),""))</f>
        <v/>
      </c>
      <c r="X124" s="8">
        <f>IF($A124="","",IFERROR(INDEX('參數'!$C$24:$C$45,MATCH(G124,'參數'!$A$24:$A$45,0)),""))</f>
        <v/>
      </c>
      <c r="Y124" s="30">
        <f>IF(AND(ISNUMBER(N124),ISNUMBER(O124),ISNUMBER(U124)),IF(AND(O124&gt;0,X124&lt;&gt;""),1,0),0)</f>
        <v/>
      </c>
      <c r="Z124" s="17">
        <f>IF(Y124=1,O124*N124,"")</f>
        <v/>
      </c>
      <c r="AA124" s="33">
        <f>IF(Y124=1,IF(ISNUMBER(Q124),N124-Q124,""),"")</f>
        <v/>
      </c>
      <c r="AB124" s="33">
        <f>IF(Y124=1,IF(AND(ISNUMBER(P124),ISNUMBER(R124)),R124*5/12-O124*(P124-R124),""),"")</f>
        <v/>
      </c>
      <c r="AC124" s="30">
        <f>IF(Y124=1,COUNTIFS($X$5:$X$404,X124,$V$5:$V$404,V124,$Y$5:$Y$404,1),"")</f>
        <v/>
      </c>
      <c r="AD124" s="30">
        <f>IF(Y124=1,IFERROR(IF(AC124&gt;='參數'!$B$9,INDEX('分群統計'!$G$13:$K$16,MATCH(X124,'分群統計'!$A$13:$A$16,0),MATCH(V124,'分群統計'!$G$12:$K$12,0)),INDEX('分群統計'!$I$5:$I$8,MATCH(X124,'分群統計'!$A$5:$A$8,0))),""),"")</f>
        <v/>
      </c>
      <c r="AE124" s="18">
        <f>IF(Y124=1,IFERROR(IF(AC124&gt;='參數'!$B$9,INDEX('分群統計'!$L$13:$P$16,MATCH(X124,'分群統計'!$A$13:$A$16,0),MATCH(V124,'分群統計'!$L$12:$P$12,0)),INDEX('分群統計'!$J$5:$J$8,MATCH(X124,'分群統計'!$A$5:$A$8,0))),""),"")</f>
        <v/>
      </c>
      <c r="AF124" s="31">
        <f>IF(ISNUMBER(AE124),IF(AE124&gt;0,MAX(-3,MIN(3,(N124-AD124)/AE124)),0),"")</f>
        <v/>
      </c>
      <c r="AG124" s="30">
        <f>IF(Y124=1,COUNTIFS($B$5:$B$404,B124,$Y$5:$Y$404,1),"")</f>
        <v/>
      </c>
      <c r="AH124" s="30">
        <f>IF(Y124=1,IFERROR(IF(ISNUMBER(INDEX('分群統計'!$G$20:$G$59,MATCH(B124,'分群統計'!$A$20:$A$59,0))),INDEX('分群統計'!$H$20:$H$59,MATCH(B124,'分群統計'!$A$20:$A$59,0))+INDEX('分群統計'!$G$20:$G$59,MATCH(B124,'分群統計'!$A$20:$A$59,0))*AU124,""),""),"")</f>
        <v/>
      </c>
      <c r="AI124" s="34">
        <f>IF(ISNUMBER(AH124),N124-AH124,"")</f>
        <v/>
      </c>
      <c r="AJ124" s="30">
        <f>IF(Y124=1,IFERROR(IF(ISNUMBER(INDEX('分群統計'!$G$5:$G$8,MATCH(X124,'分群統計'!$A$5:$A$8,0))),INDEX('分群統計'!$H$5:$H$8,MATCH(X124,'分群統計'!$A$5:$A$8,0))+INDEX('分群統計'!$G$5:$G$8,MATCH(X124,'分群統計'!$A$5:$A$8,0))*AU124,""),""),"")</f>
        <v/>
      </c>
      <c r="AK124" s="34">
        <f>IF(ISNUMBER(AJ124),N124-AJ124,"")</f>
        <v/>
      </c>
      <c r="AL124" s="21">
        <f>IF(ISNUMBER(AJ124),IF(AJ124&gt;0,AK124/AJ124,""),"")</f>
        <v/>
      </c>
      <c r="AM124" s="31">
        <f>IF(AY124&lt;&gt;1,"",IFERROR(IF(INDEX('分群統計'!$K$5:$K$8,MATCH(X124,'分群統計'!$A$5:$A$8,0))&lt;3,"",IF(INDEX('分群統計'!$M$5:$M$8,MATCH(X124,'分群統計'!$A$5:$A$8,0))&gt;0,MAX(-3,MIN(3,(AX124-INDEX('分群統計'!$L$5:$L$8,MATCH(X124,'分群統計'!$A$5:$A$8,0)))/INDEX('分群統計'!$M$5:$M$8,MATCH(X124,'分群統計'!$A$5:$A$8,0)))),0)),""))</f>
        <v/>
      </c>
      <c r="AN124" s="31">
        <f>IF(ISNUMBER(AB124),IF(Z124&gt;0,AB124/Z124*100,""),"")</f>
        <v/>
      </c>
      <c r="AO124" s="31">
        <f>IF(BA124&lt;&gt;1,"",IFERROR(IF(INDEX('分群統計'!$N$5:$N$8,MATCH(X124,'分群統計'!$A$5:$A$8,0))&lt;3,"",IF(INDEX('分群統計'!$P$5:$P$8,MATCH(X124,'分群統計'!$A$5:$A$8,0))&gt;0,MAX(-3,MIN(3,(AZ124-INDEX('分群統計'!$O$5:$O$8,MATCH(X124,'分群統計'!$A$5:$A$8,0)))/INDEX('分群統計'!$P$5:$P$8,MATCH(X124,'分群統計'!$A$5:$A$8,0)))),0)),""))</f>
        <v/>
      </c>
      <c r="AP124" s="31">
        <f>IF(BC124&lt;&gt;1,"",IFERROR(IF(INDEX('分群統計'!$Q$5:$Q$8,MATCH(X124,'分群統計'!$A$5:$A$8,0))&lt;3,"",IF(INDEX('分群統計'!$S$5:$S$8,MATCH(X124,'分群統計'!$A$5:$A$8,0))&gt;0,MAX(-3,MIN(3,(BB124-INDEX('分群統計'!$R$5:$R$8,MATCH(X124,'分群統計'!$A$5:$A$8,0)))/INDEX('分群統計'!$S$5:$S$8,MATCH(X124,'分群統計'!$A$5:$A$8,0)))),0)),""))</f>
        <v/>
      </c>
      <c r="AQ124" s="31">
        <f>IF(Y124=1,(IF(ISNUMBER(AF124),AF124,0)*'參數'!$B$13+IF(ISNUMBER(AM124),AM124,0)*'參數'!$B$14+IF(ISNUMBER(AO124),AO124,0)*'參數'!$B$15+IF(ISNUMBER(AP124),AP124,0)*'參數'!$B$16)/('參數'!$B$13+'參數'!$B$14+'參數'!$B$15+'參數'!$B$16),"")</f>
        <v/>
      </c>
      <c r="AR124" s="35">
        <f>IF(Y124=1,(SUMPRODUCT(($X$5:$X$404=X124)*($Y$5:$Y$404=1)*($BD$5:$BD$404&gt;BD124))+1)/COUNTIFS($X$5:$X$404,X124,$Y$5:$Y$404,1),"")</f>
        <v/>
      </c>
      <c r="AS124" s="8">
        <f>IF(ISNUMBER(AR124),IF(AR124&lt;='參數'!$B$18,"加碼候選",IF(AR124&gt;'參數'!$B$19,"減碼候選","")),"")</f>
        <v/>
      </c>
      <c r="AT124" s="7">
        <f>IF(Y124=1,N124,0)</f>
        <v/>
      </c>
      <c r="AU124" s="7">
        <f>IF(Y124=1,LN(O124),0)</f>
        <v/>
      </c>
      <c r="AV124" s="36">
        <f>IF(Y124=1,IF(ISNUMBER(F124),F124,0),0)</f>
        <v/>
      </c>
      <c r="AW124" s="7">
        <f>IF(Y124=1,Z124,0)</f>
        <v/>
      </c>
      <c r="AX124" s="7">
        <f>IF(Y124=1,IF(ISNUMBER(AL124),AL124,0),0)</f>
        <v/>
      </c>
      <c r="AY124" s="7">
        <f>IF(Y124=1,IF(ISNUMBER(AL124),1,0),0)</f>
        <v/>
      </c>
      <c r="AZ124" s="7">
        <f>IF(Y124=1,IF(ISNUMBER(AN124),AN124,0),0)</f>
        <v/>
      </c>
      <c r="BA124" s="7">
        <f>IF(Y124=1,IF(ISNUMBER(AN124),1,0),0)</f>
        <v/>
      </c>
      <c r="BB124" s="7">
        <f>IF(Y124=1,IF(ISNUMBER(T124),T124,0),0)</f>
        <v/>
      </c>
      <c r="BC124" s="7">
        <f>IF(Y124=1,IF(ISNUMBER(T124),1,0),0)</f>
        <v/>
      </c>
      <c r="BD124" s="7">
        <f>IF(Y124=1,AQ124+ROW()/1E9,-1E9)</f>
        <v/>
      </c>
      <c r="BE124" s="7">
        <f>IF(Y124=1,AQ124+ROW()/1E9,1E9)</f>
        <v/>
      </c>
    </row>
    <row r="125">
      <c r="A125" s="16" t="n"/>
      <c r="B125" s="8">
        <f>IF($A125="","",BDP($A125,B$3))</f>
        <v/>
      </c>
      <c r="C125" s="8">
        <f>IF($A125="","",BDP($A125,C$3))</f>
        <v/>
      </c>
      <c r="D125" s="28">
        <f>IF($A125="","",BDP($A125,D$3))</f>
        <v/>
      </c>
      <c r="E125" s="29">
        <f>IF($A125="","",BDP($A125,E$3))</f>
        <v/>
      </c>
      <c r="F125" s="17">
        <f>IF($A125="","",BDP($A125,F$3))</f>
        <v/>
      </c>
      <c r="G125" s="8">
        <f>IF($A125="","",BDP($A125,G$3))</f>
        <v/>
      </c>
      <c r="H125" s="8">
        <f>IF($A125="","",BDP($A125,H$3))</f>
        <v/>
      </c>
      <c r="I125" s="8">
        <f>IF($A125="","",BDP($A125,I$3))</f>
        <v/>
      </c>
      <c r="J125" s="8">
        <f>IF($A125="","",BDP($A125,J$3))</f>
        <v/>
      </c>
      <c r="K125" s="8">
        <f>IF($A125="","",BDP($A125,K$3))</f>
        <v/>
      </c>
      <c r="L125" s="28">
        <f>IF($A125="","",BDP($A125,L$3))</f>
        <v/>
      </c>
      <c r="M125" s="28">
        <f>IF($A125="","",BDP($A125,M$3))</f>
        <v/>
      </c>
      <c r="N125" s="30">
        <f>IF($A125="","",BDP($A125,N$3))</f>
        <v/>
      </c>
      <c r="O125" s="31">
        <f>IF($A125="","",BDP($A125,O$3))</f>
        <v/>
      </c>
      <c r="P125" s="30">
        <f>IF($A125="","",BDH($A125,$N$3,'參數'!$B$5,'參數'!$B$5,"Days=A","Fill=P","Dates=H"))</f>
        <v/>
      </c>
      <c r="Q125" s="30">
        <f>IF($A125="","",BDH($A125,$N$3,'參數'!$B$6,'參數'!$B$6,"Days=A","Fill=P","Dates=H"))</f>
        <v/>
      </c>
      <c r="R125" s="30">
        <f>IF($A125="","",BDH($A125,$N$3,'參數'!$B$7,'參數'!$B$7,"Days=A","Fill=P","Dates=H"))</f>
        <v/>
      </c>
      <c r="S125" s="32">
        <f>IF($A125="","",IFERROR(INDEX('發行人'!$A$5:$A$44,MATCH(B125,'發行人'!$D$5:$D$44,0)),"未對應"))</f>
        <v/>
      </c>
      <c r="T125" s="24">
        <f>IF($A125="","",IFERROR(INDEX('發行人'!$G$5:$G$44,MATCH(B125,'發行人'!$D$5:$D$44,0))+0,""))</f>
        <v/>
      </c>
      <c r="U125" s="18">
        <f>IF(ISNUMBER(E125),YEARFRAC('參數'!$B$4,E125),"")</f>
        <v/>
      </c>
      <c r="V125" s="8">
        <f>IF(U125="","",IF(U125&lt;3,"1-3y",IF(U125&lt;5,"3-5y",IF(U125&lt;7,"5-7y",IF(U125&lt;10,"7-10y","10y+")))))</f>
        <v/>
      </c>
      <c r="W125" s="30">
        <f>IF($A125="","",IFERROR(INDEX('參數'!$B$24:$B$45,MATCH(G125,'參數'!$A$24:$A$45,0)),""))</f>
        <v/>
      </c>
      <c r="X125" s="8">
        <f>IF($A125="","",IFERROR(INDEX('參數'!$C$24:$C$45,MATCH(G125,'參數'!$A$24:$A$45,0)),""))</f>
        <v/>
      </c>
      <c r="Y125" s="30">
        <f>IF(AND(ISNUMBER(N125),ISNUMBER(O125),ISNUMBER(U125)),IF(AND(O125&gt;0,X125&lt;&gt;""),1,0),0)</f>
        <v/>
      </c>
      <c r="Z125" s="17">
        <f>IF(Y125=1,O125*N125,"")</f>
        <v/>
      </c>
      <c r="AA125" s="33">
        <f>IF(Y125=1,IF(ISNUMBER(Q125),N125-Q125,""),"")</f>
        <v/>
      </c>
      <c r="AB125" s="33">
        <f>IF(Y125=1,IF(AND(ISNUMBER(P125),ISNUMBER(R125)),R125*5/12-O125*(P125-R125),""),"")</f>
        <v/>
      </c>
      <c r="AC125" s="30">
        <f>IF(Y125=1,COUNTIFS($X$5:$X$404,X125,$V$5:$V$404,V125,$Y$5:$Y$404,1),"")</f>
        <v/>
      </c>
      <c r="AD125" s="30">
        <f>IF(Y125=1,IFERROR(IF(AC125&gt;='參數'!$B$9,INDEX('分群統計'!$G$13:$K$16,MATCH(X125,'分群統計'!$A$13:$A$16,0),MATCH(V125,'分群統計'!$G$12:$K$12,0)),INDEX('分群統計'!$I$5:$I$8,MATCH(X125,'分群統計'!$A$5:$A$8,0))),""),"")</f>
        <v/>
      </c>
      <c r="AE125" s="18">
        <f>IF(Y125=1,IFERROR(IF(AC125&gt;='參數'!$B$9,INDEX('分群統計'!$L$13:$P$16,MATCH(X125,'分群統計'!$A$13:$A$16,0),MATCH(V125,'分群統計'!$L$12:$P$12,0)),INDEX('分群統計'!$J$5:$J$8,MATCH(X125,'分群統計'!$A$5:$A$8,0))),""),"")</f>
        <v/>
      </c>
      <c r="AF125" s="31">
        <f>IF(ISNUMBER(AE125),IF(AE125&gt;0,MAX(-3,MIN(3,(N125-AD125)/AE125)),0),"")</f>
        <v/>
      </c>
      <c r="AG125" s="30">
        <f>IF(Y125=1,COUNTIFS($B$5:$B$404,B125,$Y$5:$Y$404,1),"")</f>
        <v/>
      </c>
      <c r="AH125" s="30">
        <f>IF(Y125=1,IFERROR(IF(ISNUMBER(INDEX('分群統計'!$G$20:$G$59,MATCH(B125,'分群統計'!$A$20:$A$59,0))),INDEX('分群統計'!$H$20:$H$59,MATCH(B125,'分群統計'!$A$20:$A$59,0))+INDEX('分群統計'!$G$20:$G$59,MATCH(B125,'分群統計'!$A$20:$A$59,0))*AU125,""),""),"")</f>
        <v/>
      </c>
      <c r="AI125" s="34">
        <f>IF(ISNUMBER(AH125),N125-AH125,"")</f>
        <v/>
      </c>
      <c r="AJ125" s="30">
        <f>IF(Y125=1,IFERROR(IF(ISNUMBER(INDEX('分群統計'!$G$5:$G$8,MATCH(X125,'分群統計'!$A$5:$A$8,0))),INDEX('分群統計'!$H$5:$H$8,MATCH(X125,'分群統計'!$A$5:$A$8,0))+INDEX('分群統計'!$G$5:$G$8,MATCH(X125,'分群統計'!$A$5:$A$8,0))*AU125,""),""),"")</f>
        <v/>
      </c>
      <c r="AK125" s="34">
        <f>IF(ISNUMBER(AJ125),N125-AJ125,"")</f>
        <v/>
      </c>
      <c r="AL125" s="21">
        <f>IF(ISNUMBER(AJ125),IF(AJ125&gt;0,AK125/AJ125,""),"")</f>
        <v/>
      </c>
      <c r="AM125" s="31">
        <f>IF(AY125&lt;&gt;1,"",IFERROR(IF(INDEX('分群統計'!$K$5:$K$8,MATCH(X125,'分群統計'!$A$5:$A$8,0))&lt;3,"",IF(INDEX('分群統計'!$M$5:$M$8,MATCH(X125,'分群統計'!$A$5:$A$8,0))&gt;0,MAX(-3,MIN(3,(AX125-INDEX('分群統計'!$L$5:$L$8,MATCH(X125,'分群統計'!$A$5:$A$8,0)))/INDEX('分群統計'!$M$5:$M$8,MATCH(X125,'分群統計'!$A$5:$A$8,0)))),0)),""))</f>
        <v/>
      </c>
      <c r="AN125" s="31">
        <f>IF(ISNUMBER(AB125),IF(Z125&gt;0,AB125/Z125*100,""),"")</f>
        <v/>
      </c>
      <c r="AO125" s="31">
        <f>IF(BA125&lt;&gt;1,"",IFERROR(IF(INDEX('分群統計'!$N$5:$N$8,MATCH(X125,'分群統計'!$A$5:$A$8,0))&lt;3,"",IF(INDEX('分群統計'!$P$5:$P$8,MATCH(X125,'分群統計'!$A$5:$A$8,0))&gt;0,MAX(-3,MIN(3,(AZ125-INDEX('分群統計'!$O$5:$O$8,MATCH(X125,'分群統計'!$A$5:$A$8,0)))/INDEX('分群統計'!$P$5:$P$8,MATCH(X125,'分群統計'!$A$5:$A$8,0)))),0)),""))</f>
        <v/>
      </c>
      <c r="AP125" s="31">
        <f>IF(BC125&lt;&gt;1,"",IFERROR(IF(INDEX('分群統計'!$Q$5:$Q$8,MATCH(X125,'分群統計'!$A$5:$A$8,0))&lt;3,"",IF(INDEX('分群統計'!$S$5:$S$8,MATCH(X125,'分群統計'!$A$5:$A$8,0))&gt;0,MAX(-3,MIN(3,(BB125-INDEX('分群統計'!$R$5:$R$8,MATCH(X125,'分群統計'!$A$5:$A$8,0)))/INDEX('分群統計'!$S$5:$S$8,MATCH(X125,'分群統計'!$A$5:$A$8,0)))),0)),""))</f>
        <v/>
      </c>
      <c r="AQ125" s="31">
        <f>IF(Y125=1,(IF(ISNUMBER(AF125),AF125,0)*'參數'!$B$13+IF(ISNUMBER(AM125),AM125,0)*'參數'!$B$14+IF(ISNUMBER(AO125),AO125,0)*'參數'!$B$15+IF(ISNUMBER(AP125),AP125,0)*'參數'!$B$16)/('參數'!$B$13+'參數'!$B$14+'參數'!$B$15+'參數'!$B$16),"")</f>
        <v/>
      </c>
      <c r="AR125" s="35">
        <f>IF(Y125=1,(SUMPRODUCT(($X$5:$X$404=X125)*($Y$5:$Y$404=1)*($BD$5:$BD$404&gt;BD125))+1)/COUNTIFS($X$5:$X$404,X125,$Y$5:$Y$404,1),"")</f>
        <v/>
      </c>
      <c r="AS125" s="8">
        <f>IF(ISNUMBER(AR125),IF(AR125&lt;='參數'!$B$18,"加碼候選",IF(AR125&gt;'參數'!$B$19,"減碼候選","")),"")</f>
        <v/>
      </c>
      <c r="AT125" s="7">
        <f>IF(Y125=1,N125,0)</f>
        <v/>
      </c>
      <c r="AU125" s="7">
        <f>IF(Y125=1,LN(O125),0)</f>
        <v/>
      </c>
      <c r="AV125" s="36">
        <f>IF(Y125=1,IF(ISNUMBER(F125),F125,0),0)</f>
        <v/>
      </c>
      <c r="AW125" s="7">
        <f>IF(Y125=1,Z125,0)</f>
        <v/>
      </c>
      <c r="AX125" s="7">
        <f>IF(Y125=1,IF(ISNUMBER(AL125),AL125,0),0)</f>
        <v/>
      </c>
      <c r="AY125" s="7">
        <f>IF(Y125=1,IF(ISNUMBER(AL125),1,0),0)</f>
        <v/>
      </c>
      <c r="AZ125" s="7">
        <f>IF(Y125=1,IF(ISNUMBER(AN125),AN125,0),0)</f>
        <v/>
      </c>
      <c r="BA125" s="7">
        <f>IF(Y125=1,IF(ISNUMBER(AN125),1,0),0)</f>
        <v/>
      </c>
      <c r="BB125" s="7">
        <f>IF(Y125=1,IF(ISNUMBER(T125),T125,0),0)</f>
        <v/>
      </c>
      <c r="BC125" s="7">
        <f>IF(Y125=1,IF(ISNUMBER(T125),1,0),0)</f>
        <v/>
      </c>
      <c r="BD125" s="7">
        <f>IF(Y125=1,AQ125+ROW()/1E9,-1E9)</f>
        <v/>
      </c>
      <c r="BE125" s="7">
        <f>IF(Y125=1,AQ125+ROW()/1E9,1E9)</f>
        <v/>
      </c>
    </row>
    <row r="126">
      <c r="A126" s="16" t="n"/>
      <c r="B126" s="8">
        <f>IF($A126="","",BDP($A126,B$3))</f>
        <v/>
      </c>
      <c r="C126" s="8">
        <f>IF($A126="","",BDP($A126,C$3))</f>
        <v/>
      </c>
      <c r="D126" s="28">
        <f>IF($A126="","",BDP($A126,D$3))</f>
        <v/>
      </c>
      <c r="E126" s="29">
        <f>IF($A126="","",BDP($A126,E$3))</f>
        <v/>
      </c>
      <c r="F126" s="17">
        <f>IF($A126="","",BDP($A126,F$3))</f>
        <v/>
      </c>
      <c r="G126" s="8">
        <f>IF($A126="","",BDP($A126,G$3))</f>
        <v/>
      </c>
      <c r="H126" s="8">
        <f>IF($A126="","",BDP($A126,H$3))</f>
        <v/>
      </c>
      <c r="I126" s="8">
        <f>IF($A126="","",BDP($A126,I$3))</f>
        <v/>
      </c>
      <c r="J126" s="8">
        <f>IF($A126="","",BDP($A126,J$3))</f>
        <v/>
      </c>
      <c r="K126" s="8">
        <f>IF($A126="","",BDP($A126,K$3))</f>
        <v/>
      </c>
      <c r="L126" s="28">
        <f>IF($A126="","",BDP($A126,L$3))</f>
        <v/>
      </c>
      <c r="M126" s="28">
        <f>IF($A126="","",BDP($A126,M$3))</f>
        <v/>
      </c>
      <c r="N126" s="30">
        <f>IF($A126="","",BDP($A126,N$3))</f>
        <v/>
      </c>
      <c r="O126" s="31">
        <f>IF($A126="","",BDP($A126,O$3))</f>
        <v/>
      </c>
      <c r="P126" s="30">
        <f>IF($A126="","",BDH($A126,$N$3,'參數'!$B$5,'參數'!$B$5,"Days=A","Fill=P","Dates=H"))</f>
        <v/>
      </c>
      <c r="Q126" s="30">
        <f>IF($A126="","",BDH($A126,$N$3,'參數'!$B$6,'參數'!$B$6,"Days=A","Fill=P","Dates=H"))</f>
        <v/>
      </c>
      <c r="R126" s="30">
        <f>IF($A126="","",BDH($A126,$N$3,'參數'!$B$7,'參數'!$B$7,"Days=A","Fill=P","Dates=H"))</f>
        <v/>
      </c>
      <c r="S126" s="32">
        <f>IF($A126="","",IFERROR(INDEX('發行人'!$A$5:$A$44,MATCH(B126,'發行人'!$D$5:$D$44,0)),"未對應"))</f>
        <v/>
      </c>
      <c r="T126" s="24">
        <f>IF($A126="","",IFERROR(INDEX('發行人'!$G$5:$G$44,MATCH(B126,'發行人'!$D$5:$D$44,0))+0,""))</f>
        <v/>
      </c>
      <c r="U126" s="18">
        <f>IF(ISNUMBER(E126),YEARFRAC('參數'!$B$4,E126),"")</f>
        <v/>
      </c>
      <c r="V126" s="8">
        <f>IF(U126="","",IF(U126&lt;3,"1-3y",IF(U126&lt;5,"3-5y",IF(U126&lt;7,"5-7y",IF(U126&lt;10,"7-10y","10y+")))))</f>
        <v/>
      </c>
      <c r="W126" s="30">
        <f>IF($A126="","",IFERROR(INDEX('參數'!$B$24:$B$45,MATCH(G126,'參數'!$A$24:$A$45,0)),""))</f>
        <v/>
      </c>
      <c r="X126" s="8">
        <f>IF($A126="","",IFERROR(INDEX('參數'!$C$24:$C$45,MATCH(G126,'參數'!$A$24:$A$45,0)),""))</f>
        <v/>
      </c>
      <c r="Y126" s="30">
        <f>IF(AND(ISNUMBER(N126),ISNUMBER(O126),ISNUMBER(U126)),IF(AND(O126&gt;0,X126&lt;&gt;""),1,0),0)</f>
        <v/>
      </c>
      <c r="Z126" s="17">
        <f>IF(Y126=1,O126*N126,"")</f>
        <v/>
      </c>
      <c r="AA126" s="33">
        <f>IF(Y126=1,IF(ISNUMBER(Q126),N126-Q126,""),"")</f>
        <v/>
      </c>
      <c r="AB126" s="33">
        <f>IF(Y126=1,IF(AND(ISNUMBER(P126),ISNUMBER(R126)),R126*5/12-O126*(P126-R126),""),"")</f>
        <v/>
      </c>
      <c r="AC126" s="30">
        <f>IF(Y126=1,COUNTIFS($X$5:$X$404,X126,$V$5:$V$404,V126,$Y$5:$Y$404,1),"")</f>
        <v/>
      </c>
      <c r="AD126" s="30">
        <f>IF(Y126=1,IFERROR(IF(AC126&gt;='參數'!$B$9,INDEX('分群統計'!$G$13:$K$16,MATCH(X126,'分群統計'!$A$13:$A$16,0),MATCH(V126,'分群統計'!$G$12:$K$12,0)),INDEX('分群統計'!$I$5:$I$8,MATCH(X126,'分群統計'!$A$5:$A$8,0))),""),"")</f>
        <v/>
      </c>
      <c r="AE126" s="18">
        <f>IF(Y126=1,IFERROR(IF(AC126&gt;='參數'!$B$9,INDEX('分群統計'!$L$13:$P$16,MATCH(X126,'分群統計'!$A$13:$A$16,0),MATCH(V126,'分群統計'!$L$12:$P$12,0)),INDEX('分群統計'!$J$5:$J$8,MATCH(X126,'分群統計'!$A$5:$A$8,0))),""),"")</f>
        <v/>
      </c>
      <c r="AF126" s="31">
        <f>IF(ISNUMBER(AE126),IF(AE126&gt;0,MAX(-3,MIN(3,(N126-AD126)/AE126)),0),"")</f>
        <v/>
      </c>
      <c r="AG126" s="30">
        <f>IF(Y126=1,COUNTIFS($B$5:$B$404,B126,$Y$5:$Y$404,1),"")</f>
        <v/>
      </c>
      <c r="AH126" s="30">
        <f>IF(Y126=1,IFERROR(IF(ISNUMBER(INDEX('分群統計'!$G$20:$G$59,MATCH(B126,'分群統計'!$A$20:$A$59,0))),INDEX('分群統計'!$H$20:$H$59,MATCH(B126,'分群統計'!$A$20:$A$59,0))+INDEX('分群統計'!$G$20:$G$59,MATCH(B126,'分群統計'!$A$20:$A$59,0))*AU126,""),""),"")</f>
        <v/>
      </c>
      <c r="AI126" s="34">
        <f>IF(ISNUMBER(AH126),N126-AH126,"")</f>
        <v/>
      </c>
      <c r="AJ126" s="30">
        <f>IF(Y126=1,IFERROR(IF(ISNUMBER(INDEX('分群統計'!$G$5:$G$8,MATCH(X126,'分群統計'!$A$5:$A$8,0))),INDEX('分群統計'!$H$5:$H$8,MATCH(X126,'分群統計'!$A$5:$A$8,0))+INDEX('分群統計'!$G$5:$G$8,MATCH(X126,'分群統計'!$A$5:$A$8,0))*AU126,""),""),"")</f>
        <v/>
      </c>
      <c r="AK126" s="34">
        <f>IF(ISNUMBER(AJ126),N126-AJ126,"")</f>
        <v/>
      </c>
      <c r="AL126" s="21">
        <f>IF(ISNUMBER(AJ126),IF(AJ126&gt;0,AK126/AJ126,""),"")</f>
        <v/>
      </c>
      <c r="AM126" s="31">
        <f>IF(AY126&lt;&gt;1,"",IFERROR(IF(INDEX('分群統計'!$K$5:$K$8,MATCH(X126,'分群統計'!$A$5:$A$8,0))&lt;3,"",IF(INDEX('分群統計'!$M$5:$M$8,MATCH(X126,'分群統計'!$A$5:$A$8,0))&gt;0,MAX(-3,MIN(3,(AX126-INDEX('分群統計'!$L$5:$L$8,MATCH(X126,'分群統計'!$A$5:$A$8,0)))/INDEX('分群統計'!$M$5:$M$8,MATCH(X126,'分群統計'!$A$5:$A$8,0)))),0)),""))</f>
        <v/>
      </c>
      <c r="AN126" s="31">
        <f>IF(ISNUMBER(AB126),IF(Z126&gt;0,AB126/Z126*100,""),"")</f>
        <v/>
      </c>
      <c r="AO126" s="31">
        <f>IF(BA126&lt;&gt;1,"",IFERROR(IF(INDEX('分群統計'!$N$5:$N$8,MATCH(X126,'分群統計'!$A$5:$A$8,0))&lt;3,"",IF(INDEX('分群統計'!$P$5:$P$8,MATCH(X126,'分群統計'!$A$5:$A$8,0))&gt;0,MAX(-3,MIN(3,(AZ126-INDEX('分群統計'!$O$5:$O$8,MATCH(X126,'分群統計'!$A$5:$A$8,0)))/INDEX('分群統計'!$P$5:$P$8,MATCH(X126,'分群統計'!$A$5:$A$8,0)))),0)),""))</f>
        <v/>
      </c>
      <c r="AP126" s="31">
        <f>IF(BC126&lt;&gt;1,"",IFERROR(IF(INDEX('分群統計'!$Q$5:$Q$8,MATCH(X126,'分群統計'!$A$5:$A$8,0))&lt;3,"",IF(INDEX('分群統計'!$S$5:$S$8,MATCH(X126,'分群統計'!$A$5:$A$8,0))&gt;0,MAX(-3,MIN(3,(BB126-INDEX('分群統計'!$R$5:$R$8,MATCH(X126,'分群統計'!$A$5:$A$8,0)))/INDEX('分群統計'!$S$5:$S$8,MATCH(X126,'分群統計'!$A$5:$A$8,0)))),0)),""))</f>
        <v/>
      </c>
      <c r="AQ126" s="31">
        <f>IF(Y126=1,(IF(ISNUMBER(AF126),AF126,0)*'參數'!$B$13+IF(ISNUMBER(AM126),AM126,0)*'參數'!$B$14+IF(ISNUMBER(AO126),AO126,0)*'參數'!$B$15+IF(ISNUMBER(AP126),AP126,0)*'參數'!$B$16)/('參數'!$B$13+'參數'!$B$14+'參數'!$B$15+'參數'!$B$16),"")</f>
        <v/>
      </c>
      <c r="AR126" s="35">
        <f>IF(Y126=1,(SUMPRODUCT(($X$5:$X$404=X126)*($Y$5:$Y$404=1)*($BD$5:$BD$404&gt;BD126))+1)/COUNTIFS($X$5:$X$404,X126,$Y$5:$Y$404,1),"")</f>
        <v/>
      </c>
      <c r="AS126" s="8">
        <f>IF(ISNUMBER(AR126),IF(AR126&lt;='參數'!$B$18,"加碼候選",IF(AR126&gt;'參數'!$B$19,"減碼候選","")),"")</f>
        <v/>
      </c>
      <c r="AT126" s="7">
        <f>IF(Y126=1,N126,0)</f>
        <v/>
      </c>
      <c r="AU126" s="7">
        <f>IF(Y126=1,LN(O126),0)</f>
        <v/>
      </c>
      <c r="AV126" s="36">
        <f>IF(Y126=1,IF(ISNUMBER(F126),F126,0),0)</f>
        <v/>
      </c>
      <c r="AW126" s="7">
        <f>IF(Y126=1,Z126,0)</f>
        <v/>
      </c>
      <c r="AX126" s="7">
        <f>IF(Y126=1,IF(ISNUMBER(AL126),AL126,0),0)</f>
        <v/>
      </c>
      <c r="AY126" s="7">
        <f>IF(Y126=1,IF(ISNUMBER(AL126),1,0),0)</f>
        <v/>
      </c>
      <c r="AZ126" s="7">
        <f>IF(Y126=1,IF(ISNUMBER(AN126),AN126,0),0)</f>
        <v/>
      </c>
      <c r="BA126" s="7">
        <f>IF(Y126=1,IF(ISNUMBER(AN126),1,0),0)</f>
        <v/>
      </c>
      <c r="BB126" s="7">
        <f>IF(Y126=1,IF(ISNUMBER(T126),T126,0),0)</f>
        <v/>
      </c>
      <c r="BC126" s="7">
        <f>IF(Y126=1,IF(ISNUMBER(T126),1,0),0)</f>
        <v/>
      </c>
      <c r="BD126" s="7">
        <f>IF(Y126=1,AQ126+ROW()/1E9,-1E9)</f>
        <v/>
      </c>
      <c r="BE126" s="7">
        <f>IF(Y126=1,AQ126+ROW()/1E9,1E9)</f>
        <v/>
      </c>
    </row>
    <row r="127">
      <c r="A127" s="16" t="n"/>
      <c r="B127" s="8">
        <f>IF($A127="","",BDP($A127,B$3))</f>
        <v/>
      </c>
      <c r="C127" s="8">
        <f>IF($A127="","",BDP($A127,C$3))</f>
        <v/>
      </c>
      <c r="D127" s="28">
        <f>IF($A127="","",BDP($A127,D$3))</f>
        <v/>
      </c>
      <c r="E127" s="29">
        <f>IF($A127="","",BDP($A127,E$3))</f>
        <v/>
      </c>
      <c r="F127" s="17">
        <f>IF($A127="","",BDP($A127,F$3))</f>
        <v/>
      </c>
      <c r="G127" s="8">
        <f>IF($A127="","",BDP($A127,G$3))</f>
        <v/>
      </c>
      <c r="H127" s="8">
        <f>IF($A127="","",BDP($A127,H$3))</f>
        <v/>
      </c>
      <c r="I127" s="8">
        <f>IF($A127="","",BDP($A127,I$3))</f>
        <v/>
      </c>
      <c r="J127" s="8">
        <f>IF($A127="","",BDP($A127,J$3))</f>
        <v/>
      </c>
      <c r="K127" s="8">
        <f>IF($A127="","",BDP($A127,K$3))</f>
        <v/>
      </c>
      <c r="L127" s="28">
        <f>IF($A127="","",BDP($A127,L$3))</f>
        <v/>
      </c>
      <c r="M127" s="28">
        <f>IF($A127="","",BDP($A127,M$3))</f>
        <v/>
      </c>
      <c r="N127" s="30">
        <f>IF($A127="","",BDP($A127,N$3))</f>
        <v/>
      </c>
      <c r="O127" s="31">
        <f>IF($A127="","",BDP($A127,O$3))</f>
        <v/>
      </c>
      <c r="P127" s="30">
        <f>IF($A127="","",BDH($A127,$N$3,'參數'!$B$5,'參數'!$B$5,"Days=A","Fill=P","Dates=H"))</f>
        <v/>
      </c>
      <c r="Q127" s="30">
        <f>IF($A127="","",BDH($A127,$N$3,'參數'!$B$6,'參數'!$B$6,"Days=A","Fill=P","Dates=H"))</f>
        <v/>
      </c>
      <c r="R127" s="30">
        <f>IF($A127="","",BDH($A127,$N$3,'參數'!$B$7,'參數'!$B$7,"Days=A","Fill=P","Dates=H"))</f>
        <v/>
      </c>
      <c r="S127" s="32">
        <f>IF($A127="","",IFERROR(INDEX('發行人'!$A$5:$A$44,MATCH(B127,'發行人'!$D$5:$D$44,0)),"未對應"))</f>
        <v/>
      </c>
      <c r="T127" s="24">
        <f>IF($A127="","",IFERROR(INDEX('發行人'!$G$5:$G$44,MATCH(B127,'發行人'!$D$5:$D$44,0))+0,""))</f>
        <v/>
      </c>
      <c r="U127" s="18">
        <f>IF(ISNUMBER(E127),YEARFRAC('參數'!$B$4,E127),"")</f>
        <v/>
      </c>
      <c r="V127" s="8">
        <f>IF(U127="","",IF(U127&lt;3,"1-3y",IF(U127&lt;5,"3-5y",IF(U127&lt;7,"5-7y",IF(U127&lt;10,"7-10y","10y+")))))</f>
        <v/>
      </c>
      <c r="W127" s="30">
        <f>IF($A127="","",IFERROR(INDEX('參數'!$B$24:$B$45,MATCH(G127,'參數'!$A$24:$A$45,0)),""))</f>
        <v/>
      </c>
      <c r="X127" s="8">
        <f>IF($A127="","",IFERROR(INDEX('參數'!$C$24:$C$45,MATCH(G127,'參數'!$A$24:$A$45,0)),""))</f>
        <v/>
      </c>
      <c r="Y127" s="30">
        <f>IF(AND(ISNUMBER(N127),ISNUMBER(O127),ISNUMBER(U127)),IF(AND(O127&gt;0,X127&lt;&gt;""),1,0),0)</f>
        <v/>
      </c>
      <c r="Z127" s="17">
        <f>IF(Y127=1,O127*N127,"")</f>
        <v/>
      </c>
      <c r="AA127" s="33">
        <f>IF(Y127=1,IF(ISNUMBER(Q127),N127-Q127,""),"")</f>
        <v/>
      </c>
      <c r="AB127" s="33">
        <f>IF(Y127=1,IF(AND(ISNUMBER(P127),ISNUMBER(R127)),R127*5/12-O127*(P127-R127),""),"")</f>
        <v/>
      </c>
      <c r="AC127" s="30">
        <f>IF(Y127=1,COUNTIFS($X$5:$X$404,X127,$V$5:$V$404,V127,$Y$5:$Y$404,1),"")</f>
        <v/>
      </c>
      <c r="AD127" s="30">
        <f>IF(Y127=1,IFERROR(IF(AC127&gt;='參數'!$B$9,INDEX('分群統計'!$G$13:$K$16,MATCH(X127,'分群統計'!$A$13:$A$16,0),MATCH(V127,'分群統計'!$G$12:$K$12,0)),INDEX('分群統計'!$I$5:$I$8,MATCH(X127,'分群統計'!$A$5:$A$8,0))),""),"")</f>
        <v/>
      </c>
      <c r="AE127" s="18">
        <f>IF(Y127=1,IFERROR(IF(AC127&gt;='參數'!$B$9,INDEX('分群統計'!$L$13:$P$16,MATCH(X127,'分群統計'!$A$13:$A$16,0),MATCH(V127,'分群統計'!$L$12:$P$12,0)),INDEX('分群統計'!$J$5:$J$8,MATCH(X127,'分群統計'!$A$5:$A$8,0))),""),"")</f>
        <v/>
      </c>
      <c r="AF127" s="31">
        <f>IF(ISNUMBER(AE127),IF(AE127&gt;0,MAX(-3,MIN(3,(N127-AD127)/AE127)),0),"")</f>
        <v/>
      </c>
      <c r="AG127" s="30">
        <f>IF(Y127=1,COUNTIFS($B$5:$B$404,B127,$Y$5:$Y$404,1),"")</f>
        <v/>
      </c>
      <c r="AH127" s="30">
        <f>IF(Y127=1,IFERROR(IF(ISNUMBER(INDEX('分群統計'!$G$20:$G$59,MATCH(B127,'分群統計'!$A$20:$A$59,0))),INDEX('分群統計'!$H$20:$H$59,MATCH(B127,'分群統計'!$A$20:$A$59,0))+INDEX('分群統計'!$G$20:$G$59,MATCH(B127,'分群統計'!$A$20:$A$59,0))*AU127,""),""),"")</f>
        <v/>
      </c>
      <c r="AI127" s="34">
        <f>IF(ISNUMBER(AH127),N127-AH127,"")</f>
        <v/>
      </c>
      <c r="AJ127" s="30">
        <f>IF(Y127=1,IFERROR(IF(ISNUMBER(INDEX('分群統計'!$G$5:$G$8,MATCH(X127,'分群統計'!$A$5:$A$8,0))),INDEX('分群統計'!$H$5:$H$8,MATCH(X127,'分群統計'!$A$5:$A$8,0))+INDEX('分群統計'!$G$5:$G$8,MATCH(X127,'分群統計'!$A$5:$A$8,0))*AU127,""),""),"")</f>
        <v/>
      </c>
      <c r="AK127" s="34">
        <f>IF(ISNUMBER(AJ127),N127-AJ127,"")</f>
        <v/>
      </c>
      <c r="AL127" s="21">
        <f>IF(ISNUMBER(AJ127),IF(AJ127&gt;0,AK127/AJ127,""),"")</f>
        <v/>
      </c>
      <c r="AM127" s="31">
        <f>IF(AY127&lt;&gt;1,"",IFERROR(IF(INDEX('分群統計'!$K$5:$K$8,MATCH(X127,'分群統計'!$A$5:$A$8,0))&lt;3,"",IF(INDEX('分群統計'!$M$5:$M$8,MATCH(X127,'分群統計'!$A$5:$A$8,0))&gt;0,MAX(-3,MIN(3,(AX127-INDEX('分群統計'!$L$5:$L$8,MATCH(X127,'分群統計'!$A$5:$A$8,0)))/INDEX('分群統計'!$M$5:$M$8,MATCH(X127,'分群統計'!$A$5:$A$8,0)))),0)),""))</f>
        <v/>
      </c>
      <c r="AN127" s="31">
        <f>IF(ISNUMBER(AB127),IF(Z127&gt;0,AB127/Z127*100,""),"")</f>
        <v/>
      </c>
      <c r="AO127" s="31">
        <f>IF(BA127&lt;&gt;1,"",IFERROR(IF(INDEX('分群統計'!$N$5:$N$8,MATCH(X127,'分群統計'!$A$5:$A$8,0))&lt;3,"",IF(INDEX('分群統計'!$P$5:$P$8,MATCH(X127,'分群統計'!$A$5:$A$8,0))&gt;0,MAX(-3,MIN(3,(AZ127-INDEX('分群統計'!$O$5:$O$8,MATCH(X127,'分群統計'!$A$5:$A$8,0)))/INDEX('分群統計'!$P$5:$P$8,MATCH(X127,'分群統計'!$A$5:$A$8,0)))),0)),""))</f>
        <v/>
      </c>
      <c r="AP127" s="31">
        <f>IF(BC127&lt;&gt;1,"",IFERROR(IF(INDEX('分群統計'!$Q$5:$Q$8,MATCH(X127,'分群統計'!$A$5:$A$8,0))&lt;3,"",IF(INDEX('分群統計'!$S$5:$S$8,MATCH(X127,'分群統計'!$A$5:$A$8,0))&gt;0,MAX(-3,MIN(3,(BB127-INDEX('分群統計'!$R$5:$R$8,MATCH(X127,'分群統計'!$A$5:$A$8,0)))/INDEX('分群統計'!$S$5:$S$8,MATCH(X127,'分群統計'!$A$5:$A$8,0)))),0)),""))</f>
        <v/>
      </c>
      <c r="AQ127" s="31">
        <f>IF(Y127=1,(IF(ISNUMBER(AF127),AF127,0)*'參數'!$B$13+IF(ISNUMBER(AM127),AM127,0)*'參數'!$B$14+IF(ISNUMBER(AO127),AO127,0)*'參數'!$B$15+IF(ISNUMBER(AP127),AP127,0)*'參數'!$B$16)/('參數'!$B$13+'參數'!$B$14+'參數'!$B$15+'參數'!$B$16),"")</f>
        <v/>
      </c>
      <c r="AR127" s="35">
        <f>IF(Y127=1,(SUMPRODUCT(($X$5:$X$404=X127)*($Y$5:$Y$404=1)*($BD$5:$BD$404&gt;BD127))+1)/COUNTIFS($X$5:$X$404,X127,$Y$5:$Y$404,1),"")</f>
        <v/>
      </c>
      <c r="AS127" s="8">
        <f>IF(ISNUMBER(AR127),IF(AR127&lt;='參數'!$B$18,"加碼候選",IF(AR127&gt;'參數'!$B$19,"減碼候選","")),"")</f>
        <v/>
      </c>
      <c r="AT127" s="7">
        <f>IF(Y127=1,N127,0)</f>
        <v/>
      </c>
      <c r="AU127" s="7">
        <f>IF(Y127=1,LN(O127),0)</f>
        <v/>
      </c>
      <c r="AV127" s="36">
        <f>IF(Y127=1,IF(ISNUMBER(F127),F127,0),0)</f>
        <v/>
      </c>
      <c r="AW127" s="7">
        <f>IF(Y127=1,Z127,0)</f>
        <v/>
      </c>
      <c r="AX127" s="7">
        <f>IF(Y127=1,IF(ISNUMBER(AL127),AL127,0),0)</f>
        <v/>
      </c>
      <c r="AY127" s="7">
        <f>IF(Y127=1,IF(ISNUMBER(AL127),1,0),0)</f>
        <v/>
      </c>
      <c r="AZ127" s="7">
        <f>IF(Y127=1,IF(ISNUMBER(AN127),AN127,0),0)</f>
        <v/>
      </c>
      <c r="BA127" s="7">
        <f>IF(Y127=1,IF(ISNUMBER(AN127),1,0),0)</f>
        <v/>
      </c>
      <c r="BB127" s="7">
        <f>IF(Y127=1,IF(ISNUMBER(T127),T127,0),0)</f>
        <v/>
      </c>
      <c r="BC127" s="7">
        <f>IF(Y127=1,IF(ISNUMBER(T127),1,0),0)</f>
        <v/>
      </c>
      <c r="BD127" s="7">
        <f>IF(Y127=1,AQ127+ROW()/1E9,-1E9)</f>
        <v/>
      </c>
      <c r="BE127" s="7">
        <f>IF(Y127=1,AQ127+ROW()/1E9,1E9)</f>
        <v/>
      </c>
    </row>
    <row r="128">
      <c r="A128" s="16" t="n"/>
      <c r="B128" s="8">
        <f>IF($A128="","",BDP($A128,B$3))</f>
        <v/>
      </c>
      <c r="C128" s="8">
        <f>IF($A128="","",BDP($A128,C$3))</f>
        <v/>
      </c>
      <c r="D128" s="28">
        <f>IF($A128="","",BDP($A128,D$3))</f>
        <v/>
      </c>
      <c r="E128" s="29">
        <f>IF($A128="","",BDP($A128,E$3))</f>
        <v/>
      </c>
      <c r="F128" s="17">
        <f>IF($A128="","",BDP($A128,F$3))</f>
        <v/>
      </c>
      <c r="G128" s="8">
        <f>IF($A128="","",BDP($A128,G$3))</f>
        <v/>
      </c>
      <c r="H128" s="8">
        <f>IF($A128="","",BDP($A128,H$3))</f>
        <v/>
      </c>
      <c r="I128" s="8">
        <f>IF($A128="","",BDP($A128,I$3))</f>
        <v/>
      </c>
      <c r="J128" s="8">
        <f>IF($A128="","",BDP($A128,J$3))</f>
        <v/>
      </c>
      <c r="K128" s="8">
        <f>IF($A128="","",BDP($A128,K$3))</f>
        <v/>
      </c>
      <c r="L128" s="28">
        <f>IF($A128="","",BDP($A128,L$3))</f>
        <v/>
      </c>
      <c r="M128" s="28">
        <f>IF($A128="","",BDP($A128,M$3))</f>
        <v/>
      </c>
      <c r="N128" s="30">
        <f>IF($A128="","",BDP($A128,N$3))</f>
        <v/>
      </c>
      <c r="O128" s="31">
        <f>IF($A128="","",BDP($A128,O$3))</f>
        <v/>
      </c>
      <c r="P128" s="30">
        <f>IF($A128="","",BDH($A128,$N$3,'參數'!$B$5,'參數'!$B$5,"Days=A","Fill=P","Dates=H"))</f>
        <v/>
      </c>
      <c r="Q128" s="30">
        <f>IF($A128="","",BDH($A128,$N$3,'參數'!$B$6,'參數'!$B$6,"Days=A","Fill=P","Dates=H"))</f>
        <v/>
      </c>
      <c r="R128" s="30">
        <f>IF($A128="","",BDH($A128,$N$3,'參數'!$B$7,'參數'!$B$7,"Days=A","Fill=P","Dates=H"))</f>
        <v/>
      </c>
      <c r="S128" s="32">
        <f>IF($A128="","",IFERROR(INDEX('發行人'!$A$5:$A$44,MATCH(B128,'發行人'!$D$5:$D$44,0)),"未對應"))</f>
        <v/>
      </c>
      <c r="T128" s="24">
        <f>IF($A128="","",IFERROR(INDEX('發行人'!$G$5:$G$44,MATCH(B128,'發行人'!$D$5:$D$44,0))+0,""))</f>
        <v/>
      </c>
      <c r="U128" s="18">
        <f>IF(ISNUMBER(E128),YEARFRAC('參數'!$B$4,E128),"")</f>
        <v/>
      </c>
      <c r="V128" s="8">
        <f>IF(U128="","",IF(U128&lt;3,"1-3y",IF(U128&lt;5,"3-5y",IF(U128&lt;7,"5-7y",IF(U128&lt;10,"7-10y","10y+")))))</f>
        <v/>
      </c>
      <c r="W128" s="30">
        <f>IF($A128="","",IFERROR(INDEX('參數'!$B$24:$B$45,MATCH(G128,'參數'!$A$24:$A$45,0)),""))</f>
        <v/>
      </c>
      <c r="X128" s="8">
        <f>IF($A128="","",IFERROR(INDEX('參數'!$C$24:$C$45,MATCH(G128,'參數'!$A$24:$A$45,0)),""))</f>
        <v/>
      </c>
      <c r="Y128" s="30">
        <f>IF(AND(ISNUMBER(N128),ISNUMBER(O128),ISNUMBER(U128)),IF(AND(O128&gt;0,X128&lt;&gt;""),1,0),0)</f>
        <v/>
      </c>
      <c r="Z128" s="17">
        <f>IF(Y128=1,O128*N128,"")</f>
        <v/>
      </c>
      <c r="AA128" s="33">
        <f>IF(Y128=1,IF(ISNUMBER(Q128),N128-Q128,""),"")</f>
        <v/>
      </c>
      <c r="AB128" s="33">
        <f>IF(Y128=1,IF(AND(ISNUMBER(P128),ISNUMBER(R128)),R128*5/12-O128*(P128-R128),""),"")</f>
        <v/>
      </c>
      <c r="AC128" s="30">
        <f>IF(Y128=1,COUNTIFS($X$5:$X$404,X128,$V$5:$V$404,V128,$Y$5:$Y$404,1),"")</f>
        <v/>
      </c>
      <c r="AD128" s="30">
        <f>IF(Y128=1,IFERROR(IF(AC128&gt;='參數'!$B$9,INDEX('分群統計'!$G$13:$K$16,MATCH(X128,'分群統計'!$A$13:$A$16,0),MATCH(V128,'分群統計'!$G$12:$K$12,0)),INDEX('分群統計'!$I$5:$I$8,MATCH(X128,'分群統計'!$A$5:$A$8,0))),""),"")</f>
        <v/>
      </c>
      <c r="AE128" s="18">
        <f>IF(Y128=1,IFERROR(IF(AC128&gt;='參數'!$B$9,INDEX('分群統計'!$L$13:$P$16,MATCH(X128,'分群統計'!$A$13:$A$16,0),MATCH(V128,'分群統計'!$L$12:$P$12,0)),INDEX('分群統計'!$J$5:$J$8,MATCH(X128,'分群統計'!$A$5:$A$8,0))),""),"")</f>
        <v/>
      </c>
      <c r="AF128" s="31">
        <f>IF(ISNUMBER(AE128),IF(AE128&gt;0,MAX(-3,MIN(3,(N128-AD128)/AE128)),0),"")</f>
        <v/>
      </c>
      <c r="AG128" s="30">
        <f>IF(Y128=1,COUNTIFS($B$5:$B$404,B128,$Y$5:$Y$404,1),"")</f>
        <v/>
      </c>
      <c r="AH128" s="30">
        <f>IF(Y128=1,IFERROR(IF(ISNUMBER(INDEX('分群統計'!$G$20:$G$59,MATCH(B128,'分群統計'!$A$20:$A$59,0))),INDEX('分群統計'!$H$20:$H$59,MATCH(B128,'分群統計'!$A$20:$A$59,0))+INDEX('分群統計'!$G$20:$G$59,MATCH(B128,'分群統計'!$A$20:$A$59,0))*AU128,""),""),"")</f>
        <v/>
      </c>
      <c r="AI128" s="34">
        <f>IF(ISNUMBER(AH128),N128-AH128,"")</f>
        <v/>
      </c>
      <c r="AJ128" s="30">
        <f>IF(Y128=1,IFERROR(IF(ISNUMBER(INDEX('分群統計'!$G$5:$G$8,MATCH(X128,'分群統計'!$A$5:$A$8,0))),INDEX('分群統計'!$H$5:$H$8,MATCH(X128,'分群統計'!$A$5:$A$8,0))+INDEX('分群統計'!$G$5:$G$8,MATCH(X128,'分群統計'!$A$5:$A$8,0))*AU128,""),""),"")</f>
        <v/>
      </c>
      <c r="AK128" s="34">
        <f>IF(ISNUMBER(AJ128),N128-AJ128,"")</f>
        <v/>
      </c>
      <c r="AL128" s="21">
        <f>IF(ISNUMBER(AJ128),IF(AJ128&gt;0,AK128/AJ128,""),"")</f>
        <v/>
      </c>
      <c r="AM128" s="31">
        <f>IF(AY128&lt;&gt;1,"",IFERROR(IF(INDEX('分群統計'!$K$5:$K$8,MATCH(X128,'分群統計'!$A$5:$A$8,0))&lt;3,"",IF(INDEX('分群統計'!$M$5:$M$8,MATCH(X128,'分群統計'!$A$5:$A$8,0))&gt;0,MAX(-3,MIN(3,(AX128-INDEX('分群統計'!$L$5:$L$8,MATCH(X128,'分群統計'!$A$5:$A$8,0)))/INDEX('分群統計'!$M$5:$M$8,MATCH(X128,'分群統計'!$A$5:$A$8,0)))),0)),""))</f>
        <v/>
      </c>
      <c r="AN128" s="31">
        <f>IF(ISNUMBER(AB128),IF(Z128&gt;0,AB128/Z128*100,""),"")</f>
        <v/>
      </c>
      <c r="AO128" s="31">
        <f>IF(BA128&lt;&gt;1,"",IFERROR(IF(INDEX('分群統計'!$N$5:$N$8,MATCH(X128,'分群統計'!$A$5:$A$8,0))&lt;3,"",IF(INDEX('分群統計'!$P$5:$P$8,MATCH(X128,'分群統計'!$A$5:$A$8,0))&gt;0,MAX(-3,MIN(3,(AZ128-INDEX('分群統計'!$O$5:$O$8,MATCH(X128,'分群統計'!$A$5:$A$8,0)))/INDEX('分群統計'!$P$5:$P$8,MATCH(X128,'分群統計'!$A$5:$A$8,0)))),0)),""))</f>
        <v/>
      </c>
      <c r="AP128" s="31">
        <f>IF(BC128&lt;&gt;1,"",IFERROR(IF(INDEX('分群統計'!$Q$5:$Q$8,MATCH(X128,'分群統計'!$A$5:$A$8,0))&lt;3,"",IF(INDEX('分群統計'!$S$5:$S$8,MATCH(X128,'分群統計'!$A$5:$A$8,0))&gt;0,MAX(-3,MIN(3,(BB128-INDEX('分群統計'!$R$5:$R$8,MATCH(X128,'分群統計'!$A$5:$A$8,0)))/INDEX('分群統計'!$S$5:$S$8,MATCH(X128,'分群統計'!$A$5:$A$8,0)))),0)),""))</f>
        <v/>
      </c>
      <c r="AQ128" s="31">
        <f>IF(Y128=1,(IF(ISNUMBER(AF128),AF128,0)*'參數'!$B$13+IF(ISNUMBER(AM128),AM128,0)*'參數'!$B$14+IF(ISNUMBER(AO128),AO128,0)*'參數'!$B$15+IF(ISNUMBER(AP128),AP128,0)*'參數'!$B$16)/('參數'!$B$13+'參數'!$B$14+'參數'!$B$15+'參數'!$B$16),"")</f>
        <v/>
      </c>
      <c r="AR128" s="35">
        <f>IF(Y128=1,(SUMPRODUCT(($X$5:$X$404=X128)*($Y$5:$Y$404=1)*($BD$5:$BD$404&gt;BD128))+1)/COUNTIFS($X$5:$X$404,X128,$Y$5:$Y$404,1),"")</f>
        <v/>
      </c>
      <c r="AS128" s="8">
        <f>IF(ISNUMBER(AR128),IF(AR128&lt;='參數'!$B$18,"加碼候選",IF(AR128&gt;'參數'!$B$19,"減碼候選","")),"")</f>
        <v/>
      </c>
      <c r="AT128" s="7">
        <f>IF(Y128=1,N128,0)</f>
        <v/>
      </c>
      <c r="AU128" s="7">
        <f>IF(Y128=1,LN(O128),0)</f>
        <v/>
      </c>
      <c r="AV128" s="36">
        <f>IF(Y128=1,IF(ISNUMBER(F128),F128,0),0)</f>
        <v/>
      </c>
      <c r="AW128" s="7">
        <f>IF(Y128=1,Z128,0)</f>
        <v/>
      </c>
      <c r="AX128" s="7">
        <f>IF(Y128=1,IF(ISNUMBER(AL128),AL128,0),0)</f>
        <v/>
      </c>
      <c r="AY128" s="7">
        <f>IF(Y128=1,IF(ISNUMBER(AL128),1,0),0)</f>
        <v/>
      </c>
      <c r="AZ128" s="7">
        <f>IF(Y128=1,IF(ISNUMBER(AN128),AN128,0),0)</f>
        <v/>
      </c>
      <c r="BA128" s="7">
        <f>IF(Y128=1,IF(ISNUMBER(AN128),1,0),0)</f>
        <v/>
      </c>
      <c r="BB128" s="7">
        <f>IF(Y128=1,IF(ISNUMBER(T128),T128,0),0)</f>
        <v/>
      </c>
      <c r="BC128" s="7">
        <f>IF(Y128=1,IF(ISNUMBER(T128),1,0),0)</f>
        <v/>
      </c>
      <c r="BD128" s="7">
        <f>IF(Y128=1,AQ128+ROW()/1E9,-1E9)</f>
        <v/>
      </c>
      <c r="BE128" s="7">
        <f>IF(Y128=1,AQ128+ROW()/1E9,1E9)</f>
        <v/>
      </c>
    </row>
    <row r="129">
      <c r="A129" s="16" t="n"/>
      <c r="B129" s="8">
        <f>IF($A129="","",BDP($A129,B$3))</f>
        <v/>
      </c>
      <c r="C129" s="8">
        <f>IF($A129="","",BDP($A129,C$3))</f>
        <v/>
      </c>
      <c r="D129" s="28">
        <f>IF($A129="","",BDP($A129,D$3))</f>
        <v/>
      </c>
      <c r="E129" s="29">
        <f>IF($A129="","",BDP($A129,E$3))</f>
        <v/>
      </c>
      <c r="F129" s="17">
        <f>IF($A129="","",BDP($A129,F$3))</f>
        <v/>
      </c>
      <c r="G129" s="8">
        <f>IF($A129="","",BDP($A129,G$3))</f>
        <v/>
      </c>
      <c r="H129" s="8">
        <f>IF($A129="","",BDP($A129,H$3))</f>
        <v/>
      </c>
      <c r="I129" s="8">
        <f>IF($A129="","",BDP($A129,I$3))</f>
        <v/>
      </c>
      <c r="J129" s="8">
        <f>IF($A129="","",BDP($A129,J$3))</f>
        <v/>
      </c>
      <c r="K129" s="8">
        <f>IF($A129="","",BDP($A129,K$3))</f>
        <v/>
      </c>
      <c r="L129" s="28">
        <f>IF($A129="","",BDP($A129,L$3))</f>
        <v/>
      </c>
      <c r="M129" s="28">
        <f>IF($A129="","",BDP($A129,M$3))</f>
        <v/>
      </c>
      <c r="N129" s="30">
        <f>IF($A129="","",BDP($A129,N$3))</f>
        <v/>
      </c>
      <c r="O129" s="31">
        <f>IF($A129="","",BDP($A129,O$3))</f>
        <v/>
      </c>
      <c r="P129" s="30">
        <f>IF($A129="","",BDH($A129,$N$3,'參數'!$B$5,'參數'!$B$5,"Days=A","Fill=P","Dates=H"))</f>
        <v/>
      </c>
      <c r="Q129" s="30">
        <f>IF($A129="","",BDH($A129,$N$3,'參數'!$B$6,'參數'!$B$6,"Days=A","Fill=P","Dates=H"))</f>
        <v/>
      </c>
      <c r="R129" s="30">
        <f>IF($A129="","",BDH($A129,$N$3,'參數'!$B$7,'參數'!$B$7,"Days=A","Fill=P","Dates=H"))</f>
        <v/>
      </c>
      <c r="S129" s="32">
        <f>IF($A129="","",IFERROR(INDEX('發行人'!$A$5:$A$44,MATCH(B129,'發行人'!$D$5:$D$44,0)),"未對應"))</f>
        <v/>
      </c>
      <c r="T129" s="24">
        <f>IF($A129="","",IFERROR(INDEX('發行人'!$G$5:$G$44,MATCH(B129,'發行人'!$D$5:$D$44,0))+0,""))</f>
        <v/>
      </c>
      <c r="U129" s="18">
        <f>IF(ISNUMBER(E129),YEARFRAC('參數'!$B$4,E129),"")</f>
        <v/>
      </c>
      <c r="V129" s="8">
        <f>IF(U129="","",IF(U129&lt;3,"1-3y",IF(U129&lt;5,"3-5y",IF(U129&lt;7,"5-7y",IF(U129&lt;10,"7-10y","10y+")))))</f>
        <v/>
      </c>
      <c r="W129" s="30">
        <f>IF($A129="","",IFERROR(INDEX('參數'!$B$24:$B$45,MATCH(G129,'參數'!$A$24:$A$45,0)),""))</f>
        <v/>
      </c>
      <c r="X129" s="8">
        <f>IF($A129="","",IFERROR(INDEX('參數'!$C$24:$C$45,MATCH(G129,'參數'!$A$24:$A$45,0)),""))</f>
        <v/>
      </c>
      <c r="Y129" s="30">
        <f>IF(AND(ISNUMBER(N129),ISNUMBER(O129),ISNUMBER(U129)),IF(AND(O129&gt;0,X129&lt;&gt;""),1,0),0)</f>
        <v/>
      </c>
      <c r="Z129" s="17">
        <f>IF(Y129=1,O129*N129,"")</f>
        <v/>
      </c>
      <c r="AA129" s="33">
        <f>IF(Y129=1,IF(ISNUMBER(Q129),N129-Q129,""),"")</f>
        <v/>
      </c>
      <c r="AB129" s="33">
        <f>IF(Y129=1,IF(AND(ISNUMBER(P129),ISNUMBER(R129)),R129*5/12-O129*(P129-R129),""),"")</f>
        <v/>
      </c>
      <c r="AC129" s="30">
        <f>IF(Y129=1,COUNTIFS($X$5:$X$404,X129,$V$5:$V$404,V129,$Y$5:$Y$404,1),"")</f>
        <v/>
      </c>
      <c r="AD129" s="30">
        <f>IF(Y129=1,IFERROR(IF(AC129&gt;='參數'!$B$9,INDEX('分群統計'!$G$13:$K$16,MATCH(X129,'分群統計'!$A$13:$A$16,0),MATCH(V129,'分群統計'!$G$12:$K$12,0)),INDEX('分群統計'!$I$5:$I$8,MATCH(X129,'分群統計'!$A$5:$A$8,0))),""),"")</f>
        <v/>
      </c>
      <c r="AE129" s="18">
        <f>IF(Y129=1,IFERROR(IF(AC129&gt;='參數'!$B$9,INDEX('分群統計'!$L$13:$P$16,MATCH(X129,'分群統計'!$A$13:$A$16,0),MATCH(V129,'分群統計'!$L$12:$P$12,0)),INDEX('分群統計'!$J$5:$J$8,MATCH(X129,'分群統計'!$A$5:$A$8,0))),""),"")</f>
        <v/>
      </c>
      <c r="AF129" s="31">
        <f>IF(ISNUMBER(AE129),IF(AE129&gt;0,MAX(-3,MIN(3,(N129-AD129)/AE129)),0),"")</f>
        <v/>
      </c>
      <c r="AG129" s="30">
        <f>IF(Y129=1,COUNTIFS($B$5:$B$404,B129,$Y$5:$Y$404,1),"")</f>
        <v/>
      </c>
      <c r="AH129" s="30">
        <f>IF(Y129=1,IFERROR(IF(ISNUMBER(INDEX('分群統計'!$G$20:$G$59,MATCH(B129,'分群統計'!$A$20:$A$59,0))),INDEX('分群統計'!$H$20:$H$59,MATCH(B129,'分群統計'!$A$20:$A$59,0))+INDEX('分群統計'!$G$20:$G$59,MATCH(B129,'分群統計'!$A$20:$A$59,0))*AU129,""),""),"")</f>
        <v/>
      </c>
      <c r="AI129" s="34">
        <f>IF(ISNUMBER(AH129),N129-AH129,"")</f>
        <v/>
      </c>
      <c r="AJ129" s="30">
        <f>IF(Y129=1,IFERROR(IF(ISNUMBER(INDEX('分群統計'!$G$5:$G$8,MATCH(X129,'分群統計'!$A$5:$A$8,0))),INDEX('分群統計'!$H$5:$H$8,MATCH(X129,'分群統計'!$A$5:$A$8,0))+INDEX('分群統計'!$G$5:$G$8,MATCH(X129,'分群統計'!$A$5:$A$8,0))*AU129,""),""),"")</f>
        <v/>
      </c>
      <c r="AK129" s="34">
        <f>IF(ISNUMBER(AJ129),N129-AJ129,"")</f>
        <v/>
      </c>
      <c r="AL129" s="21">
        <f>IF(ISNUMBER(AJ129),IF(AJ129&gt;0,AK129/AJ129,""),"")</f>
        <v/>
      </c>
      <c r="AM129" s="31">
        <f>IF(AY129&lt;&gt;1,"",IFERROR(IF(INDEX('分群統計'!$K$5:$K$8,MATCH(X129,'分群統計'!$A$5:$A$8,0))&lt;3,"",IF(INDEX('分群統計'!$M$5:$M$8,MATCH(X129,'分群統計'!$A$5:$A$8,0))&gt;0,MAX(-3,MIN(3,(AX129-INDEX('分群統計'!$L$5:$L$8,MATCH(X129,'分群統計'!$A$5:$A$8,0)))/INDEX('分群統計'!$M$5:$M$8,MATCH(X129,'分群統計'!$A$5:$A$8,0)))),0)),""))</f>
        <v/>
      </c>
      <c r="AN129" s="31">
        <f>IF(ISNUMBER(AB129),IF(Z129&gt;0,AB129/Z129*100,""),"")</f>
        <v/>
      </c>
      <c r="AO129" s="31">
        <f>IF(BA129&lt;&gt;1,"",IFERROR(IF(INDEX('分群統計'!$N$5:$N$8,MATCH(X129,'分群統計'!$A$5:$A$8,0))&lt;3,"",IF(INDEX('分群統計'!$P$5:$P$8,MATCH(X129,'分群統計'!$A$5:$A$8,0))&gt;0,MAX(-3,MIN(3,(AZ129-INDEX('分群統計'!$O$5:$O$8,MATCH(X129,'分群統計'!$A$5:$A$8,0)))/INDEX('分群統計'!$P$5:$P$8,MATCH(X129,'分群統計'!$A$5:$A$8,0)))),0)),""))</f>
        <v/>
      </c>
      <c r="AP129" s="31">
        <f>IF(BC129&lt;&gt;1,"",IFERROR(IF(INDEX('分群統計'!$Q$5:$Q$8,MATCH(X129,'分群統計'!$A$5:$A$8,0))&lt;3,"",IF(INDEX('分群統計'!$S$5:$S$8,MATCH(X129,'分群統計'!$A$5:$A$8,0))&gt;0,MAX(-3,MIN(3,(BB129-INDEX('分群統計'!$R$5:$R$8,MATCH(X129,'分群統計'!$A$5:$A$8,0)))/INDEX('分群統計'!$S$5:$S$8,MATCH(X129,'分群統計'!$A$5:$A$8,0)))),0)),""))</f>
        <v/>
      </c>
      <c r="AQ129" s="31">
        <f>IF(Y129=1,(IF(ISNUMBER(AF129),AF129,0)*'參數'!$B$13+IF(ISNUMBER(AM129),AM129,0)*'參數'!$B$14+IF(ISNUMBER(AO129),AO129,0)*'參數'!$B$15+IF(ISNUMBER(AP129),AP129,0)*'參數'!$B$16)/('參數'!$B$13+'參數'!$B$14+'參數'!$B$15+'參數'!$B$16),"")</f>
        <v/>
      </c>
      <c r="AR129" s="35">
        <f>IF(Y129=1,(SUMPRODUCT(($X$5:$X$404=X129)*($Y$5:$Y$404=1)*($BD$5:$BD$404&gt;BD129))+1)/COUNTIFS($X$5:$X$404,X129,$Y$5:$Y$404,1),"")</f>
        <v/>
      </c>
      <c r="AS129" s="8">
        <f>IF(ISNUMBER(AR129),IF(AR129&lt;='參數'!$B$18,"加碼候選",IF(AR129&gt;'參數'!$B$19,"減碼候選","")),"")</f>
        <v/>
      </c>
      <c r="AT129" s="7">
        <f>IF(Y129=1,N129,0)</f>
        <v/>
      </c>
      <c r="AU129" s="7">
        <f>IF(Y129=1,LN(O129),0)</f>
        <v/>
      </c>
      <c r="AV129" s="36">
        <f>IF(Y129=1,IF(ISNUMBER(F129),F129,0),0)</f>
        <v/>
      </c>
      <c r="AW129" s="7">
        <f>IF(Y129=1,Z129,0)</f>
        <v/>
      </c>
      <c r="AX129" s="7">
        <f>IF(Y129=1,IF(ISNUMBER(AL129),AL129,0),0)</f>
        <v/>
      </c>
      <c r="AY129" s="7">
        <f>IF(Y129=1,IF(ISNUMBER(AL129),1,0),0)</f>
        <v/>
      </c>
      <c r="AZ129" s="7">
        <f>IF(Y129=1,IF(ISNUMBER(AN129),AN129,0),0)</f>
        <v/>
      </c>
      <c r="BA129" s="7">
        <f>IF(Y129=1,IF(ISNUMBER(AN129),1,0),0)</f>
        <v/>
      </c>
      <c r="BB129" s="7">
        <f>IF(Y129=1,IF(ISNUMBER(T129),T129,0),0)</f>
        <v/>
      </c>
      <c r="BC129" s="7">
        <f>IF(Y129=1,IF(ISNUMBER(T129),1,0),0)</f>
        <v/>
      </c>
      <c r="BD129" s="7">
        <f>IF(Y129=1,AQ129+ROW()/1E9,-1E9)</f>
        <v/>
      </c>
      <c r="BE129" s="7">
        <f>IF(Y129=1,AQ129+ROW()/1E9,1E9)</f>
        <v/>
      </c>
    </row>
    <row r="130">
      <c r="A130" s="16" t="n"/>
      <c r="B130" s="8">
        <f>IF($A130="","",BDP($A130,B$3))</f>
        <v/>
      </c>
      <c r="C130" s="8">
        <f>IF($A130="","",BDP($A130,C$3))</f>
        <v/>
      </c>
      <c r="D130" s="28">
        <f>IF($A130="","",BDP($A130,D$3))</f>
        <v/>
      </c>
      <c r="E130" s="29">
        <f>IF($A130="","",BDP($A130,E$3))</f>
        <v/>
      </c>
      <c r="F130" s="17">
        <f>IF($A130="","",BDP($A130,F$3))</f>
        <v/>
      </c>
      <c r="G130" s="8">
        <f>IF($A130="","",BDP($A130,G$3))</f>
        <v/>
      </c>
      <c r="H130" s="8">
        <f>IF($A130="","",BDP($A130,H$3))</f>
        <v/>
      </c>
      <c r="I130" s="8">
        <f>IF($A130="","",BDP($A130,I$3))</f>
        <v/>
      </c>
      <c r="J130" s="8">
        <f>IF($A130="","",BDP($A130,J$3))</f>
        <v/>
      </c>
      <c r="K130" s="8">
        <f>IF($A130="","",BDP($A130,K$3))</f>
        <v/>
      </c>
      <c r="L130" s="28">
        <f>IF($A130="","",BDP($A130,L$3))</f>
        <v/>
      </c>
      <c r="M130" s="28">
        <f>IF($A130="","",BDP($A130,M$3))</f>
        <v/>
      </c>
      <c r="N130" s="30">
        <f>IF($A130="","",BDP($A130,N$3))</f>
        <v/>
      </c>
      <c r="O130" s="31">
        <f>IF($A130="","",BDP($A130,O$3))</f>
        <v/>
      </c>
      <c r="P130" s="30">
        <f>IF($A130="","",BDH($A130,$N$3,'參數'!$B$5,'參數'!$B$5,"Days=A","Fill=P","Dates=H"))</f>
        <v/>
      </c>
      <c r="Q130" s="30">
        <f>IF($A130="","",BDH($A130,$N$3,'參數'!$B$6,'參數'!$B$6,"Days=A","Fill=P","Dates=H"))</f>
        <v/>
      </c>
      <c r="R130" s="30">
        <f>IF($A130="","",BDH($A130,$N$3,'參數'!$B$7,'參數'!$B$7,"Days=A","Fill=P","Dates=H"))</f>
        <v/>
      </c>
      <c r="S130" s="32">
        <f>IF($A130="","",IFERROR(INDEX('發行人'!$A$5:$A$44,MATCH(B130,'發行人'!$D$5:$D$44,0)),"未對應"))</f>
        <v/>
      </c>
      <c r="T130" s="24">
        <f>IF($A130="","",IFERROR(INDEX('發行人'!$G$5:$G$44,MATCH(B130,'發行人'!$D$5:$D$44,0))+0,""))</f>
        <v/>
      </c>
      <c r="U130" s="18">
        <f>IF(ISNUMBER(E130),YEARFRAC('參數'!$B$4,E130),"")</f>
        <v/>
      </c>
      <c r="V130" s="8">
        <f>IF(U130="","",IF(U130&lt;3,"1-3y",IF(U130&lt;5,"3-5y",IF(U130&lt;7,"5-7y",IF(U130&lt;10,"7-10y","10y+")))))</f>
        <v/>
      </c>
      <c r="W130" s="30">
        <f>IF($A130="","",IFERROR(INDEX('參數'!$B$24:$B$45,MATCH(G130,'參數'!$A$24:$A$45,0)),""))</f>
        <v/>
      </c>
      <c r="X130" s="8">
        <f>IF($A130="","",IFERROR(INDEX('參數'!$C$24:$C$45,MATCH(G130,'參數'!$A$24:$A$45,0)),""))</f>
        <v/>
      </c>
      <c r="Y130" s="30">
        <f>IF(AND(ISNUMBER(N130),ISNUMBER(O130),ISNUMBER(U130)),IF(AND(O130&gt;0,X130&lt;&gt;""),1,0),0)</f>
        <v/>
      </c>
      <c r="Z130" s="17">
        <f>IF(Y130=1,O130*N130,"")</f>
        <v/>
      </c>
      <c r="AA130" s="33">
        <f>IF(Y130=1,IF(ISNUMBER(Q130),N130-Q130,""),"")</f>
        <v/>
      </c>
      <c r="AB130" s="33">
        <f>IF(Y130=1,IF(AND(ISNUMBER(P130),ISNUMBER(R130)),R130*5/12-O130*(P130-R130),""),"")</f>
        <v/>
      </c>
      <c r="AC130" s="30">
        <f>IF(Y130=1,COUNTIFS($X$5:$X$404,X130,$V$5:$V$404,V130,$Y$5:$Y$404,1),"")</f>
        <v/>
      </c>
      <c r="AD130" s="30">
        <f>IF(Y130=1,IFERROR(IF(AC130&gt;='參數'!$B$9,INDEX('分群統計'!$G$13:$K$16,MATCH(X130,'分群統計'!$A$13:$A$16,0),MATCH(V130,'分群統計'!$G$12:$K$12,0)),INDEX('分群統計'!$I$5:$I$8,MATCH(X130,'分群統計'!$A$5:$A$8,0))),""),"")</f>
        <v/>
      </c>
      <c r="AE130" s="18">
        <f>IF(Y130=1,IFERROR(IF(AC130&gt;='參數'!$B$9,INDEX('分群統計'!$L$13:$P$16,MATCH(X130,'分群統計'!$A$13:$A$16,0),MATCH(V130,'分群統計'!$L$12:$P$12,0)),INDEX('分群統計'!$J$5:$J$8,MATCH(X130,'分群統計'!$A$5:$A$8,0))),""),"")</f>
        <v/>
      </c>
      <c r="AF130" s="31">
        <f>IF(ISNUMBER(AE130),IF(AE130&gt;0,MAX(-3,MIN(3,(N130-AD130)/AE130)),0),"")</f>
        <v/>
      </c>
      <c r="AG130" s="30">
        <f>IF(Y130=1,COUNTIFS($B$5:$B$404,B130,$Y$5:$Y$404,1),"")</f>
        <v/>
      </c>
      <c r="AH130" s="30">
        <f>IF(Y130=1,IFERROR(IF(ISNUMBER(INDEX('分群統計'!$G$20:$G$59,MATCH(B130,'分群統計'!$A$20:$A$59,0))),INDEX('分群統計'!$H$20:$H$59,MATCH(B130,'分群統計'!$A$20:$A$59,0))+INDEX('分群統計'!$G$20:$G$59,MATCH(B130,'分群統計'!$A$20:$A$59,0))*AU130,""),""),"")</f>
        <v/>
      </c>
      <c r="AI130" s="34">
        <f>IF(ISNUMBER(AH130),N130-AH130,"")</f>
        <v/>
      </c>
      <c r="AJ130" s="30">
        <f>IF(Y130=1,IFERROR(IF(ISNUMBER(INDEX('分群統計'!$G$5:$G$8,MATCH(X130,'分群統計'!$A$5:$A$8,0))),INDEX('分群統計'!$H$5:$H$8,MATCH(X130,'分群統計'!$A$5:$A$8,0))+INDEX('分群統計'!$G$5:$G$8,MATCH(X130,'分群統計'!$A$5:$A$8,0))*AU130,""),""),"")</f>
        <v/>
      </c>
      <c r="AK130" s="34">
        <f>IF(ISNUMBER(AJ130),N130-AJ130,"")</f>
        <v/>
      </c>
      <c r="AL130" s="21">
        <f>IF(ISNUMBER(AJ130),IF(AJ130&gt;0,AK130/AJ130,""),"")</f>
        <v/>
      </c>
      <c r="AM130" s="31">
        <f>IF(AY130&lt;&gt;1,"",IFERROR(IF(INDEX('分群統計'!$K$5:$K$8,MATCH(X130,'分群統計'!$A$5:$A$8,0))&lt;3,"",IF(INDEX('分群統計'!$M$5:$M$8,MATCH(X130,'分群統計'!$A$5:$A$8,0))&gt;0,MAX(-3,MIN(3,(AX130-INDEX('分群統計'!$L$5:$L$8,MATCH(X130,'分群統計'!$A$5:$A$8,0)))/INDEX('分群統計'!$M$5:$M$8,MATCH(X130,'分群統計'!$A$5:$A$8,0)))),0)),""))</f>
        <v/>
      </c>
      <c r="AN130" s="31">
        <f>IF(ISNUMBER(AB130),IF(Z130&gt;0,AB130/Z130*100,""),"")</f>
        <v/>
      </c>
      <c r="AO130" s="31">
        <f>IF(BA130&lt;&gt;1,"",IFERROR(IF(INDEX('分群統計'!$N$5:$N$8,MATCH(X130,'分群統計'!$A$5:$A$8,0))&lt;3,"",IF(INDEX('分群統計'!$P$5:$P$8,MATCH(X130,'分群統計'!$A$5:$A$8,0))&gt;0,MAX(-3,MIN(3,(AZ130-INDEX('分群統計'!$O$5:$O$8,MATCH(X130,'分群統計'!$A$5:$A$8,0)))/INDEX('分群統計'!$P$5:$P$8,MATCH(X130,'分群統計'!$A$5:$A$8,0)))),0)),""))</f>
        <v/>
      </c>
      <c r="AP130" s="31">
        <f>IF(BC130&lt;&gt;1,"",IFERROR(IF(INDEX('分群統計'!$Q$5:$Q$8,MATCH(X130,'分群統計'!$A$5:$A$8,0))&lt;3,"",IF(INDEX('分群統計'!$S$5:$S$8,MATCH(X130,'分群統計'!$A$5:$A$8,0))&gt;0,MAX(-3,MIN(3,(BB130-INDEX('分群統計'!$R$5:$R$8,MATCH(X130,'分群統計'!$A$5:$A$8,0)))/INDEX('分群統計'!$S$5:$S$8,MATCH(X130,'分群統計'!$A$5:$A$8,0)))),0)),""))</f>
        <v/>
      </c>
      <c r="AQ130" s="31">
        <f>IF(Y130=1,(IF(ISNUMBER(AF130),AF130,0)*'參數'!$B$13+IF(ISNUMBER(AM130),AM130,0)*'參數'!$B$14+IF(ISNUMBER(AO130),AO130,0)*'參數'!$B$15+IF(ISNUMBER(AP130),AP130,0)*'參數'!$B$16)/('參數'!$B$13+'參數'!$B$14+'參數'!$B$15+'參數'!$B$16),"")</f>
        <v/>
      </c>
      <c r="AR130" s="35">
        <f>IF(Y130=1,(SUMPRODUCT(($X$5:$X$404=X130)*($Y$5:$Y$404=1)*($BD$5:$BD$404&gt;BD130))+1)/COUNTIFS($X$5:$X$404,X130,$Y$5:$Y$404,1),"")</f>
        <v/>
      </c>
      <c r="AS130" s="8">
        <f>IF(ISNUMBER(AR130),IF(AR130&lt;='參數'!$B$18,"加碼候選",IF(AR130&gt;'參數'!$B$19,"減碼候選","")),"")</f>
        <v/>
      </c>
      <c r="AT130" s="7">
        <f>IF(Y130=1,N130,0)</f>
        <v/>
      </c>
      <c r="AU130" s="7">
        <f>IF(Y130=1,LN(O130),0)</f>
        <v/>
      </c>
      <c r="AV130" s="36">
        <f>IF(Y130=1,IF(ISNUMBER(F130),F130,0),0)</f>
        <v/>
      </c>
      <c r="AW130" s="7">
        <f>IF(Y130=1,Z130,0)</f>
        <v/>
      </c>
      <c r="AX130" s="7">
        <f>IF(Y130=1,IF(ISNUMBER(AL130),AL130,0),0)</f>
        <v/>
      </c>
      <c r="AY130" s="7">
        <f>IF(Y130=1,IF(ISNUMBER(AL130),1,0),0)</f>
        <v/>
      </c>
      <c r="AZ130" s="7">
        <f>IF(Y130=1,IF(ISNUMBER(AN130),AN130,0),0)</f>
        <v/>
      </c>
      <c r="BA130" s="7">
        <f>IF(Y130=1,IF(ISNUMBER(AN130),1,0),0)</f>
        <v/>
      </c>
      <c r="BB130" s="7">
        <f>IF(Y130=1,IF(ISNUMBER(T130),T130,0),0)</f>
        <v/>
      </c>
      <c r="BC130" s="7">
        <f>IF(Y130=1,IF(ISNUMBER(T130),1,0),0)</f>
        <v/>
      </c>
      <c r="BD130" s="7">
        <f>IF(Y130=1,AQ130+ROW()/1E9,-1E9)</f>
        <v/>
      </c>
      <c r="BE130" s="7">
        <f>IF(Y130=1,AQ130+ROW()/1E9,1E9)</f>
        <v/>
      </c>
    </row>
    <row r="131">
      <c r="A131" s="16" t="n"/>
      <c r="B131" s="8">
        <f>IF($A131="","",BDP($A131,B$3))</f>
        <v/>
      </c>
      <c r="C131" s="8">
        <f>IF($A131="","",BDP($A131,C$3))</f>
        <v/>
      </c>
      <c r="D131" s="28">
        <f>IF($A131="","",BDP($A131,D$3))</f>
        <v/>
      </c>
      <c r="E131" s="29">
        <f>IF($A131="","",BDP($A131,E$3))</f>
        <v/>
      </c>
      <c r="F131" s="17">
        <f>IF($A131="","",BDP($A131,F$3))</f>
        <v/>
      </c>
      <c r="G131" s="8">
        <f>IF($A131="","",BDP($A131,G$3))</f>
        <v/>
      </c>
      <c r="H131" s="8">
        <f>IF($A131="","",BDP($A131,H$3))</f>
        <v/>
      </c>
      <c r="I131" s="8">
        <f>IF($A131="","",BDP($A131,I$3))</f>
        <v/>
      </c>
      <c r="J131" s="8">
        <f>IF($A131="","",BDP($A131,J$3))</f>
        <v/>
      </c>
      <c r="K131" s="8">
        <f>IF($A131="","",BDP($A131,K$3))</f>
        <v/>
      </c>
      <c r="L131" s="28">
        <f>IF($A131="","",BDP($A131,L$3))</f>
        <v/>
      </c>
      <c r="M131" s="28">
        <f>IF($A131="","",BDP($A131,M$3))</f>
        <v/>
      </c>
      <c r="N131" s="30">
        <f>IF($A131="","",BDP($A131,N$3))</f>
        <v/>
      </c>
      <c r="O131" s="31">
        <f>IF($A131="","",BDP($A131,O$3))</f>
        <v/>
      </c>
      <c r="P131" s="30">
        <f>IF($A131="","",BDH($A131,$N$3,'參數'!$B$5,'參數'!$B$5,"Days=A","Fill=P","Dates=H"))</f>
        <v/>
      </c>
      <c r="Q131" s="30">
        <f>IF($A131="","",BDH($A131,$N$3,'參數'!$B$6,'參數'!$B$6,"Days=A","Fill=P","Dates=H"))</f>
        <v/>
      </c>
      <c r="R131" s="30">
        <f>IF($A131="","",BDH($A131,$N$3,'參數'!$B$7,'參數'!$B$7,"Days=A","Fill=P","Dates=H"))</f>
        <v/>
      </c>
      <c r="S131" s="32">
        <f>IF($A131="","",IFERROR(INDEX('發行人'!$A$5:$A$44,MATCH(B131,'發行人'!$D$5:$D$44,0)),"未對應"))</f>
        <v/>
      </c>
      <c r="T131" s="24">
        <f>IF($A131="","",IFERROR(INDEX('發行人'!$G$5:$G$44,MATCH(B131,'發行人'!$D$5:$D$44,0))+0,""))</f>
        <v/>
      </c>
      <c r="U131" s="18">
        <f>IF(ISNUMBER(E131),YEARFRAC('參數'!$B$4,E131),"")</f>
        <v/>
      </c>
      <c r="V131" s="8">
        <f>IF(U131="","",IF(U131&lt;3,"1-3y",IF(U131&lt;5,"3-5y",IF(U131&lt;7,"5-7y",IF(U131&lt;10,"7-10y","10y+")))))</f>
        <v/>
      </c>
      <c r="W131" s="30">
        <f>IF($A131="","",IFERROR(INDEX('參數'!$B$24:$B$45,MATCH(G131,'參數'!$A$24:$A$45,0)),""))</f>
        <v/>
      </c>
      <c r="X131" s="8">
        <f>IF($A131="","",IFERROR(INDEX('參數'!$C$24:$C$45,MATCH(G131,'參數'!$A$24:$A$45,0)),""))</f>
        <v/>
      </c>
      <c r="Y131" s="30">
        <f>IF(AND(ISNUMBER(N131),ISNUMBER(O131),ISNUMBER(U131)),IF(AND(O131&gt;0,X131&lt;&gt;""),1,0),0)</f>
        <v/>
      </c>
      <c r="Z131" s="17">
        <f>IF(Y131=1,O131*N131,"")</f>
        <v/>
      </c>
      <c r="AA131" s="33">
        <f>IF(Y131=1,IF(ISNUMBER(Q131),N131-Q131,""),"")</f>
        <v/>
      </c>
      <c r="AB131" s="33">
        <f>IF(Y131=1,IF(AND(ISNUMBER(P131),ISNUMBER(R131)),R131*5/12-O131*(P131-R131),""),"")</f>
        <v/>
      </c>
      <c r="AC131" s="30">
        <f>IF(Y131=1,COUNTIFS($X$5:$X$404,X131,$V$5:$V$404,V131,$Y$5:$Y$404,1),"")</f>
        <v/>
      </c>
      <c r="AD131" s="30">
        <f>IF(Y131=1,IFERROR(IF(AC131&gt;='參數'!$B$9,INDEX('分群統計'!$G$13:$K$16,MATCH(X131,'分群統計'!$A$13:$A$16,0),MATCH(V131,'分群統計'!$G$12:$K$12,0)),INDEX('分群統計'!$I$5:$I$8,MATCH(X131,'分群統計'!$A$5:$A$8,0))),""),"")</f>
        <v/>
      </c>
      <c r="AE131" s="18">
        <f>IF(Y131=1,IFERROR(IF(AC131&gt;='參數'!$B$9,INDEX('分群統計'!$L$13:$P$16,MATCH(X131,'分群統計'!$A$13:$A$16,0),MATCH(V131,'分群統計'!$L$12:$P$12,0)),INDEX('分群統計'!$J$5:$J$8,MATCH(X131,'分群統計'!$A$5:$A$8,0))),""),"")</f>
        <v/>
      </c>
      <c r="AF131" s="31">
        <f>IF(ISNUMBER(AE131),IF(AE131&gt;0,MAX(-3,MIN(3,(N131-AD131)/AE131)),0),"")</f>
        <v/>
      </c>
      <c r="AG131" s="30">
        <f>IF(Y131=1,COUNTIFS($B$5:$B$404,B131,$Y$5:$Y$404,1),"")</f>
        <v/>
      </c>
      <c r="AH131" s="30">
        <f>IF(Y131=1,IFERROR(IF(ISNUMBER(INDEX('分群統計'!$G$20:$G$59,MATCH(B131,'分群統計'!$A$20:$A$59,0))),INDEX('分群統計'!$H$20:$H$59,MATCH(B131,'分群統計'!$A$20:$A$59,0))+INDEX('分群統計'!$G$20:$G$59,MATCH(B131,'分群統計'!$A$20:$A$59,0))*AU131,""),""),"")</f>
        <v/>
      </c>
      <c r="AI131" s="34">
        <f>IF(ISNUMBER(AH131),N131-AH131,"")</f>
        <v/>
      </c>
      <c r="AJ131" s="30">
        <f>IF(Y131=1,IFERROR(IF(ISNUMBER(INDEX('分群統計'!$G$5:$G$8,MATCH(X131,'分群統計'!$A$5:$A$8,0))),INDEX('分群統計'!$H$5:$H$8,MATCH(X131,'分群統計'!$A$5:$A$8,0))+INDEX('分群統計'!$G$5:$G$8,MATCH(X131,'分群統計'!$A$5:$A$8,0))*AU131,""),""),"")</f>
        <v/>
      </c>
      <c r="AK131" s="34">
        <f>IF(ISNUMBER(AJ131),N131-AJ131,"")</f>
        <v/>
      </c>
      <c r="AL131" s="21">
        <f>IF(ISNUMBER(AJ131),IF(AJ131&gt;0,AK131/AJ131,""),"")</f>
        <v/>
      </c>
      <c r="AM131" s="31">
        <f>IF(AY131&lt;&gt;1,"",IFERROR(IF(INDEX('分群統計'!$K$5:$K$8,MATCH(X131,'分群統計'!$A$5:$A$8,0))&lt;3,"",IF(INDEX('分群統計'!$M$5:$M$8,MATCH(X131,'分群統計'!$A$5:$A$8,0))&gt;0,MAX(-3,MIN(3,(AX131-INDEX('分群統計'!$L$5:$L$8,MATCH(X131,'分群統計'!$A$5:$A$8,0)))/INDEX('分群統計'!$M$5:$M$8,MATCH(X131,'分群統計'!$A$5:$A$8,0)))),0)),""))</f>
        <v/>
      </c>
      <c r="AN131" s="31">
        <f>IF(ISNUMBER(AB131),IF(Z131&gt;0,AB131/Z131*100,""),"")</f>
        <v/>
      </c>
      <c r="AO131" s="31">
        <f>IF(BA131&lt;&gt;1,"",IFERROR(IF(INDEX('分群統計'!$N$5:$N$8,MATCH(X131,'分群統計'!$A$5:$A$8,0))&lt;3,"",IF(INDEX('分群統計'!$P$5:$P$8,MATCH(X131,'分群統計'!$A$5:$A$8,0))&gt;0,MAX(-3,MIN(3,(AZ131-INDEX('分群統計'!$O$5:$O$8,MATCH(X131,'分群統計'!$A$5:$A$8,0)))/INDEX('分群統計'!$P$5:$P$8,MATCH(X131,'分群統計'!$A$5:$A$8,0)))),0)),""))</f>
        <v/>
      </c>
      <c r="AP131" s="31">
        <f>IF(BC131&lt;&gt;1,"",IFERROR(IF(INDEX('分群統計'!$Q$5:$Q$8,MATCH(X131,'分群統計'!$A$5:$A$8,0))&lt;3,"",IF(INDEX('分群統計'!$S$5:$S$8,MATCH(X131,'分群統計'!$A$5:$A$8,0))&gt;0,MAX(-3,MIN(3,(BB131-INDEX('分群統計'!$R$5:$R$8,MATCH(X131,'分群統計'!$A$5:$A$8,0)))/INDEX('分群統計'!$S$5:$S$8,MATCH(X131,'分群統計'!$A$5:$A$8,0)))),0)),""))</f>
        <v/>
      </c>
      <c r="AQ131" s="31">
        <f>IF(Y131=1,(IF(ISNUMBER(AF131),AF131,0)*'參數'!$B$13+IF(ISNUMBER(AM131),AM131,0)*'參數'!$B$14+IF(ISNUMBER(AO131),AO131,0)*'參數'!$B$15+IF(ISNUMBER(AP131),AP131,0)*'參數'!$B$16)/('參數'!$B$13+'參數'!$B$14+'參數'!$B$15+'參數'!$B$16),"")</f>
        <v/>
      </c>
      <c r="AR131" s="35">
        <f>IF(Y131=1,(SUMPRODUCT(($X$5:$X$404=X131)*($Y$5:$Y$404=1)*($BD$5:$BD$404&gt;BD131))+1)/COUNTIFS($X$5:$X$404,X131,$Y$5:$Y$404,1),"")</f>
        <v/>
      </c>
      <c r="AS131" s="8">
        <f>IF(ISNUMBER(AR131),IF(AR131&lt;='參數'!$B$18,"加碼候選",IF(AR131&gt;'參數'!$B$19,"減碼候選","")),"")</f>
        <v/>
      </c>
      <c r="AT131" s="7">
        <f>IF(Y131=1,N131,0)</f>
        <v/>
      </c>
      <c r="AU131" s="7">
        <f>IF(Y131=1,LN(O131),0)</f>
        <v/>
      </c>
      <c r="AV131" s="36">
        <f>IF(Y131=1,IF(ISNUMBER(F131),F131,0),0)</f>
        <v/>
      </c>
      <c r="AW131" s="7">
        <f>IF(Y131=1,Z131,0)</f>
        <v/>
      </c>
      <c r="AX131" s="7">
        <f>IF(Y131=1,IF(ISNUMBER(AL131),AL131,0),0)</f>
        <v/>
      </c>
      <c r="AY131" s="7">
        <f>IF(Y131=1,IF(ISNUMBER(AL131),1,0),0)</f>
        <v/>
      </c>
      <c r="AZ131" s="7">
        <f>IF(Y131=1,IF(ISNUMBER(AN131),AN131,0),0)</f>
        <v/>
      </c>
      <c r="BA131" s="7">
        <f>IF(Y131=1,IF(ISNUMBER(AN131),1,0),0)</f>
        <v/>
      </c>
      <c r="BB131" s="7">
        <f>IF(Y131=1,IF(ISNUMBER(T131),T131,0),0)</f>
        <v/>
      </c>
      <c r="BC131" s="7">
        <f>IF(Y131=1,IF(ISNUMBER(T131),1,0),0)</f>
        <v/>
      </c>
      <c r="BD131" s="7">
        <f>IF(Y131=1,AQ131+ROW()/1E9,-1E9)</f>
        <v/>
      </c>
      <c r="BE131" s="7">
        <f>IF(Y131=1,AQ131+ROW()/1E9,1E9)</f>
        <v/>
      </c>
    </row>
    <row r="132">
      <c r="A132" s="16" t="n"/>
      <c r="B132" s="8">
        <f>IF($A132="","",BDP($A132,B$3))</f>
        <v/>
      </c>
      <c r="C132" s="8">
        <f>IF($A132="","",BDP($A132,C$3))</f>
        <v/>
      </c>
      <c r="D132" s="28">
        <f>IF($A132="","",BDP($A132,D$3))</f>
        <v/>
      </c>
      <c r="E132" s="29">
        <f>IF($A132="","",BDP($A132,E$3))</f>
        <v/>
      </c>
      <c r="F132" s="17">
        <f>IF($A132="","",BDP($A132,F$3))</f>
        <v/>
      </c>
      <c r="G132" s="8">
        <f>IF($A132="","",BDP($A132,G$3))</f>
        <v/>
      </c>
      <c r="H132" s="8">
        <f>IF($A132="","",BDP($A132,H$3))</f>
        <v/>
      </c>
      <c r="I132" s="8">
        <f>IF($A132="","",BDP($A132,I$3))</f>
        <v/>
      </c>
      <c r="J132" s="8">
        <f>IF($A132="","",BDP($A132,J$3))</f>
        <v/>
      </c>
      <c r="K132" s="8">
        <f>IF($A132="","",BDP($A132,K$3))</f>
        <v/>
      </c>
      <c r="L132" s="28">
        <f>IF($A132="","",BDP($A132,L$3))</f>
        <v/>
      </c>
      <c r="M132" s="28">
        <f>IF($A132="","",BDP($A132,M$3))</f>
        <v/>
      </c>
      <c r="N132" s="30">
        <f>IF($A132="","",BDP($A132,N$3))</f>
        <v/>
      </c>
      <c r="O132" s="31">
        <f>IF($A132="","",BDP($A132,O$3))</f>
        <v/>
      </c>
      <c r="P132" s="30">
        <f>IF($A132="","",BDH($A132,$N$3,'參數'!$B$5,'參數'!$B$5,"Days=A","Fill=P","Dates=H"))</f>
        <v/>
      </c>
      <c r="Q132" s="30">
        <f>IF($A132="","",BDH($A132,$N$3,'參數'!$B$6,'參數'!$B$6,"Days=A","Fill=P","Dates=H"))</f>
        <v/>
      </c>
      <c r="R132" s="30">
        <f>IF($A132="","",BDH($A132,$N$3,'參數'!$B$7,'參數'!$B$7,"Days=A","Fill=P","Dates=H"))</f>
        <v/>
      </c>
      <c r="S132" s="32">
        <f>IF($A132="","",IFERROR(INDEX('發行人'!$A$5:$A$44,MATCH(B132,'發行人'!$D$5:$D$44,0)),"未對應"))</f>
        <v/>
      </c>
      <c r="T132" s="24">
        <f>IF($A132="","",IFERROR(INDEX('發行人'!$G$5:$G$44,MATCH(B132,'發行人'!$D$5:$D$44,0))+0,""))</f>
        <v/>
      </c>
      <c r="U132" s="18">
        <f>IF(ISNUMBER(E132),YEARFRAC('參數'!$B$4,E132),"")</f>
        <v/>
      </c>
      <c r="V132" s="8">
        <f>IF(U132="","",IF(U132&lt;3,"1-3y",IF(U132&lt;5,"3-5y",IF(U132&lt;7,"5-7y",IF(U132&lt;10,"7-10y","10y+")))))</f>
        <v/>
      </c>
      <c r="W132" s="30">
        <f>IF($A132="","",IFERROR(INDEX('參數'!$B$24:$B$45,MATCH(G132,'參數'!$A$24:$A$45,0)),""))</f>
        <v/>
      </c>
      <c r="X132" s="8">
        <f>IF($A132="","",IFERROR(INDEX('參數'!$C$24:$C$45,MATCH(G132,'參數'!$A$24:$A$45,0)),""))</f>
        <v/>
      </c>
      <c r="Y132" s="30">
        <f>IF(AND(ISNUMBER(N132),ISNUMBER(O132),ISNUMBER(U132)),IF(AND(O132&gt;0,X132&lt;&gt;""),1,0),0)</f>
        <v/>
      </c>
      <c r="Z132" s="17">
        <f>IF(Y132=1,O132*N132,"")</f>
        <v/>
      </c>
      <c r="AA132" s="33">
        <f>IF(Y132=1,IF(ISNUMBER(Q132),N132-Q132,""),"")</f>
        <v/>
      </c>
      <c r="AB132" s="33">
        <f>IF(Y132=1,IF(AND(ISNUMBER(P132),ISNUMBER(R132)),R132*5/12-O132*(P132-R132),""),"")</f>
        <v/>
      </c>
      <c r="AC132" s="30">
        <f>IF(Y132=1,COUNTIFS($X$5:$X$404,X132,$V$5:$V$404,V132,$Y$5:$Y$404,1),"")</f>
        <v/>
      </c>
      <c r="AD132" s="30">
        <f>IF(Y132=1,IFERROR(IF(AC132&gt;='參數'!$B$9,INDEX('分群統計'!$G$13:$K$16,MATCH(X132,'分群統計'!$A$13:$A$16,0),MATCH(V132,'分群統計'!$G$12:$K$12,0)),INDEX('分群統計'!$I$5:$I$8,MATCH(X132,'分群統計'!$A$5:$A$8,0))),""),"")</f>
        <v/>
      </c>
      <c r="AE132" s="18">
        <f>IF(Y132=1,IFERROR(IF(AC132&gt;='參數'!$B$9,INDEX('分群統計'!$L$13:$P$16,MATCH(X132,'分群統計'!$A$13:$A$16,0),MATCH(V132,'分群統計'!$L$12:$P$12,0)),INDEX('分群統計'!$J$5:$J$8,MATCH(X132,'分群統計'!$A$5:$A$8,0))),""),"")</f>
        <v/>
      </c>
      <c r="AF132" s="31">
        <f>IF(ISNUMBER(AE132),IF(AE132&gt;0,MAX(-3,MIN(3,(N132-AD132)/AE132)),0),"")</f>
        <v/>
      </c>
      <c r="AG132" s="30">
        <f>IF(Y132=1,COUNTIFS($B$5:$B$404,B132,$Y$5:$Y$404,1),"")</f>
        <v/>
      </c>
      <c r="AH132" s="30">
        <f>IF(Y132=1,IFERROR(IF(ISNUMBER(INDEX('分群統計'!$G$20:$G$59,MATCH(B132,'分群統計'!$A$20:$A$59,0))),INDEX('分群統計'!$H$20:$H$59,MATCH(B132,'分群統計'!$A$20:$A$59,0))+INDEX('分群統計'!$G$20:$G$59,MATCH(B132,'分群統計'!$A$20:$A$59,0))*AU132,""),""),"")</f>
        <v/>
      </c>
      <c r="AI132" s="34">
        <f>IF(ISNUMBER(AH132),N132-AH132,"")</f>
        <v/>
      </c>
      <c r="AJ132" s="30">
        <f>IF(Y132=1,IFERROR(IF(ISNUMBER(INDEX('分群統計'!$G$5:$G$8,MATCH(X132,'分群統計'!$A$5:$A$8,0))),INDEX('分群統計'!$H$5:$H$8,MATCH(X132,'分群統計'!$A$5:$A$8,0))+INDEX('分群統計'!$G$5:$G$8,MATCH(X132,'分群統計'!$A$5:$A$8,0))*AU132,""),""),"")</f>
        <v/>
      </c>
      <c r="AK132" s="34">
        <f>IF(ISNUMBER(AJ132),N132-AJ132,"")</f>
        <v/>
      </c>
      <c r="AL132" s="21">
        <f>IF(ISNUMBER(AJ132),IF(AJ132&gt;0,AK132/AJ132,""),"")</f>
        <v/>
      </c>
      <c r="AM132" s="31">
        <f>IF(AY132&lt;&gt;1,"",IFERROR(IF(INDEX('分群統計'!$K$5:$K$8,MATCH(X132,'分群統計'!$A$5:$A$8,0))&lt;3,"",IF(INDEX('分群統計'!$M$5:$M$8,MATCH(X132,'分群統計'!$A$5:$A$8,0))&gt;0,MAX(-3,MIN(3,(AX132-INDEX('分群統計'!$L$5:$L$8,MATCH(X132,'分群統計'!$A$5:$A$8,0)))/INDEX('分群統計'!$M$5:$M$8,MATCH(X132,'分群統計'!$A$5:$A$8,0)))),0)),""))</f>
        <v/>
      </c>
      <c r="AN132" s="31">
        <f>IF(ISNUMBER(AB132),IF(Z132&gt;0,AB132/Z132*100,""),"")</f>
        <v/>
      </c>
      <c r="AO132" s="31">
        <f>IF(BA132&lt;&gt;1,"",IFERROR(IF(INDEX('分群統計'!$N$5:$N$8,MATCH(X132,'分群統計'!$A$5:$A$8,0))&lt;3,"",IF(INDEX('分群統計'!$P$5:$P$8,MATCH(X132,'分群統計'!$A$5:$A$8,0))&gt;0,MAX(-3,MIN(3,(AZ132-INDEX('分群統計'!$O$5:$O$8,MATCH(X132,'分群統計'!$A$5:$A$8,0)))/INDEX('分群統計'!$P$5:$P$8,MATCH(X132,'分群統計'!$A$5:$A$8,0)))),0)),""))</f>
        <v/>
      </c>
      <c r="AP132" s="31">
        <f>IF(BC132&lt;&gt;1,"",IFERROR(IF(INDEX('分群統計'!$Q$5:$Q$8,MATCH(X132,'分群統計'!$A$5:$A$8,0))&lt;3,"",IF(INDEX('分群統計'!$S$5:$S$8,MATCH(X132,'分群統計'!$A$5:$A$8,0))&gt;0,MAX(-3,MIN(3,(BB132-INDEX('分群統計'!$R$5:$R$8,MATCH(X132,'分群統計'!$A$5:$A$8,0)))/INDEX('分群統計'!$S$5:$S$8,MATCH(X132,'分群統計'!$A$5:$A$8,0)))),0)),""))</f>
        <v/>
      </c>
      <c r="AQ132" s="31">
        <f>IF(Y132=1,(IF(ISNUMBER(AF132),AF132,0)*'參數'!$B$13+IF(ISNUMBER(AM132),AM132,0)*'參數'!$B$14+IF(ISNUMBER(AO132),AO132,0)*'參數'!$B$15+IF(ISNUMBER(AP132),AP132,0)*'參數'!$B$16)/('參數'!$B$13+'參數'!$B$14+'參數'!$B$15+'參數'!$B$16),"")</f>
        <v/>
      </c>
      <c r="AR132" s="35">
        <f>IF(Y132=1,(SUMPRODUCT(($X$5:$X$404=X132)*($Y$5:$Y$404=1)*($BD$5:$BD$404&gt;BD132))+1)/COUNTIFS($X$5:$X$404,X132,$Y$5:$Y$404,1),"")</f>
        <v/>
      </c>
      <c r="AS132" s="8">
        <f>IF(ISNUMBER(AR132),IF(AR132&lt;='參數'!$B$18,"加碼候選",IF(AR132&gt;'參數'!$B$19,"減碼候選","")),"")</f>
        <v/>
      </c>
      <c r="AT132" s="7">
        <f>IF(Y132=1,N132,0)</f>
        <v/>
      </c>
      <c r="AU132" s="7">
        <f>IF(Y132=1,LN(O132),0)</f>
        <v/>
      </c>
      <c r="AV132" s="36">
        <f>IF(Y132=1,IF(ISNUMBER(F132),F132,0),0)</f>
        <v/>
      </c>
      <c r="AW132" s="7">
        <f>IF(Y132=1,Z132,0)</f>
        <v/>
      </c>
      <c r="AX132" s="7">
        <f>IF(Y132=1,IF(ISNUMBER(AL132),AL132,0),0)</f>
        <v/>
      </c>
      <c r="AY132" s="7">
        <f>IF(Y132=1,IF(ISNUMBER(AL132),1,0),0)</f>
        <v/>
      </c>
      <c r="AZ132" s="7">
        <f>IF(Y132=1,IF(ISNUMBER(AN132),AN132,0),0)</f>
        <v/>
      </c>
      <c r="BA132" s="7">
        <f>IF(Y132=1,IF(ISNUMBER(AN132),1,0),0)</f>
        <v/>
      </c>
      <c r="BB132" s="7">
        <f>IF(Y132=1,IF(ISNUMBER(T132),T132,0),0)</f>
        <v/>
      </c>
      <c r="BC132" s="7">
        <f>IF(Y132=1,IF(ISNUMBER(T132),1,0),0)</f>
        <v/>
      </c>
      <c r="BD132" s="7">
        <f>IF(Y132=1,AQ132+ROW()/1E9,-1E9)</f>
        <v/>
      </c>
      <c r="BE132" s="7">
        <f>IF(Y132=1,AQ132+ROW()/1E9,1E9)</f>
        <v/>
      </c>
    </row>
    <row r="133">
      <c r="A133" s="16" t="n"/>
      <c r="B133" s="8">
        <f>IF($A133="","",BDP($A133,B$3))</f>
        <v/>
      </c>
      <c r="C133" s="8">
        <f>IF($A133="","",BDP($A133,C$3))</f>
        <v/>
      </c>
      <c r="D133" s="28">
        <f>IF($A133="","",BDP($A133,D$3))</f>
        <v/>
      </c>
      <c r="E133" s="29">
        <f>IF($A133="","",BDP($A133,E$3))</f>
        <v/>
      </c>
      <c r="F133" s="17">
        <f>IF($A133="","",BDP($A133,F$3))</f>
        <v/>
      </c>
      <c r="G133" s="8">
        <f>IF($A133="","",BDP($A133,G$3))</f>
        <v/>
      </c>
      <c r="H133" s="8">
        <f>IF($A133="","",BDP($A133,H$3))</f>
        <v/>
      </c>
      <c r="I133" s="8">
        <f>IF($A133="","",BDP($A133,I$3))</f>
        <v/>
      </c>
      <c r="J133" s="8">
        <f>IF($A133="","",BDP($A133,J$3))</f>
        <v/>
      </c>
      <c r="K133" s="8">
        <f>IF($A133="","",BDP($A133,K$3))</f>
        <v/>
      </c>
      <c r="L133" s="28">
        <f>IF($A133="","",BDP($A133,L$3))</f>
        <v/>
      </c>
      <c r="M133" s="28">
        <f>IF($A133="","",BDP($A133,M$3))</f>
        <v/>
      </c>
      <c r="N133" s="30">
        <f>IF($A133="","",BDP($A133,N$3))</f>
        <v/>
      </c>
      <c r="O133" s="31">
        <f>IF($A133="","",BDP($A133,O$3))</f>
        <v/>
      </c>
      <c r="P133" s="30">
        <f>IF($A133="","",BDH($A133,$N$3,'參數'!$B$5,'參數'!$B$5,"Days=A","Fill=P","Dates=H"))</f>
        <v/>
      </c>
      <c r="Q133" s="30">
        <f>IF($A133="","",BDH($A133,$N$3,'參數'!$B$6,'參數'!$B$6,"Days=A","Fill=P","Dates=H"))</f>
        <v/>
      </c>
      <c r="R133" s="30">
        <f>IF($A133="","",BDH($A133,$N$3,'參數'!$B$7,'參數'!$B$7,"Days=A","Fill=P","Dates=H"))</f>
        <v/>
      </c>
      <c r="S133" s="32">
        <f>IF($A133="","",IFERROR(INDEX('發行人'!$A$5:$A$44,MATCH(B133,'發行人'!$D$5:$D$44,0)),"未對應"))</f>
        <v/>
      </c>
      <c r="T133" s="24">
        <f>IF($A133="","",IFERROR(INDEX('發行人'!$G$5:$G$44,MATCH(B133,'發行人'!$D$5:$D$44,0))+0,""))</f>
        <v/>
      </c>
      <c r="U133" s="18">
        <f>IF(ISNUMBER(E133),YEARFRAC('參數'!$B$4,E133),"")</f>
        <v/>
      </c>
      <c r="V133" s="8">
        <f>IF(U133="","",IF(U133&lt;3,"1-3y",IF(U133&lt;5,"3-5y",IF(U133&lt;7,"5-7y",IF(U133&lt;10,"7-10y","10y+")))))</f>
        <v/>
      </c>
      <c r="W133" s="30">
        <f>IF($A133="","",IFERROR(INDEX('參數'!$B$24:$B$45,MATCH(G133,'參數'!$A$24:$A$45,0)),""))</f>
        <v/>
      </c>
      <c r="X133" s="8">
        <f>IF($A133="","",IFERROR(INDEX('參數'!$C$24:$C$45,MATCH(G133,'參數'!$A$24:$A$45,0)),""))</f>
        <v/>
      </c>
      <c r="Y133" s="30">
        <f>IF(AND(ISNUMBER(N133),ISNUMBER(O133),ISNUMBER(U133)),IF(AND(O133&gt;0,X133&lt;&gt;""),1,0),0)</f>
        <v/>
      </c>
      <c r="Z133" s="17">
        <f>IF(Y133=1,O133*N133,"")</f>
        <v/>
      </c>
      <c r="AA133" s="33">
        <f>IF(Y133=1,IF(ISNUMBER(Q133),N133-Q133,""),"")</f>
        <v/>
      </c>
      <c r="AB133" s="33">
        <f>IF(Y133=1,IF(AND(ISNUMBER(P133),ISNUMBER(R133)),R133*5/12-O133*(P133-R133),""),"")</f>
        <v/>
      </c>
      <c r="AC133" s="30">
        <f>IF(Y133=1,COUNTIFS($X$5:$X$404,X133,$V$5:$V$404,V133,$Y$5:$Y$404,1),"")</f>
        <v/>
      </c>
      <c r="AD133" s="30">
        <f>IF(Y133=1,IFERROR(IF(AC133&gt;='參數'!$B$9,INDEX('分群統計'!$G$13:$K$16,MATCH(X133,'分群統計'!$A$13:$A$16,0),MATCH(V133,'分群統計'!$G$12:$K$12,0)),INDEX('分群統計'!$I$5:$I$8,MATCH(X133,'分群統計'!$A$5:$A$8,0))),""),"")</f>
        <v/>
      </c>
      <c r="AE133" s="18">
        <f>IF(Y133=1,IFERROR(IF(AC133&gt;='參數'!$B$9,INDEX('分群統計'!$L$13:$P$16,MATCH(X133,'分群統計'!$A$13:$A$16,0),MATCH(V133,'分群統計'!$L$12:$P$12,0)),INDEX('分群統計'!$J$5:$J$8,MATCH(X133,'分群統計'!$A$5:$A$8,0))),""),"")</f>
        <v/>
      </c>
      <c r="AF133" s="31">
        <f>IF(ISNUMBER(AE133),IF(AE133&gt;0,MAX(-3,MIN(3,(N133-AD133)/AE133)),0),"")</f>
        <v/>
      </c>
      <c r="AG133" s="30">
        <f>IF(Y133=1,COUNTIFS($B$5:$B$404,B133,$Y$5:$Y$404,1),"")</f>
        <v/>
      </c>
      <c r="AH133" s="30">
        <f>IF(Y133=1,IFERROR(IF(ISNUMBER(INDEX('分群統計'!$G$20:$G$59,MATCH(B133,'分群統計'!$A$20:$A$59,0))),INDEX('分群統計'!$H$20:$H$59,MATCH(B133,'分群統計'!$A$20:$A$59,0))+INDEX('分群統計'!$G$20:$G$59,MATCH(B133,'分群統計'!$A$20:$A$59,0))*AU133,""),""),"")</f>
        <v/>
      </c>
      <c r="AI133" s="34">
        <f>IF(ISNUMBER(AH133),N133-AH133,"")</f>
        <v/>
      </c>
      <c r="AJ133" s="30">
        <f>IF(Y133=1,IFERROR(IF(ISNUMBER(INDEX('分群統計'!$G$5:$G$8,MATCH(X133,'分群統計'!$A$5:$A$8,0))),INDEX('分群統計'!$H$5:$H$8,MATCH(X133,'分群統計'!$A$5:$A$8,0))+INDEX('分群統計'!$G$5:$G$8,MATCH(X133,'分群統計'!$A$5:$A$8,0))*AU133,""),""),"")</f>
        <v/>
      </c>
      <c r="AK133" s="34">
        <f>IF(ISNUMBER(AJ133),N133-AJ133,"")</f>
        <v/>
      </c>
      <c r="AL133" s="21">
        <f>IF(ISNUMBER(AJ133),IF(AJ133&gt;0,AK133/AJ133,""),"")</f>
        <v/>
      </c>
      <c r="AM133" s="31">
        <f>IF(AY133&lt;&gt;1,"",IFERROR(IF(INDEX('分群統計'!$K$5:$K$8,MATCH(X133,'分群統計'!$A$5:$A$8,0))&lt;3,"",IF(INDEX('分群統計'!$M$5:$M$8,MATCH(X133,'分群統計'!$A$5:$A$8,0))&gt;0,MAX(-3,MIN(3,(AX133-INDEX('分群統計'!$L$5:$L$8,MATCH(X133,'分群統計'!$A$5:$A$8,0)))/INDEX('分群統計'!$M$5:$M$8,MATCH(X133,'分群統計'!$A$5:$A$8,0)))),0)),""))</f>
        <v/>
      </c>
      <c r="AN133" s="31">
        <f>IF(ISNUMBER(AB133),IF(Z133&gt;0,AB133/Z133*100,""),"")</f>
        <v/>
      </c>
      <c r="AO133" s="31">
        <f>IF(BA133&lt;&gt;1,"",IFERROR(IF(INDEX('分群統計'!$N$5:$N$8,MATCH(X133,'分群統計'!$A$5:$A$8,0))&lt;3,"",IF(INDEX('分群統計'!$P$5:$P$8,MATCH(X133,'分群統計'!$A$5:$A$8,0))&gt;0,MAX(-3,MIN(3,(AZ133-INDEX('分群統計'!$O$5:$O$8,MATCH(X133,'分群統計'!$A$5:$A$8,0)))/INDEX('分群統計'!$P$5:$P$8,MATCH(X133,'分群統計'!$A$5:$A$8,0)))),0)),""))</f>
        <v/>
      </c>
      <c r="AP133" s="31">
        <f>IF(BC133&lt;&gt;1,"",IFERROR(IF(INDEX('分群統計'!$Q$5:$Q$8,MATCH(X133,'分群統計'!$A$5:$A$8,0))&lt;3,"",IF(INDEX('分群統計'!$S$5:$S$8,MATCH(X133,'分群統計'!$A$5:$A$8,0))&gt;0,MAX(-3,MIN(3,(BB133-INDEX('分群統計'!$R$5:$R$8,MATCH(X133,'分群統計'!$A$5:$A$8,0)))/INDEX('分群統計'!$S$5:$S$8,MATCH(X133,'分群統計'!$A$5:$A$8,0)))),0)),""))</f>
        <v/>
      </c>
      <c r="AQ133" s="31">
        <f>IF(Y133=1,(IF(ISNUMBER(AF133),AF133,0)*'參數'!$B$13+IF(ISNUMBER(AM133),AM133,0)*'參數'!$B$14+IF(ISNUMBER(AO133),AO133,0)*'參數'!$B$15+IF(ISNUMBER(AP133),AP133,0)*'參數'!$B$16)/('參數'!$B$13+'參數'!$B$14+'參數'!$B$15+'參數'!$B$16),"")</f>
        <v/>
      </c>
      <c r="AR133" s="35">
        <f>IF(Y133=1,(SUMPRODUCT(($X$5:$X$404=X133)*($Y$5:$Y$404=1)*($BD$5:$BD$404&gt;BD133))+1)/COUNTIFS($X$5:$X$404,X133,$Y$5:$Y$404,1),"")</f>
        <v/>
      </c>
      <c r="AS133" s="8">
        <f>IF(ISNUMBER(AR133),IF(AR133&lt;='參數'!$B$18,"加碼候選",IF(AR133&gt;'參數'!$B$19,"減碼候選","")),"")</f>
        <v/>
      </c>
      <c r="AT133" s="7">
        <f>IF(Y133=1,N133,0)</f>
        <v/>
      </c>
      <c r="AU133" s="7">
        <f>IF(Y133=1,LN(O133),0)</f>
        <v/>
      </c>
      <c r="AV133" s="36">
        <f>IF(Y133=1,IF(ISNUMBER(F133),F133,0),0)</f>
        <v/>
      </c>
      <c r="AW133" s="7">
        <f>IF(Y133=1,Z133,0)</f>
        <v/>
      </c>
      <c r="AX133" s="7">
        <f>IF(Y133=1,IF(ISNUMBER(AL133),AL133,0),0)</f>
        <v/>
      </c>
      <c r="AY133" s="7">
        <f>IF(Y133=1,IF(ISNUMBER(AL133),1,0),0)</f>
        <v/>
      </c>
      <c r="AZ133" s="7">
        <f>IF(Y133=1,IF(ISNUMBER(AN133),AN133,0),0)</f>
        <v/>
      </c>
      <c r="BA133" s="7">
        <f>IF(Y133=1,IF(ISNUMBER(AN133),1,0),0)</f>
        <v/>
      </c>
      <c r="BB133" s="7">
        <f>IF(Y133=1,IF(ISNUMBER(T133),T133,0),0)</f>
        <v/>
      </c>
      <c r="BC133" s="7">
        <f>IF(Y133=1,IF(ISNUMBER(T133),1,0),0)</f>
        <v/>
      </c>
      <c r="BD133" s="7">
        <f>IF(Y133=1,AQ133+ROW()/1E9,-1E9)</f>
        <v/>
      </c>
      <c r="BE133" s="7">
        <f>IF(Y133=1,AQ133+ROW()/1E9,1E9)</f>
        <v/>
      </c>
    </row>
    <row r="134">
      <c r="A134" s="16" t="n"/>
      <c r="B134" s="8">
        <f>IF($A134="","",BDP($A134,B$3))</f>
        <v/>
      </c>
      <c r="C134" s="8">
        <f>IF($A134="","",BDP($A134,C$3))</f>
        <v/>
      </c>
      <c r="D134" s="28">
        <f>IF($A134="","",BDP($A134,D$3))</f>
        <v/>
      </c>
      <c r="E134" s="29">
        <f>IF($A134="","",BDP($A134,E$3))</f>
        <v/>
      </c>
      <c r="F134" s="17">
        <f>IF($A134="","",BDP($A134,F$3))</f>
        <v/>
      </c>
      <c r="G134" s="8">
        <f>IF($A134="","",BDP($A134,G$3))</f>
        <v/>
      </c>
      <c r="H134" s="8">
        <f>IF($A134="","",BDP($A134,H$3))</f>
        <v/>
      </c>
      <c r="I134" s="8">
        <f>IF($A134="","",BDP($A134,I$3))</f>
        <v/>
      </c>
      <c r="J134" s="8">
        <f>IF($A134="","",BDP($A134,J$3))</f>
        <v/>
      </c>
      <c r="K134" s="8">
        <f>IF($A134="","",BDP($A134,K$3))</f>
        <v/>
      </c>
      <c r="L134" s="28">
        <f>IF($A134="","",BDP($A134,L$3))</f>
        <v/>
      </c>
      <c r="M134" s="28">
        <f>IF($A134="","",BDP($A134,M$3))</f>
        <v/>
      </c>
      <c r="N134" s="30">
        <f>IF($A134="","",BDP($A134,N$3))</f>
        <v/>
      </c>
      <c r="O134" s="31">
        <f>IF($A134="","",BDP($A134,O$3))</f>
        <v/>
      </c>
      <c r="P134" s="30">
        <f>IF($A134="","",BDH($A134,$N$3,'參數'!$B$5,'參數'!$B$5,"Days=A","Fill=P","Dates=H"))</f>
        <v/>
      </c>
      <c r="Q134" s="30">
        <f>IF($A134="","",BDH($A134,$N$3,'參數'!$B$6,'參數'!$B$6,"Days=A","Fill=P","Dates=H"))</f>
        <v/>
      </c>
      <c r="R134" s="30">
        <f>IF($A134="","",BDH($A134,$N$3,'參數'!$B$7,'參數'!$B$7,"Days=A","Fill=P","Dates=H"))</f>
        <v/>
      </c>
      <c r="S134" s="32">
        <f>IF($A134="","",IFERROR(INDEX('發行人'!$A$5:$A$44,MATCH(B134,'發行人'!$D$5:$D$44,0)),"未對應"))</f>
        <v/>
      </c>
      <c r="T134" s="24">
        <f>IF($A134="","",IFERROR(INDEX('發行人'!$G$5:$G$44,MATCH(B134,'發行人'!$D$5:$D$44,0))+0,""))</f>
        <v/>
      </c>
      <c r="U134" s="18">
        <f>IF(ISNUMBER(E134),YEARFRAC('參數'!$B$4,E134),"")</f>
        <v/>
      </c>
      <c r="V134" s="8">
        <f>IF(U134="","",IF(U134&lt;3,"1-3y",IF(U134&lt;5,"3-5y",IF(U134&lt;7,"5-7y",IF(U134&lt;10,"7-10y","10y+")))))</f>
        <v/>
      </c>
      <c r="W134" s="30">
        <f>IF($A134="","",IFERROR(INDEX('參數'!$B$24:$B$45,MATCH(G134,'參數'!$A$24:$A$45,0)),""))</f>
        <v/>
      </c>
      <c r="X134" s="8">
        <f>IF($A134="","",IFERROR(INDEX('參數'!$C$24:$C$45,MATCH(G134,'參數'!$A$24:$A$45,0)),""))</f>
        <v/>
      </c>
      <c r="Y134" s="30">
        <f>IF(AND(ISNUMBER(N134),ISNUMBER(O134),ISNUMBER(U134)),IF(AND(O134&gt;0,X134&lt;&gt;""),1,0),0)</f>
        <v/>
      </c>
      <c r="Z134" s="17">
        <f>IF(Y134=1,O134*N134,"")</f>
        <v/>
      </c>
      <c r="AA134" s="33">
        <f>IF(Y134=1,IF(ISNUMBER(Q134),N134-Q134,""),"")</f>
        <v/>
      </c>
      <c r="AB134" s="33">
        <f>IF(Y134=1,IF(AND(ISNUMBER(P134),ISNUMBER(R134)),R134*5/12-O134*(P134-R134),""),"")</f>
        <v/>
      </c>
      <c r="AC134" s="30">
        <f>IF(Y134=1,COUNTIFS($X$5:$X$404,X134,$V$5:$V$404,V134,$Y$5:$Y$404,1),"")</f>
        <v/>
      </c>
      <c r="AD134" s="30">
        <f>IF(Y134=1,IFERROR(IF(AC134&gt;='參數'!$B$9,INDEX('分群統計'!$G$13:$K$16,MATCH(X134,'分群統計'!$A$13:$A$16,0),MATCH(V134,'分群統計'!$G$12:$K$12,0)),INDEX('分群統計'!$I$5:$I$8,MATCH(X134,'分群統計'!$A$5:$A$8,0))),""),"")</f>
        <v/>
      </c>
      <c r="AE134" s="18">
        <f>IF(Y134=1,IFERROR(IF(AC134&gt;='參數'!$B$9,INDEX('分群統計'!$L$13:$P$16,MATCH(X134,'分群統計'!$A$13:$A$16,0),MATCH(V134,'分群統計'!$L$12:$P$12,0)),INDEX('分群統計'!$J$5:$J$8,MATCH(X134,'分群統計'!$A$5:$A$8,0))),""),"")</f>
        <v/>
      </c>
      <c r="AF134" s="31">
        <f>IF(ISNUMBER(AE134),IF(AE134&gt;0,MAX(-3,MIN(3,(N134-AD134)/AE134)),0),"")</f>
        <v/>
      </c>
      <c r="AG134" s="30">
        <f>IF(Y134=1,COUNTIFS($B$5:$B$404,B134,$Y$5:$Y$404,1),"")</f>
        <v/>
      </c>
      <c r="AH134" s="30">
        <f>IF(Y134=1,IFERROR(IF(ISNUMBER(INDEX('分群統計'!$G$20:$G$59,MATCH(B134,'分群統計'!$A$20:$A$59,0))),INDEX('分群統計'!$H$20:$H$59,MATCH(B134,'分群統計'!$A$20:$A$59,0))+INDEX('分群統計'!$G$20:$G$59,MATCH(B134,'分群統計'!$A$20:$A$59,0))*AU134,""),""),"")</f>
        <v/>
      </c>
      <c r="AI134" s="34">
        <f>IF(ISNUMBER(AH134),N134-AH134,"")</f>
        <v/>
      </c>
      <c r="AJ134" s="30">
        <f>IF(Y134=1,IFERROR(IF(ISNUMBER(INDEX('分群統計'!$G$5:$G$8,MATCH(X134,'分群統計'!$A$5:$A$8,0))),INDEX('分群統計'!$H$5:$H$8,MATCH(X134,'分群統計'!$A$5:$A$8,0))+INDEX('分群統計'!$G$5:$G$8,MATCH(X134,'分群統計'!$A$5:$A$8,0))*AU134,""),""),"")</f>
        <v/>
      </c>
      <c r="AK134" s="34">
        <f>IF(ISNUMBER(AJ134),N134-AJ134,"")</f>
        <v/>
      </c>
      <c r="AL134" s="21">
        <f>IF(ISNUMBER(AJ134),IF(AJ134&gt;0,AK134/AJ134,""),"")</f>
        <v/>
      </c>
      <c r="AM134" s="31">
        <f>IF(AY134&lt;&gt;1,"",IFERROR(IF(INDEX('分群統計'!$K$5:$K$8,MATCH(X134,'分群統計'!$A$5:$A$8,0))&lt;3,"",IF(INDEX('分群統計'!$M$5:$M$8,MATCH(X134,'分群統計'!$A$5:$A$8,0))&gt;0,MAX(-3,MIN(3,(AX134-INDEX('分群統計'!$L$5:$L$8,MATCH(X134,'分群統計'!$A$5:$A$8,0)))/INDEX('分群統計'!$M$5:$M$8,MATCH(X134,'分群統計'!$A$5:$A$8,0)))),0)),""))</f>
        <v/>
      </c>
      <c r="AN134" s="31">
        <f>IF(ISNUMBER(AB134),IF(Z134&gt;0,AB134/Z134*100,""),"")</f>
        <v/>
      </c>
      <c r="AO134" s="31">
        <f>IF(BA134&lt;&gt;1,"",IFERROR(IF(INDEX('分群統計'!$N$5:$N$8,MATCH(X134,'分群統計'!$A$5:$A$8,0))&lt;3,"",IF(INDEX('分群統計'!$P$5:$P$8,MATCH(X134,'分群統計'!$A$5:$A$8,0))&gt;0,MAX(-3,MIN(3,(AZ134-INDEX('分群統計'!$O$5:$O$8,MATCH(X134,'分群統計'!$A$5:$A$8,0)))/INDEX('分群統計'!$P$5:$P$8,MATCH(X134,'分群統計'!$A$5:$A$8,0)))),0)),""))</f>
        <v/>
      </c>
      <c r="AP134" s="31">
        <f>IF(BC134&lt;&gt;1,"",IFERROR(IF(INDEX('分群統計'!$Q$5:$Q$8,MATCH(X134,'分群統計'!$A$5:$A$8,0))&lt;3,"",IF(INDEX('分群統計'!$S$5:$S$8,MATCH(X134,'分群統計'!$A$5:$A$8,0))&gt;0,MAX(-3,MIN(3,(BB134-INDEX('分群統計'!$R$5:$R$8,MATCH(X134,'分群統計'!$A$5:$A$8,0)))/INDEX('分群統計'!$S$5:$S$8,MATCH(X134,'分群統計'!$A$5:$A$8,0)))),0)),""))</f>
        <v/>
      </c>
      <c r="AQ134" s="31">
        <f>IF(Y134=1,(IF(ISNUMBER(AF134),AF134,0)*'參數'!$B$13+IF(ISNUMBER(AM134),AM134,0)*'參數'!$B$14+IF(ISNUMBER(AO134),AO134,0)*'參數'!$B$15+IF(ISNUMBER(AP134),AP134,0)*'參數'!$B$16)/('參數'!$B$13+'參數'!$B$14+'參數'!$B$15+'參數'!$B$16),"")</f>
        <v/>
      </c>
      <c r="AR134" s="35">
        <f>IF(Y134=1,(SUMPRODUCT(($X$5:$X$404=X134)*($Y$5:$Y$404=1)*($BD$5:$BD$404&gt;BD134))+1)/COUNTIFS($X$5:$X$404,X134,$Y$5:$Y$404,1),"")</f>
        <v/>
      </c>
      <c r="AS134" s="8">
        <f>IF(ISNUMBER(AR134),IF(AR134&lt;='參數'!$B$18,"加碼候選",IF(AR134&gt;'參數'!$B$19,"減碼候選","")),"")</f>
        <v/>
      </c>
      <c r="AT134" s="7">
        <f>IF(Y134=1,N134,0)</f>
        <v/>
      </c>
      <c r="AU134" s="7">
        <f>IF(Y134=1,LN(O134),0)</f>
        <v/>
      </c>
      <c r="AV134" s="36">
        <f>IF(Y134=1,IF(ISNUMBER(F134),F134,0),0)</f>
        <v/>
      </c>
      <c r="AW134" s="7">
        <f>IF(Y134=1,Z134,0)</f>
        <v/>
      </c>
      <c r="AX134" s="7">
        <f>IF(Y134=1,IF(ISNUMBER(AL134),AL134,0),0)</f>
        <v/>
      </c>
      <c r="AY134" s="7">
        <f>IF(Y134=1,IF(ISNUMBER(AL134),1,0),0)</f>
        <v/>
      </c>
      <c r="AZ134" s="7">
        <f>IF(Y134=1,IF(ISNUMBER(AN134),AN134,0),0)</f>
        <v/>
      </c>
      <c r="BA134" s="7">
        <f>IF(Y134=1,IF(ISNUMBER(AN134),1,0),0)</f>
        <v/>
      </c>
      <c r="BB134" s="7">
        <f>IF(Y134=1,IF(ISNUMBER(T134),T134,0),0)</f>
        <v/>
      </c>
      <c r="BC134" s="7">
        <f>IF(Y134=1,IF(ISNUMBER(T134),1,0),0)</f>
        <v/>
      </c>
      <c r="BD134" s="7">
        <f>IF(Y134=1,AQ134+ROW()/1E9,-1E9)</f>
        <v/>
      </c>
      <c r="BE134" s="7">
        <f>IF(Y134=1,AQ134+ROW()/1E9,1E9)</f>
        <v/>
      </c>
    </row>
    <row r="135">
      <c r="A135" s="16" t="n"/>
      <c r="B135" s="8">
        <f>IF($A135="","",BDP($A135,B$3))</f>
        <v/>
      </c>
      <c r="C135" s="8">
        <f>IF($A135="","",BDP($A135,C$3))</f>
        <v/>
      </c>
      <c r="D135" s="28">
        <f>IF($A135="","",BDP($A135,D$3))</f>
        <v/>
      </c>
      <c r="E135" s="29">
        <f>IF($A135="","",BDP($A135,E$3))</f>
        <v/>
      </c>
      <c r="F135" s="17">
        <f>IF($A135="","",BDP($A135,F$3))</f>
        <v/>
      </c>
      <c r="G135" s="8">
        <f>IF($A135="","",BDP($A135,G$3))</f>
        <v/>
      </c>
      <c r="H135" s="8">
        <f>IF($A135="","",BDP($A135,H$3))</f>
        <v/>
      </c>
      <c r="I135" s="8">
        <f>IF($A135="","",BDP($A135,I$3))</f>
        <v/>
      </c>
      <c r="J135" s="8">
        <f>IF($A135="","",BDP($A135,J$3))</f>
        <v/>
      </c>
      <c r="K135" s="8">
        <f>IF($A135="","",BDP($A135,K$3))</f>
        <v/>
      </c>
      <c r="L135" s="28">
        <f>IF($A135="","",BDP($A135,L$3))</f>
        <v/>
      </c>
      <c r="M135" s="28">
        <f>IF($A135="","",BDP($A135,M$3))</f>
        <v/>
      </c>
      <c r="N135" s="30">
        <f>IF($A135="","",BDP($A135,N$3))</f>
        <v/>
      </c>
      <c r="O135" s="31">
        <f>IF($A135="","",BDP($A135,O$3))</f>
        <v/>
      </c>
      <c r="P135" s="30">
        <f>IF($A135="","",BDH($A135,$N$3,'參數'!$B$5,'參數'!$B$5,"Days=A","Fill=P","Dates=H"))</f>
        <v/>
      </c>
      <c r="Q135" s="30">
        <f>IF($A135="","",BDH($A135,$N$3,'參數'!$B$6,'參數'!$B$6,"Days=A","Fill=P","Dates=H"))</f>
        <v/>
      </c>
      <c r="R135" s="30">
        <f>IF($A135="","",BDH($A135,$N$3,'參數'!$B$7,'參數'!$B$7,"Days=A","Fill=P","Dates=H"))</f>
        <v/>
      </c>
      <c r="S135" s="32">
        <f>IF($A135="","",IFERROR(INDEX('發行人'!$A$5:$A$44,MATCH(B135,'發行人'!$D$5:$D$44,0)),"未對應"))</f>
        <v/>
      </c>
      <c r="T135" s="24">
        <f>IF($A135="","",IFERROR(INDEX('發行人'!$G$5:$G$44,MATCH(B135,'發行人'!$D$5:$D$44,0))+0,""))</f>
        <v/>
      </c>
      <c r="U135" s="18">
        <f>IF(ISNUMBER(E135),YEARFRAC('參數'!$B$4,E135),"")</f>
        <v/>
      </c>
      <c r="V135" s="8">
        <f>IF(U135="","",IF(U135&lt;3,"1-3y",IF(U135&lt;5,"3-5y",IF(U135&lt;7,"5-7y",IF(U135&lt;10,"7-10y","10y+")))))</f>
        <v/>
      </c>
      <c r="W135" s="30">
        <f>IF($A135="","",IFERROR(INDEX('參數'!$B$24:$B$45,MATCH(G135,'參數'!$A$24:$A$45,0)),""))</f>
        <v/>
      </c>
      <c r="X135" s="8">
        <f>IF($A135="","",IFERROR(INDEX('參數'!$C$24:$C$45,MATCH(G135,'參數'!$A$24:$A$45,0)),""))</f>
        <v/>
      </c>
      <c r="Y135" s="30">
        <f>IF(AND(ISNUMBER(N135),ISNUMBER(O135),ISNUMBER(U135)),IF(AND(O135&gt;0,X135&lt;&gt;""),1,0),0)</f>
        <v/>
      </c>
      <c r="Z135" s="17">
        <f>IF(Y135=1,O135*N135,"")</f>
        <v/>
      </c>
      <c r="AA135" s="33">
        <f>IF(Y135=1,IF(ISNUMBER(Q135),N135-Q135,""),"")</f>
        <v/>
      </c>
      <c r="AB135" s="33">
        <f>IF(Y135=1,IF(AND(ISNUMBER(P135),ISNUMBER(R135)),R135*5/12-O135*(P135-R135),""),"")</f>
        <v/>
      </c>
      <c r="AC135" s="30">
        <f>IF(Y135=1,COUNTIFS($X$5:$X$404,X135,$V$5:$V$404,V135,$Y$5:$Y$404,1),"")</f>
        <v/>
      </c>
      <c r="AD135" s="30">
        <f>IF(Y135=1,IFERROR(IF(AC135&gt;='參數'!$B$9,INDEX('分群統計'!$G$13:$K$16,MATCH(X135,'分群統計'!$A$13:$A$16,0),MATCH(V135,'分群統計'!$G$12:$K$12,0)),INDEX('分群統計'!$I$5:$I$8,MATCH(X135,'分群統計'!$A$5:$A$8,0))),""),"")</f>
        <v/>
      </c>
      <c r="AE135" s="18">
        <f>IF(Y135=1,IFERROR(IF(AC135&gt;='參數'!$B$9,INDEX('分群統計'!$L$13:$P$16,MATCH(X135,'分群統計'!$A$13:$A$16,0),MATCH(V135,'分群統計'!$L$12:$P$12,0)),INDEX('分群統計'!$J$5:$J$8,MATCH(X135,'分群統計'!$A$5:$A$8,0))),""),"")</f>
        <v/>
      </c>
      <c r="AF135" s="31">
        <f>IF(ISNUMBER(AE135),IF(AE135&gt;0,MAX(-3,MIN(3,(N135-AD135)/AE135)),0),"")</f>
        <v/>
      </c>
      <c r="AG135" s="30">
        <f>IF(Y135=1,COUNTIFS($B$5:$B$404,B135,$Y$5:$Y$404,1),"")</f>
        <v/>
      </c>
      <c r="AH135" s="30">
        <f>IF(Y135=1,IFERROR(IF(ISNUMBER(INDEX('分群統計'!$G$20:$G$59,MATCH(B135,'分群統計'!$A$20:$A$59,0))),INDEX('分群統計'!$H$20:$H$59,MATCH(B135,'分群統計'!$A$20:$A$59,0))+INDEX('分群統計'!$G$20:$G$59,MATCH(B135,'分群統計'!$A$20:$A$59,0))*AU135,""),""),"")</f>
        <v/>
      </c>
      <c r="AI135" s="34">
        <f>IF(ISNUMBER(AH135),N135-AH135,"")</f>
        <v/>
      </c>
      <c r="AJ135" s="30">
        <f>IF(Y135=1,IFERROR(IF(ISNUMBER(INDEX('分群統計'!$G$5:$G$8,MATCH(X135,'分群統計'!$A$5:$A$8,0))),INDEX('分群統計'!$H$5:$H$8,MATCH(X135,'分群統計'!$A$5:$A$8,0))+INDEX('分群統計'!$G$5:$G$8,MATCH(X135,'分群統計'!$A$5:$A$8,0))*AU135,""),""),"")</f>
        <v/>
      </c>
      <c r="AK135" s="34">
        <f>IF(ISNUMBER(AJ135),N135-AJ135,"")</f>
        <v/>
      </c>
      <c r="AL135" s="21">
        <f>IF(ISNUMBER(AJ135),IF(AJ135&gt;0,AK135/AJ135,""),"")</f>
        <v/>
      </c>
      <c r="AM135" s="31">
        <f>IF(AY135&lt;&gt;1,"",IFERROR(IF(INDEX('分群統計'!$K$5:$K$8,MATCH(X135,'分群統計'!$A$5:$A$8,0))&lt;3,"",IF(INDEX('分群統計'!$M$5:$M$8,MATCH(X135,'分群統計'!$A$5:$A$8,0))&gt;0,MAX(-3,MIN(3,(AX135-INDEX('分群統計'!$L$5:$L$8,MATCH(X135,'分群統計'!$A$5:$A$8,0)))/INDEX('分群統計'!$M$5:$M$8,MATCH(X135,'分群統計'!$A$5:$A$8,0)))),0)),""))</f>
        <v/>
      </c>
      <c r="AN135" s="31">
        <f>IF(ISNUMBER(AB135),IF(Z135&gt;0,AB135/Z135*100,""),"")</f>
        <v/>
      </c>
      <c r="AO135" s="31">
        <f>IF(BA135&lt;&gt;1,"",IFERROR(IF(INDEX('分群統計'!$N$5:$N$8,MATCH(X135,'分群統計'!$A$5:$A$8,0))&lt;3,"",IF(INDEX('分群統計'!$P$5:$P$8,MATCH(X135,'分群統計'!$A$5:$A$8,0))&gt;0,MAX(-3,MIN(3,(AZ135-INDEX('分群統計'!$O$5:$O$8,MATCH(X135,'分群統計'!$A$5:$A$8,0)))/INDEX('分群統計'!$P$5:$P$8,MATCH(X135,'分群統計'!$A$5:$A$8,0)))),0)),""))</f>
        <v/>
      </c>
      <c r="AP135" s="31">
        <f>IF(BC135&lt;&gt;1,"",IFERROR(IF(INDEX('分群統計'!$Q$5:$Q$8,MATCH(X135,'分群統計'!$A$5:$A$8,0))&lt;3,"",IF(INDEX('分群統計'!$S$5:$S$8,MATCH(X135,'分群統計'!$A$5:$A$8,0))&gt;0,MAX(-3,MIN(3,(BB135-INDEX('分群統計'!$R$5:$R$8,MATCH(X135,'分群統計'!$A$5:$A$8,0)))/INDEX('分群統計'!$S$5:$S$8,MATCH(X135,'分群統計'!$A$5:$A$8,0)))),0)),""))</f>
        <v/>
      </c>
      <c r="AQ135" s="31">
        <f>IF(Y135=1,(IF(ISNUMBER(AF135),AF135,0)*'參數'!$B$13+IF(ISNUMBER(AM135),AM135,0)*'參數'!$B$14+IF(ISNUMBER(AO135),AO135,0)*'參數'!$B$15+IF(ISNUMBER(AP135),AP135,0)*'參數'!$B$16)/('參數'!$B$13+'參數'!$B$14+'參數'!$B$15+'參數'!$B$16),"")</f>
        <v/>
      </c>
      <c r="AR135" s="35">
        <f>IF(Y135=1,(SUMPRODUCT(($X$5:$X$404=X135)*($Y$5:$Y$404=1)*($BD$5:$BD$404&gt;BD135))+1)/COUNTIFS($X$5:$X$404,X135,$Y$5:$Y$404,1),"")</f>
        <v/>
      </c>
      <c r="AS135" s="8">
        <f>IF(ISNUMBER(AR135),IF(AR135&lt;='參數'!$B$18,"加碼候選",IF(AR135&gt;'參數'!$B$19,"減碼候選","")),"")</f>
        <v/>
      </c>
      <c r="AT135" s="7">
        <f>IF(Y135=1,N135,0)</f>
        <v/>
      </c>
      <c r="AU135" s="7">
        <f>IF(Y135=1,LN(O135),0)</f>
        <v/>
      </c>
      <c r="AV135" s="36">
        <f>IF(Y135=1,IF(ISNUMBER(F135),F135,0),0)</f>
        <v/>
      </c>
      <c r="AW135" s="7">
        <f>IF(Y135=1,Z135,0)</f>
        <v/>
      </c>
      <c r="AX135" s="7">
        <f>IF(Y135=1,IF(ISNUMBER(AL135),AL135,0),0)</f>
        <v/>
      </c>
      <c r="AY135" s="7">
        <f>IF(Y135=1,IF(ISNUMBER(AL135),1,0),0)</f>
        <v/>
      </c>
      <c r="AZ135" s="7">
        <f>IF(Y135=1,IF(ISNUMBER(AN135),AN135,0),0)</f>
        <v/>
      </c>
      <c r="BA135" s="7">
        <f>IF(Y135=1,IF(ISNUMBER(AN135),1,0),0)</f>
        <v/>
      </c>
      <c r="BB135" s="7">
        <f>IF(Y135=1,IF(ISNUMBER(T135),T135,0),0)</f>
        <v/>
      </c>
      <c r="BC135" s="7">
        <f>IF(Y135=1,IF(ISNUMBER(T135),1,0),0)</f>
        <v/>
      </c>
      <c r="BD135" s="7">
        <f>IF(Y135=1,AQ135+ROW()/1E9,-1E9)</f>
        <v/>
      </c>
      <c r="BE135" s="7">
        <f>IF(Y135=1,AQ135+ROW()/1E9,1E9)</f>
        <v/>
      </c>
    </row>
    <row r="136">
      <c r="A136" s="16" t="n"/>
      <c r="B136" s="8">
        <f>IF($A136="","",BDP($A136,B$3))</f>
        <v/>
      </c>
      <c r="C136" s="8">
        <f>IF($A136="","",BDP($A136,C$3))</f>
        <v/>
      </c>
      <c r="D136" s="28">
        <f>IF($A136="","",BDP($A136,D$3))</f>
        <v/>
      </c>
      <c r="E136" s="29">
        <f>IF($A136="","",BDP($A136,E$3))</f>
        <v/>
      </c>
      <c r="F136" s="17">
        <f>IF($A136="","",BDP($A136,F$3))</f>
        <v/>
      </c>
      <c r="G136" s="8">
        <f>IF($A136="","",BDP($A136,G$3))</f>
        <v/>
      </c>
      <c r="H136" s="8">
        <f>IF($A136="","",BDP($A136,H$3))</f>
        <v/>
      </c>
      <c r="I136" s="8">
        <f>IF($A136="","",BDP($A136,I$3))</f>
        <v/>
      </c>
      <c r="J136" s="8">
        <f>IF($A136="","",BDP($A136,J$3))</f>
        <v/>
      </c>
      <c r="K136" s="8">
        <f>IF($A136="","",BDP($A136,K$3))</f>
        <v/>
      </c>
      <c r="L136" s="28">
        <f>IF($A136="","",BDP($A136,L$3))</f>
        <v/>
      </c>
      <c r="M136" s="28">
        <f>IF($A136="","",BDP($A136,M$3))</f>
        <v/>
      </c>
      <c r="N136" s="30">
        <f>IF($A136="","",BDP($A136,N$3))</f>
        <v/>
      </c>
      <c r="O136" s="31">
        <f>IF($A136="","",BDP($A136,O$3))</f>
        <v/>
      </c>
      <c r="P136" s="30">
        <f>IF($A136="","",BDH($A136,$N$3,'參數'!$B$5,'參數'!$B$5,"Days=A","Fill=P","Dates=H"))</f>
        <v/>
      </c>
      <c r="Q136" s="30">
        <f>IF($A136="","",BDH($A136,$N$3,'參數'!$B$6,'參數'!$B$6,"Days=A","Fill=P","Dates=H"))</f>
        <v/>
      </c>
      <c r="R136" s="30">
        <f>IF($A136="","",BDH($A136,$N$3,'參數'!$B$7,'參數'!$B$7,"Days=A","Fill=P","Dates=H"))</f>
        <v/>
      </c>
      <c r="S136" s="32">
        <f>IF($A136="","",IFERROR(INDEX('發行人'!$A$5:$A$44,MATCH(B136,'發行人'!$D$5:$D$44,0)),"未對應"))</f>
        <v/>
      </c>
      <c r="T136" s="24">
        <f>IF($A136="","",IFERROR(INDEX('發行人'!$G$5:$G$44,MATCH(B136,'發行人'!$D$5:$D$44,0))+0,""))</f>
        <v/>
      </c>
      <c r="U136" s="18">
        <f>IF(ISNUMBER(E136),YEARFRAC('參數'!$B$4,E136),"")</f>
        <v/>
      </c>
      <c r="V136" s="8">
        <f>IF(U136="","",IF(U136&lt;3,"1-3y",IF(U136&lt;5,"3-5y",IF(U136&lt;7,"5-7y",IF(U136&lt;10,"7-10y","10y+")))))</f>
        <v/>
      </c>
      <c r="W136" s="30">
        <f>IF($A136="","",IFERROR(INDEX('參數'!$B$24:$B$45,MATCH(G136,'參數'!$A$24:$A$45,0)),""))</f>
        <v/>
      </c>
      <c r="X136" s="8">
        <f>IF($A136="","",IFERROR(INDEX('參數'!$C$24:$C$45,MATCH(G136,'參數'!$A$24:$A$45,0)),""))</f>
        <v/>
      </c>
      <c r="Y136" s="30">
        <f>IF(AND(ISNUMBER(N136),ISNUMBER(O136),ISNUMBER(U136)),IF(AND(O136&gt;0,X136&lt;&gt;""),1,0),0)</f>
        <v/>
      </c>
      <c r="Z136" s="17">
        <f>IF(Y136=1,O136*N136,"")</f>
        <v/>
      </c>
      <c r="AA136" s="33">
        <f>IF(Y136=1,IF(ISNUMBER(Q136),N136-Q136,""),"")</f>
        <v/>
      </c>
      <c r="AB136" s="33">
        <f>IF(Y136=1,IF(AND(ISNUMBER(P136),ISNUMBER(R136)),R136*5/12-O136*(P136-R136),""),"")</f>
        <v/>
      </c>
      <c r="AC136" s="30">
        <f>IF(Y136=1,COUNTIFS($X$5:$X$404,X136,$V$5:$V$404,V136,$Y$5:$Y$404,1),"")</f>
        <v/>
      </c>
      <c r="AD136" s="30">
        <f>IF(Y136=1,IFERROR(IF(AC136&gt;='參數'!$B$9,INDEX('分群統計'!$G$13:$K$16,MATCH(X136,'分群統計'!$A$13:$A$16,0),MATCH(V136,'分群統計'!$G$12:$K$12,0)),INDEX('分群統計'!$I$5:$I$8,MATCH(X136,'分群統計'!$A$5:$A$8,0))),""),"")</f>
        <v/>
      </c>
      <c r="AE136" s="18">
        <f>IF(Y136=1,IFERROR(IF(AC136&gt;='參數'!$B$9,INDEX('分群統計'!$L$13:$P$16,MATCH(X136,'分群統計'!$A$13:$A$16,0),MATCH(V136,'分群統計'!$L$12:$P$12,0)),INDEX('分群統計'!$J$5:$J$8,MATCH(X136,'分群統計'!$A$5:$A$8,0))),""),"")</f>
        <v/>
      </c>
      <c r="AF136" s="31">
        <f>IF(ISNUMBER(AE136),IF(AE136&gt;0,MAX(-3,MIN(3,(N136-AD136)/AE136)),0),"")</f>
        <v/>
      </c>
      <c r="AG136" s="30">
        <f>IF(Y136=1,COUNTIFS($B$5:$B$404,B136,$Y$5:$Y$404,1),"")</f>
        <v/>
      </c>
      <c r="AH136" s="30">
        <f>IF(Y136=1,IFERROR(IF(ISNUMBER(INDEX('分群統計'!$G$20:$G$59,MATCH(B136,'分群統計'!$A$20:$A$59,0))),INDEX('分群統計'!$H$20:$H$59,MATCH(B136,'分群統計'!$A$20:$A$59,0))+INDEX('分群統計'!$G$20:$G$59,MATCH(B136,'分群統計'!$A$20:$A$59,0))*AU136,""),""),"")</f>
        <v/>
      </c>
      <c r="AI136" s="34">
        <f>IF(ISNUMBER(AH136),N136-AH136,"")</f>
        <v/>
      </c>
      <c r="AJ136" s="30">
        <f>IF(Y136=1,IFERROR(IF(ISNUMBER(INDEX('分群統計'!$G$5:$G$8,MATCH(X136,'分群統計'!$A$5:$A$8,0))),INDEX('分群統計'!$H$5:$H$8,MATCH(X136,'分群統計'!$A$5:$A$8,0))+INDEX('分群統計'!$G$5:$G$8,MATCH(X136,'分群統計'!$A$5:$A$8,0))*AU136,""),""),"")</f>
        <v/>
      </c>
      <c r="AK136" s="34">
        <f>IF(ISNUMBER(AJ136),N136-AJ136,"")</f>
        <v/>
      </c>
      <c r="AL136" s="21">
        <f>IF(ISNUMBER(AJ136),IF(AJ136&gt;0,AK136/AJ136,""),"")</f>
        <v/>
      </c>
      <c r="AM136" s="31">
        <f>IF(AY136&lt;&gt;1,"",IFERROR(IF(INDEX('分群統計'!$K$5:$K$8,MATCH(X136,'分群統計'!$A$5:$A$8,0))&lt;3,"",IF(INDEX('分群統計'!$M$5:$M$8,MATCH(X136,'分群統計'!$A$5:$A$8,0))&gt;0,MAX(-3,MIN(3,(AX136-INDEX('分群統計'!$L$5:$L$8,MATCH(X136,'分群統計'!$A$5:$A$8,0)))/INDEX('分群統計'!$M$5:$M$8,MATCH(X136,'分群統計'!$A$5:$A$8,0)))),0)),""))</f>
        <v/>
      </c>
      <c r="AN136" s="31">
        <f>IF(ISNUMBER(AB136),IF(Z136&gt;0,AB136/Z136*100,""),"")</f>
        <v/>
      </c>
      <c r="AO136" s="31">
        <f>IF(BA136&lt;&gt;1,"",IFERROR(IF(INDEX('分群統計'!$N$5:$N$8,MATCH(X136,'分群統計'!$A$5:$A$8,0))&lt;3,"",IF(INDEX('分群統計'!$P$5:$P$8,MATCH(X136,'分群統計'!$A$5:$A$8,0))&gt;0,MAX(-3,MIN(3,(AZ136-INDEX('分群統計'!$O$5:$O$8,MATCH(X136,'分群統計'!$A$5:$A$8,0)))/INDEX('分群統計'!$P$5:$P$8,MATCH(X136,'分群統計'!$A$5:$A$8,0)))),0)),""))</f>
        <v/>
      </c>
      <c r="AP136" s="31">
        <f>IF(BC136&lt;&gt;1,"",IFERROR(IF(INDEX('分群統計'!$Q$5:$Q$8,MATCH(X136,'分群統計'!$A$5:$A$8,0))&lt;3,"",IF(INDEX('分群統計'!$S$5:$S$8,MATCH(X136,'分群統計'!$A$5:$A$8,0))&gt;0,MAX(-3,MIN(3,(BB136-INDEX('分群統計'!$R$5:$R$8,MATCH(X136,'分群統計'!$A$5:$A$8,0)))/INDEX('分群統計'!$S$5:$S$8,MATCH(X136,'分群統計'!$A$5:$A$8,0)))),0)),""))</f>
        <v/>
      </c>
      <c r="AQ136" s="31">
        <f>IF(Y136=1,(IF(ISNUMBER(AF136),AF136,0)*'參數'!$B$13+IF(ISNUMBER(AM136),AM136,0)*'參數'!$B$14+IF(ISNUMBER(AO136),AO136,0)*'參數'!$B$15+IF(ISNUMBER(AP136),AP136,0)*'參數'!$B$16)/('參數'!$B$13+'參數'!$B$14+'參數'!$B$15+'參數'!$B$16),"")</f>
        <v/>
      </c>
      <c r="AR136" s="35">
        <f>IF(Y136=1,(SUMPRODUCT(($X$5:$X$404=X136)*($Y$5:$Y$404=1)*($BD$5:$BD$404&gt;BD136))+1)/COUNTIFS($X$5:$X$404,X136,$Y$5:$Y$404,1),"")</f>
        <v/>
      </c>
      <c r="AS136" s="8">
        <f>IF(ISNUMBER(AR136),IF(AR136&lt;='參數'!$B$18,"加碼候選",IF(AR136&gt;'參數'!$B$19,"減碼候選","")),"")</f>
        <v/>
      </c>
      <c r="AT136" s="7">
        <f>IF(Y136=1,N136,0)</f>
        <v/>
      </c>
      <c r="AU136" s="7">
        <f>IF(Y136=1,LN(O136),0)</f>
        <v/>
      </c>
      <c r="AV136" s="36">
        <f>IF(Y136=1,IF(ISNUMBER(F136),F136,0),0)</f>
        <v/>
      </c>
      <c r="AW136" s="7">
        <f>IF(Y136=1,Z136,0)</f>
        <v/>
      </c>
      <c r="AX136" s="7">
        <f>IF(Y136=1,IF(ISNUMBER(AL136),AL136,0),0)</f>
        <v/>
      </c>
      <c r="AY136" s="7">
        <f>IF(Y136=1,IF(ISNUMBER(AL136),1,0),0)</f>
        <v/>
      </c>
      <c r="AZ136" s="7">
        <f>IF(Y136=1,IF(ISNUMBER(AN136),AN136,0),0)</f>
        <v/>
      </c>
      <c r="BA136" s="7">
        <f>IF(Y136=1,IF(ISNUMBER(AN136),1,0),0)</f>
        <v/>
      </c>
      <c r="BB136" s="7">
        <f>IF(Y136=1,IF(ISNUMBER(T136),T136,0),0)</f>
        <v/>
      </c>
      <c r="BC136" s="7">
        <f>IF(Y136=1,IF(ISNUMBER(T136),1,0),0)</f>
        <v/>
      </c>
      <c r="BD136" s="7">
        <f>IF(Y136=1,AQ136+ROW()/1E9,-1E9)</f>
        <v/>
      </c>
      <c r="BE136" s="7">
        <f>IF(Y136=1,AQ136+ROW()/1E9,1E9)</f>
        <v/>
      </c>
    </row>
    <row r="137">
      <c r="A137" s="16" t="n"/>
      <c r="B137" s="8">
        <f>IF($A137="","",BDP($A137,B$3))</f>
        <v/>
      </c>
      <c r="C137" s="8">
        <f>IF($A137="","",BDP($A137,C$3))</f>
        <v/>
      </c>
      <c r="D137" s="28">
        <f>IF($A137="","",BDP($A137,D$3))</f>
        <v/>
      </c>
      <c r="E137" s="29">
        <f>IF($A137="","",BDP($A137,E$3))</f>
        <v/>
      </c>
      <c r="F137" s="17">
        <f>IF($A137="","",BDP($A137,F$3))</f>
        <v/>
      </c>
      <c r="G137" s="8">
        <f>IF($A137="","",BDP($A137,G$3))</f>
        <v/>
      </c>
      <c r="H137" s="8">
        <f>IF($A137="","",BDP($A137,H$3))</f>
        <v/>
      </c>
      <c r="I137" s="8">
        <f>IF($A137="","",BDP($A137,I$3))</f>
        <v/>
      </c>
      <c r="J137" s="8">
        <f>IF($A137="","",BDP($A137,J$3))</f>
        <v/>
      </c>
      <c r="K137" s="8">
        <f>IF($A137="","",BDP($A137,K$3))</f>
        <v/>
      </c>
      <c r="L137" s="28">
        <f>IF($A137="","",BDP($A137,L$3))</f>
        <v/>
      </c>
      <c r="M137" s="28">
        <f>IF($A137="","",BDP($A137,M$3))</f>
        <v/>
      </c>
      <c r="N137" s="30">
        <f>IF($A137="","",BDP($A137,N$3))</f>
        <v/>
      </c>
      <c r="O137" s="31">
        <f>IF($A137="","",BDP($A137,O$3))</f>
        <v/>
      </c>
      <c r="P137" s="30">
        <f>IF($A137="","",BDH($A137,$N$3,'參數'!$B$5,'參數'!$B$5,"Days=A","Fill=P","Dates=H"))</f>
        <v/>
      </c>
      <c r="Q137" s="30">
        <f>IF($A137="","",BDH($A137,$N$3,'參數'!$B$6,'參數'!$B$6,"Days=A","Fill=P","Dates=H"))</f>
        <v/>
      </c>
      <c r="R137" s="30">
        <f>IF($A137="","",BDH($A137,$N$3,'參數'!$B$7,'參數'!$B$7,"Days=A","Fill=P","Dates=H"))</f>
        <v/>
      </c>
      <c r="S137" s="32">
        <f>IF($A137="","",IFERROR(INDEX('發行人'!$A$5:$A$44,MATCH(B137,'發行人'!$D$5:$D$44,0)),"未對應"))</f>
        <v/>
      </c>
      <c r="T137" s="24">
        <f>IF($A137="","",IFERROR(INDEX('發行人'!$G$5:$G$44,MATCH(B137,'發行人'!$D$5:$D$44,0))+0,""))</f>
        <v/>
      </c>
      <c r="U137" s="18">
        <f>IF(ISNUMBER(E137),YEARFRAC('參數'!$B$4,E137),"")</f>
        <v/>
      </c>
      <c r="V137" s="8">
        <f>IF(U137="","",IF(U137&lt;3,"1-3y",IF(U137&lt;5,"3-5y",IF(U137&lt;7,"5-7y",IF(U137&lt;10,"7-10y","10y+")))))</f>
        <v/>
      </c>
      <c r="W137" s="30">
        <f>IF($A137="","",IFERROR(INDEX('參數'!$B$24:$B$45,MATCH(G137,'參數'!$A$24:$A$45,0)),""))</f>
        <v/>
      </c>
      <c r="X137" s="8">
        <f>IF($A137="","",IFERROR(INDEX('參數'!$C$24:$C$45,MATCH(G137,'參數'!$A$24:$A$45,0)),""))</f>
        <v/>
      </c>
      <c r="Y137" s="30">
        <f>IF(AND(ISNUMBER(N137),ISNUMBER(O137),ISNUMBER(U137)),IF(AND(O137&gt;0,X137&lt;&gt;""),1,0),0)</f>
        <v/>
      </c>
      <c r="Z137" s="17">
        <f>IF(Y137=1,O137*N137,"")</f>
        <v/>
      </c>
      <c r="AA137" s="33">
        <f>IF(Y137=1,IF(ISNUMBER(Q137),N137-Q137,""),"")</f>
        <v/>
      </c>
      <c r="AB137" s="33">
        <f>IF(Y137=1,IF(AND(ISNUMBER(P137),ISNUMBER(R137)),R137*5/12-O137*(P137-R137),""),"")</f>
        <v/>
      </c>
      <c r="AC137" s="30">
        <f>IF(Y137=1,COUNTIFS($X$5:$X$404,X137,$V$5:$V$404,V137,$Y$5:$Y$404,1),"")</f>
        <v/>
      </c>
      <c r="AD137" s="30">
        <f>IF(Y137=1,IFERROR(IF(AC137&gt;='參數'!$B$9,INDEX('分群統計'!$G$13:$K$16,MATCH(X137,'分群統計'!$A$13:$A$16,0),MATCH(V137,'分群統計'!$G$12:$K$12,0)),INDEX('分群統計'!$I$5:$I$8,MATCH(X137,'分群統計'!$A$5:$A$8,0))),""),"")</f>
        <v/>
      </c>
      <c r="AE137" s="18">
        <f>IF(Y137=1,IFERROR(IF(AC137&gt;='參數'!$B$9,INDEX('分群統計'!$L$13:$P$16,MATCH(X137,'分群統計'!$A$13:$A$16,0),MATCH(V137,'分群統計'!$L$12:$P$12,0)),INDEX('分群統計'!$J$5:$J$8,MATCH(X137,'分群統計'!$A$5:$A$8,0))),""),"")</f>
        <v/>
      </c>
      <c r="AF137" s="31">
        <f>IF(ISNUMBER(AE137),IF(AE137&gt;0,MAX(-3,MIN(3,(N137-AD137)/AE137)),0),"")</f>
        <v/>
      </c>
      <c r="AG137" s="30">
        <f>IF(Y137=1,COUNTIFS($B$5:$B$404,B137,$Y$5:$Y$404,1),"")</f>
        <v/>
      </c>
      <c r="AH137" s="30">
        <f>IF(Y137=1,IFERROR(IF(ISNUMBER(INDEX('分群統計'!$G$20:$G$59,MATCH(B137,'分群統計'!$A$20:$A$59,0))),INDEX('分群統計'!$H$20:$H$59,MATCH(B137,'分群統計'!$A$20:$A$59,0))+INDEX('分群統計'!$G$20:$G$59,MATCH(B137,'分群統計'!$A$20:$A$59,0))*AU137,""),""),"")</f>
        <v/>
      </c>
      <c r="AI137" s="34">
        <f>IF(ISNUMBER(AH137),N137-AH137,"")</f>
        <v/>
      </c>
      <c r="AJ137" s="30">
        <f>IF(Y137=1,IFERROR(IF(ISNUMBER(INDEX('分群統計'!$G$5:$G$8,MATCH(X137,'分群統計'!$A$5:$A$8,0))),INDEX('分群統計'!$H$5:$H$8,MATCH(X137,'分群統計'!$A$5:$A$8,0))+INDEX('分群統計'!$G$5:$G$8,MATCH(X137,'分群統計'!$A$5:$A$8,0))*AU137,""),""),"")</f>
        <v/>
      </c>
      <c r="AK137" s="34">
        <f>IF(ISNUMBER(AJ137),N137-AJ137,"")</f>
        <v/>
      </c>
      <c r="AL137" s="21">
        <f>IF(ISNUMBER(AJ137),IF(AJ137&gt;0,AK137/AJ137,""),"")</f>
        <v/>
      </c>
      <c r="AM137" s="31">
        <f>IF(AY137&lt;&gt;1,"",IFERROR(IF(INDEX('分群統計'!$K$5:$K$8,MATCH(X137,'分群統計'!$A$5:$A$8,0))&lt;3,"",IF(INDEX('分群統計'!$M$5:$M$8,MATCH(X137,'分群統計'!$A$5:$A$8,0))&gt;0,MAX(-3,MIN(3,(AX137-INDEX('分群統計'!$L$5:$L$8,MATCH(X137,'分群統計'!$A$5:$A$8,0)))/INDEX('分群統計'!$M$5:$M$8,MATCH(X137,'分群統計'!$A$5:$A$8,0)))),0)),""))</f>
        <v/>
      </c>
      <c r="AN137" s="31">
        <f>IF(ISNUMBER(AB137),IF(Z137&gt;0,AB137/Z137*100,""),"")</f>
        <v/>
      </c>
      <c r="AO137" s="31">
        <f>IF(BA137&lt;&gt;1,"",IFERROR(IF(INDEX('分群統計'!$N$5:$N$8,MATCH(X137,'分群統計'!$A$5:$A$8,0))&lt;3,"",IF(INDEX('分群統計'!$P$5:$P$8,MATCH(X137,'分群統計'!$A$5:$A$8,0))&gt;0,MAX(-3,MIN(3,(AZ137-INDEX('分群統計'!$O$5:$O$8,MATCH(X137,'分群統計'!$A$5:$A$8,0)))/INDEX('分群統計'!$P$5:$P$8,MATCH(X137,'分群統計'!$A$5:$A$8,0)))),0)),""))</f>
        <v/>
      </c>
      <c r="AP137" s="31">
        <f>IF(BC137&lt;&gt;1,"",IFERROR(IF(INDEX('分群統計'!$Q$5:$Q$8,MATCH(X137,'分群統計'!$A$5:$A$8,0))&lt;3,"",IF(INDEX('分群統計'!$S$5:$S$8,MATCH(X137,'分群統計'!$A$5:$A$8,0))&gt;0,MAX(-3,MIN(3,(BB137-INDEX('分群統計'!$R$5:$R$8,MATCH(X137,'分群統計'!$A$5:$A$8,0)))/INDEX('分群統計'!$S$5:$S$8,MATCH(X137,'分群統計'!$A$5:$A$8,0)))),0)),""))</f>
        <v/>
      </c>
      <c r="AQ137" s="31">
        <f>IF(Y137=1,(IF(ISNUMBER(AF137),AF137,0)*'參數'!$B$13+IF(ISNUMBER(AM137),AM137,0)*'參數'!$B$14+IF(ISNUMBER(AO137),AO137,0)*'參數'!$B$15+IF(ISNUMBER(AP137),AP137,0)*'參數'!$B$16)/('參數'!$B$13+'參數'!$B$14+'參數'!$B$15+'參數'!$B$16),"")</f>
        <v/>
      </c>
      <c r="AR137" s="35">
        <f>IF(Y137=1,(SUMPRODUCT(($X$5:$X$404=X137)*($Y$5:$Y$404=1)*($BD$5:$BD$404&gt;BD137))+1)/COUNTIFS($X$5:$X$404,X137,$Y$5:$Y$404,1),"")</f>
        <v/>
      </c>
      <c r="AS137" s="8">
        <f>IF(ISNUMBER(AR137),IF(AR137&lt;='參數'!$B$18,"加碼候選",IF(AR137&gt;'參數'!$B$19,"減碼候選","")),"")</f>
        <v/>
      </c>
      <c r="AT137" s="7">
        <f>IF(Y137=1,N137,0)</f>
        <v/>
      </c>
      <c r="AU137" s="7">
        <f>IF(Y137=1,LN(O137),0)</f>
        <v/>
      </c>
      <c r="AV137" s="36">
        <f>IF(Y137=1,IF(ISNUMBER(F137),F137,0),0)</f>
        <v/>
      </c>
      <c r="AW137" s="7">
        <f>IF(Y137=1,Z137,0)</f>
        <v/>
      </c>
      <c r="AX137" s="7">
        <f>IF(Y137=1,IF(ISNUMBER(AL137),AL137,0),0)</f>
        <v/>
      </c>
      <c r="AY137" s="7">
        <f>IF(Y137=1,IF(ISNUMBER(AL137),1,0),0)</f>
        <v/>
      </c>
      <c r="AZ137" s="7">
        <f>IF(Y137=1,IF(ISNUMBER(AN137),AN137,0),0)</f>
        <v/>
      </c>
      <c r="BA137" s="7">
        <f>IF(Y137=1,IF(ISNUMBER(AN137),1,0),0)</f>
        <v/>
      </c>
      <c r="BB137" s="7">
        <f>IF(Y137=1,IF(ISNUMBER(T137),T137,0),0)</f>
        <v/>
      </c>
      <c r="BC137" s="7">
        <f>IF(Y137=1,IF(ISNUMBER(T137),1,0),0)</f>
        <v/>
      </c>
      <c r="BD137" s="7">
        <f>IF(Y137=1,AQ137+ROW()/1E9,-1E9)</f>
        <v/>
      </c>
      <c r="BE137" s="7">
        <f>IF(Y137=1,AQ137+ROW()/1E9,1E9)</f>
        <v/>
      </c>
    </row>
    <row r="138">
      <c r="A138" s="16" t="n"/>
      <c r="B138" s="8">
        <f>IF($A138="","",BDP($A138,B$3))</f>
        <v/>
      </c>
      <c r="C138" s="8">
        <f>IF($A138="","",BDP($A138,C$3))</f>
        <v/>
      </c>
      <c r="D138" s="28">
        <f>IF($A138="","",BDP($A138,D$3))</f>
        <v/>
      </c>
      <c r="E138" s="29">
        <f>IF($A138="","",BDP($A138,E$3))</f>
        <v/>
      </c>
      <c r="F138" s="17">
        <f>IF($A138="","",BDP($A138,F$3))</f>
        <v/>
      </c>
      <c r="G138" s="8">
        <f>IF($A138="","",BDP($A138,G$3))</f>
        <v/>
      </c>
      <c r="H138" s="8">
        <f>IF($A138="","",BDP($A138,H$3))</f>
        <v/>
      </c>
      <c r="I138" s="8">
        <f>IF($A138="","",BDP($A138,I$3))</f>
        <v/>
      </c>
      <c r="J138" s="8">
        <f>IF($A138="","",BDP($A138,J$3))</f>
        <v/>
      </c>
      <c r="K138" s="8">
        <f>IF($A138="","",BDP($A138,K$3))</f>
        <v/>
      </c>
      <c r="L138" s="28">
        <f>IF($A138="","",BDP($A138,L$3))</f>
        <v/>
      </c>
      <c r="M138" s="28">
        <f>IF($A138="","",BDP($A138,M$3))</f>
        <v/>
      </c>
      <c r="N138" s="30">
        <f>IF($A138="","",BDP($A138,N$3))</f>
        <v/>
      </c>
      <c r="O138" s="31">
        <f>IF($A138="","",BDP($A138,O$3))</f>
        <v/>
      </c>
      <c r="P138" s="30">
        <f>IF($A138="","",BDH($A138,$N$3,'參數'!$B$5,'參數'!$B$5,"Days=A","Fill=P","Dates=H"))</f>
        <v/>
      </c>
      <c r="Q138" s="30">
        <f>IF($A138="","",BDH($A138,$N$3,'參數'!$B$6,'參數'!$B$6,"Days=A","Fill=P","Dates=H"))</f>
        <v/>
      </c>
      <c r="R138" s="30">
        <f>IF($A138="","",BDH($A138,$N$3,'參數'!$B$7,'參數'!$B$7,"Days=A","Fill=P","Dates=H"))</f>
        <v/>
      </c>
      <c r="S138" s="32">
        <f>IF($A138="","",IFERROR(INDEX('發行人'!$A$5:$A$44,MATCH(B138,'發行人'!$D$5:$D$44,0)),"未對應"))</f>
        <v/>
      </c>
      <c r="T138" s="24">
        <f>IF($A138="","",IFERROR(INDEX('發行人'!$G$5:$G$44,MATCH(B138,'發行人'!$D$5:$D$44,0))+0,""))</f>
        <v/>
      </c>
      <c r="U138" s="18">
        <f>IF(ISNUMBER(E138),YEARFRAC('參數'!$B$4,E138),"")</f>
        <v/>
      </c>
      <c r="V138" s="8">
        <f>IF(U138="","",IF(U138&lt;3,"1-3y",IF(U138&lt;5,"3-5y",IF(U138&lt;7,"5-7y",IF(U138&lt;10,"7-10y","10y+")))))</f>
        <v/>
      </c>
      <c r="W138" s="30">
        <f>IF($A138="","",IFERROR(INDEX('參數'!$B$24:$B$45,MATCH(G138,'參數'!$A$24:$A$45,0)),""))</f>
        <v/>
      </c>
      <c r="X138" s="8">
        <f>IF($A138="","",IFERROR(INDEX('參數'!$C$24:$C$45,MATCH(G138,'參數'!$A$24:$A$45,0)),""))</f>
        <v/>
      </c>
      <c r="Y138" s="30">
        <f>IF(AND(ISNUMBER(N138),ISNUMBER(O138),ISNUMBER(U138)),IF(AND(O138&gt;0,X138&lt;&gt;""),1,0),0)</f>
        <v/>
      </c>
      <c r="Z138" s="17">
        <f>IF(Y138=1,O138*N138,"")</f>
        <v/>
      </c>
      <c r="AA138" s="33">
        <f>IF(Y138=1,IF(ISNUMBER(Q138),N138-Q138,""),"")</f>
        <v/>
      </c>
      <c r="AB138" s="33">
        <f>IF(Y138=1,IF(AND(ISNUMBER(P138),ISNUMBER(R138)),R138*5/12-O138*(P138-R138),""),"")</f>
        <v/>
      </c>
      <c r="AC138" s="30">
        <f>IF(Y138=1,COUNTIFS($X$5:$X$404,X138,$V$5:$V$404,V138,$Y$5:$Y$404,1),"")</f>
        <v/>
      </c>
      <c r="AD138" s="30">
        <f>IF(Y138=1,IFERROR(IF(AC138&gt;='參數'!$B$9,INDEX('分群統計'!$G$13:$K$16,MATCH(X138,'分群統計'!$A$13:$A$16,0),MATCH(V138,'分群統計'!$G$12:$K$12,0)),INDEX('分群統計'!$I$5:$I$8,MATCH(X138,'分群統計'!$A$5:$A$8,0))),""),"")</f>
        <v/>
      </c>
      <c r="AE138" s="18">
        <f>IF(Y138=1,IFERROR(IF(AC138&gt;='參數'!$B$9,INDEX('分群統計'!$L$13:$P$16,MATCH(X138,'分群統計'!$A$13:$A$16,0),MATCH(V138,'分群統計'!$L$12:$P$12,0)),INDEX('分群統計'!$J$5:$J$8,MATCH(X138,'分群統計'!$A$5:$A$8,0))),""),"")</f>
        <v/>
      </c>
      <c r="AF138" s="31">
        <f>IF(ISNUMBER(AE138),IF(AE138&gt;0,MAX(-3,MIN(3,(N138-AD138)/AE138)),0),"")</f>
        <v/>
      </c>
      <c r="AG138" s="30">
        <f>IF(Y138=1,COUNTIFS($B$5:$B$404,B138,$Y$5:$Y$404,1),"")</f>
        <v/>
      </c>
      <c r="AH138" s="30">
        <f>IF(Y138=1,IFERROR(IF(ISNUMBER(INDEX('分群統計'!$G$20:$G$59,MATCH(B138,'分群統計'!$A$20:$A$59,0))),INDEX('分群統計'!$H$20:$H$59,MATCH(B138,'分群統計'!$A$20:$A$59,0))+INDEX('分群統計'!$G$20:$G$59,MATCH(B138,'分群統計'!$A$20:$A$59,0))*AU138,""),""),"")</f>
        <v/>
      </c>
      <c r="AI138" s="34">
        <f>IF(ISNUMBER(AH138),N138-AH138,"")</f>
        <v/>
      </c>
      <c r="AJ138" s="30">
        <f>IF(Y138=1,IFERROR(IF(ISNUMBER(INDEX('分群統計'!$G$5:$G$8,MATCH(X138,'分群統計'!$A$5:$A$8,0))),INDEX('分群統計'!$H$5:$H$8,MATCH(X138,'分群統計'!$A$5:$A$8,0))+INDEX('分群統計'!$G$5:$G$8,MATCH(X138,'分群統計'!$A$5:$A$8,0))*AU138,""),""),"")</f>
        <v/>
      </c>
      <c r="AK138" s="34">
        <f>IF(ISNUMBER(AJ138),N138-AJ138,"")</f>
        <v/>
      </c>
      <c r="AL138" s="21">
        <f>IF(ISNUMBER(AJ138),IF(AJ138&gt;0,AK138/AJ138,""),"")</f>
        <v/>
      </c>
      <c r="AM138" s="31">
        <f>IF(AY138&lt;&gt;1,"",IFERROR(IF(INDEX('分群統計'!$K$5:$K$8,MATCH(X138,'分群統計'!$A$5:$A$8,0))&lt;3,"",IF(INDEX('分群統計'!$M$5:$M$8,MATCH(X138,'分群統計'!$A$5:$A$8,0))&gt;0,MAX(-3,MIN(3,(AX138-INDEX('分群統計'!$L$5:$L$8,MATCH(X138,'分群統計'!$A$5:$A$8,0)))/INDEX('分群統計'!$M$5:$M$8,MATCH(X138,'分群統計'!$A$5:$A$8,0)))),0)),""))</f>
        <v/>
      </c>
      <c r="AN138" s="31">
        <f>IF(ISNUMBER(AB138),IF(Z138&gt;0,AB138/Z138*100,""),"")</f>
        <v/>
      </c>
      <c r="AO138" s="31">
        <f>IF(BA138&lt;&gt;1,"",IFERROR(IF(INDEX('分群統計'!$N$5:$N$8,MATCH(X138,'分群統計'!$A$5:$A$8,0))&lt;3,"",IF(INDEX('分群統計'!$P$5:$P$8,MATCH(X138,'分群統計'!$A$5:$A$8,0))&gt;0,MAX(-3,MIN(3,(AZ138-INDEX('分群統計'!$O$5:$O$8,MATCH(X138,'分群統計'!$A$5:$A$8,0)))/INDEX('分群統計'!$P$5:$P$8,MATCH(X138,'分群統計'!$A$5:$A$8,0)))),0)),""))</f>
        <v/>
      </c>
      <c r="AP138" s="31">
        <f>IF(BC138&lt;&gt;1,"",IFERROR(IF(INDEX('分群統計'!$Q$5:$Q$8,MATCH(X138,'分群統計'!$A$5:$A$8,0))&lt;3,"",IF(INDEX('分群統計'!$S$5:$S$8,MATCH(X138,'分群統計'!$A$5:$A$8,0))&gt;0,MAX(-3,MIN(3,(BB138-INDEX('分群統計'!$R$5:$R$8,MATCH(X138,'分群統計'!$A$5:$A$8,0)))/INDEX('分群統計'!$S$5:$S$8,MATCH(X138,'分群統計'!$A$5:$A$8,0)))),0)),""))</f>
        <v/>
      </c>
      <c r="AQ138" s="31">
        <f>IF(Y138=1,(IF(ISNUMBER(AF138),AF138,0)*'參數'!$B$13+IF(ISNUMBER(AM138),AM138,0)*'參數'!$B$14+IF(ISNUMBER(AO138),AO138,0)*'參數'!$B$15+IF(ISNUMBER(AP138),AP138,0)*'參數'!$B$16)/('參數'!$B$13+'參數'!$B$14+'參數'!$B$15+'參數'!$B$16),"")</f>
        <v/>
      </c>
      <c r="AR138" s="35">
        <f>IF(Y138=1,(SUMPRODUCT(($X$5:$X$404=X138)*($Y$5:$Y$404=1)*($BD$5:$BD$404&gt;BD138))+1)/COUNTIFS($X$5:$X$404,X138,$Y$5:$Y$404,1),"")</f>
        <v/>
      </c>
      <c r="AS138" s="8">
        <f>IF(ISNUMBER(AR138),IF(AR138&lt;='參數'!$B$18,"加碼候選",IF(AR138&gt;'參數'!$B$19,"減碼候選","")),"")</f>
        <v/>
      </c>
      <c r="AT138" s="7">
        <f>IF(Y138=1,N138,0)</f>
        <v/>
      </c>
      <c r="AU138" s="7">
        <f>IF(Y138=1,LN(O138),0)</f>
        <v/>
      </c>
      <c r="AV138" s="36">
        <f>IF(Y138=1,IF(ISNUMBER(F138),F138,0),0)</f>
        <v/>
      </c>
      <c r="AW138" s="7">
        <f>IF(Y138=1,Z138,0)</f>
        <v/>
      </c>
      <c r="AX138" s="7">
        <f>IF(Y138=1,IF(ISNUMBER(AL138),AL138,0),0)</f>
        <v/>
      </c>
      <c r="AY138" s="7">
        <f>IF(Y138=1,IF(ISNUMBER(AL138),1,0),0)</f>
        <v/>
      </c>
      <c r="AZ138" s="7">
        <f>IF(Y138=1,IF(ISNUMBER(AN138),AN138,0),0)</f>
        <v/>
      </c>
      <c r="BA138" s="7">
        <f>IF(Y138=1,IF(ISNUMBER(AN138),1,0),0)</f>
        <v/>
      </c>
      <c r="BB138" s="7">
        <f>IF(Y138=1,IF(ISNUMBER(T138),T138,0),0)</f>
        <v/>
      </c>
      <c r="BC138" s="7">
        <f>IF(Y138=1,IF(ISNUMBER(T138),1,0),0)</f>
        <v/>
      </c>
      <c r="BD138" s="7">
        <f>IF(Y138=1,AQ138+ROW()/1E9,-1E9)</f>
        <v/>
      </c>
      <c r="BE138" s="7">
        <f>IF(Y138=1,AQ138+ROW()/1E9,1E9)</f>
        <v/>
      </c>
    </row>
    <row r="139">
      <c r="A139" s="16" t="n"/>
      <c r="B139" s="8">
        <f>IF($A139="","",BDP($A139,B$3))</f>
        <v/>
      </c>
      <c r="C139" s="8">
        <f>IF($A139="","",BDP($A139,C$3))</f>
        <v/>
      </c>
      <c r="D139" s="28">
        <f>IF($A139="","",BDP($A139,D$3))</f>
        <v/>
      </c>
      <c r="E139" s="29">
        <f>IF($A139="","",BDP($A139,E$3))</f>
        <v/>
      </c>
      <c r="F139" s="17">
        <f>IF($A139="","",BDP($A139,F$3))</f>
        <v/>
      </c>
      <c r="G139" s="8">
        <f>IF($A139="","",BDP($A139,G$3))</f>
        <v/>
      </c>
      <c r="H139" s="8">
        <f>IF($A139="","",BDP($A139,H$3))</f>
        <v/>
      </c>
      <c r="I139" s="8">
        <f>IF($A139="","",BDP($A139,I$3))</f>
        <v/>
      </c>
      <c r="J139" s="8">
        <f>IF($A139="","",BDP($A139,J$3))</f>
        <v/>
      </c>
      <c r="K139" s="8">
        <f>IF($A139="","",BDP($A139,K$3))</f>
        <v/>
      </c>
      <c r="L139" s="28">
        <f>IF($A139="","",BDP($A139,L$3))</f>
        <v/>
      </c>
      <c r="M139" s="28">
        <f>IF($A139="","",BDP($A139,M$3))</f>
        <v/>
      </c>
      <c r="N139" s="30">
        <f>IF($A139="","",BDP($A139,N$3))</f>
        <v/>
      </c>
      <c r="O139" s="31">
        <f>IF($A139="","",BDP($A139,O$3))</f>
        <v/>
      </c>
      <c r="P139" s="30">
        <f>IF($A139="","",BDH($A139,$N$3,'參數'!$B$5,'參數'!$B$5,"Days=A","Fill=P","Dates=H"))</f>
        <v/>
      </c>
      <c r="Q139" s="30">
        <f>IF($A139="","",BDH($A139,$N$3,'參數'!$B$6,'參數'!$B$6,"Days=A","Fill=P","Dates=H"))</f>
        <v/>
      </c>
      <c r="R139" s="30">
        <f>IF($A139="","",BDH($A139,$N$3,'參數'!$B$7,'參數'!$B$7,"Days=A","Fill=P","Dates=H"))</f>
        <v/>
      </c>
      <c r="S139" s="32">
        <f>IF($A139="","",IFERROR(INDEX('發行人'!$A$5:$A$44,MATCH(B139,'發行人'!$D$5:$D$44,0)),"未對應"))</f>
        <v/>
      </c>
      <c r="T139" s="24">
        <f>IF($A139="","",IFERROR(INDEX('發行人'!$G$5:$G$44,MATCH(B139,'發行人'!$D$5:$D$44,0))+0,""))</f>
        <v/>
      </c>
      <c r="U139" s="18">
        <f>IF(ISNUMBER(E139),YEARFRAC('參數'!$B$4,E139),"")</f>
        <v/>
      </c>
      <c r="V139" s="8">
        <f>IF(U139="","",IF(U139&lt;3,"1-3y",IF(U139&lt;5,"3-5y",IF(U139&lt;7,"5-7y",IF(U139&lt;10,"7-10y","10y+")))))</f>
        <v/>
      </c>
      <c r="W139" s="30">
        <f>IF($A139="","",IFERROR(INDEX('參數'!$B$24:$B$45,MATCH(G139,'參數'!$A$24:$A$45,0)),""))</f>
        <v/>
      </c>
      <c r="X139" s="8">
        <f>IF($A139="","",IFERROR(INDEX('參數'!$C$24:$C$45,MATCH(G139,'參數'!$A$24:$A$45,0)),""))</f>
        <v/>
      </c>
      <c r="Y139" s="30">
        <f>IF(AND(ISNUMBER(N139),ISNUMBER(O139),ISNUMBER(U139)),IF(AND(O139&gt;0,X139&lt;&gt;""),1,0),0)</f>
        <v/>
      </c>
      <c r="Z139" s="17">
        <f>IF(Y139=1,O139*N139,"")</f>
        <v/>
      </c>
      <c r="AA139" s="33">
        <f>IF(Y139=1,IF(ISNUMBER(Q139),N139-Q139,""),"")</f>
        <v/>
      </c>
      <c r="AB139" s="33">
        <f>IF(Y139=1,IF(AND(ISNUMBER(P139),ISNUMBER(R139)),R139*5/12-O139*(P139-R139),""),"")</f>
        <v/>
      </c>
      <c r="AC139" s="30">
        <f>IF(Y139=1,COUNTIFS($X$5:$X$404,X139,$V$5:$V$404,V139,$Y$5:$Y$404,1),"")</f>
        <v/>
      </c>
      <c r="AD139" s="30">
        <f>IF(Y139=1,IFERROR(IF(AC139&gt;='參數'!$B$9,INDEX('分群統計'!$G$13:$K$16,MATCH(X139,'分群統計'!$A$13:$A$16,0),MATCH(V139,'分群統計'!$G$12:$K$12,0)),INDEX('分群統計'!$I$5:$I$8,MATCH(X139,'分群統計'!$A$5:$A$8,0))),""),"")</f>
        <v/>
      </c>
      <c r="AE139" s="18">
        <f>IF(Y139=1,IFERROR(IF(AC139&gt;='參數'!$B$9,INDEX('分群統計'!$L$13:$P$16,MATCH(X139,'分群統計'!$A$13:$A$16,0),MATCH(V139,'分群統計'!$L$12:$P$12,0)),INDEX('分群統計'!$J$5:$J$8,MATCH(X139,'分群統計'!$A$5:$A$8,0))),""),"")</f>
        <v/>
      </c>
      <c r="AF139" s="31">
        <f>IF(ISNUMBER(AE139),IF(AE139&gt;0,MAX(-3,MIN(3,(N139-AD139)/AE139)),0),"")</f>
        <v/>
      </c>
      <c r="AG139" s="30">
        <f>IF(Y139=1,COUNTIFS($B$5:$B$404,B139,$Y$5:$Y$404,1),"")</f>
        <v/>
      </c>
      <c r="AH139" s="30">
        <f>IF(Y139=1,IFERROR(IF(ISNUMBER(INDEX('分群統計'!$G$20:$G$59,MATCH(B139,'分群統計'!$A$20:$A$59,0))),INDEX('分群統計'!$H$20:$H$59,MATCH(B139,'分群統計'!$A$20:$A$59,0))+INDEX('分群統計'!$G$20:$G$59,MATCH(B139,'分群統計'!$A$20:$A$59,0))*AU139,""),""),"")</f>
        <v/>
      </c>
      <c r="AI139" s="34">
        <f>IF(ISNUMBER(AH139),N139-AH139,"")</f>
        <v/>
      </c>
      <c r="AJ139" s="30">
        <f>IF(Y139=1,IFERROR(IF(ISNUMBER(INDEX('分群統計'!$G$5:$G$8,MATCH(X139,'分群統計'!$A$5:$A$8,0))),INDEX('分群統計'!$H$5:$H$8,MATCH(X139,'分群統計'!$A$5:$A$8,0))+INDEX('分群統計'!$G$5:$G$8,MATCH(X139,'分群統計'!$A$5:$A$8,0))*AU139,""),""),"")</f>
        <v/>
      </c>
      <c r="AK139" s="34">
        <f>IF(ISNUMBER(AJ139),N139-AJ139,"")</f>
        <v/>
      </c>
      <c r="AL139" s="21">
        <f>IF(ISNUMBER(AJ139),IF(AJ139&gt;0,AK139/AJ139,""),"")</f>
        <v/>
      </c>
      <c r="AM139" s="31">
        <f>IF(AY139&lt;&gt;1,"",IFERROR(IF(INDEX('分群統計'!$K$5:$K$8,MATCH(X139,'分群統計'!$A$5:$A$8,0))&lt;3,"",IF(INDEX('分群統計'!$M$5:$M$8,MATCH(X139,'分群統計'!$A$5:$A$8,0))&gt;0,MAX(-3,MIN(3,(AX139-INDEX('分群統計'!$L$5:$L$8,MATCH(X139,'分群統計'!$A$5:$A$8,0)))/INDEX('分群統計'!$M$5:$M$8,MATCH(X139,'分群統計'!$A$5:$A$8,0)))),0)),""))</f>
        <v/>
      </c>
      <c r="AN139" s="31">
        <f>IF(ISNUMBER(AB139),IF(Z139&gt;0,AB139/Z139*100,""),"")</f>
        <v/>
      </c>
      <c r="AO139" s="31">
        <f>IF(BA139&lt;&gt;1,"",IFERROR(IF(INDEX('分群統計'!$N$5:$N$8,MATCH(X139,'分群統計'!$A$5:$A$8,0))&lt;3,"",IF(INDEX('分群統計'!$P$5:$P$8,MATCH(X139,'分群統計'!$A$5:$A$8,0))&gt;0,MAX(-3,MIN(3,(AZ139-INDEX('分群統計'!$O$5:$O$8,MATCH(X139,'分群統計'!$A$5:$A$8,0)))/INDEX('分群統計'!$P$5:$P$8,MATCH(X139,'分群統計'!$A$5:$A$8,0)))),0)),""))</f>
        <v/>
      </c>
      <c r="AP139" s="31">
        <f>IF(BC139&lt;&gt;1,"",IFERROR(IF(INDEX('分群統計'!$Q$5:$Q$8,MATCH(X139,'分群統計'!$A$5:$A$8,0))&lt;3,"",IF(INDEX('分群統計'!$S$5:$S$8,MATCH(X139,'分群統計'!$A$5:$A$8,0))&gt;0,MAX(-3,MIN(3,(BB139-INDEX('分群統計'!$R$5:$R$8,MATCH(X139,'分群統計'!$A$5:$A$8,0)))/INDEX('分群統計'!$S$5:$S$8,MATCH(X139,'分群統計'!$A$5:$A$8,0)))),0)),""))</f>
        <v/>
      </c>
      <c r="AQ139" s="31">
        <f>IF(Y139=1,(IF(ISNUMBER(AF139),AF139,0)*'參數'!$B$13+IF(ISNUMBER(AM139),AM139,0)*'參數'!$B$14+IF(ISNUMBER(AO139),AO139,0)*'參數'!$B$15+IF(ISNUMBER(AP139),AP139,0)*'參數'!$B$16)/('參數'!$B$13+'參數'!$B$14+'參數'!$B$15+'參數'!$B$16),"")</f>
        <v/>
      </c>
      <c r="AR139" s="35">
        <f>IF(Y139=1,(SUMPRODUCT(($X$5:$X$404=X139)*($Y$5:$Y$404=1)*($BD$5:$BD$404&gt;BD139))+1)/COUNTIFS($X$5:$X$404,X139,$Y$5:$Y$404,1),"")</f>
        <v/>
      </c>
      <c r="AS139" s="8">
        <f>IF(ISNUMBER(AR139),IF(AR139&lt;='參數'!$B$18,"加碼候選",IF(AR139&gt;'參數'!$B$19,"減碼候選","")),"")</f>
        <v/>
      </c>
      <c r="AT139" s="7">
        <f>IF(Y139=1,N139,0)</f>
        <v/>
      </c>
      <c r="AU139" s="7">
        <f>IF(Y139=1,LN(O139),0)</f>
        <v/>
      </c>
      <c r="AV139" s="36">
        <f>IF(Y139=1,IF(ISNUMBER(F139),F139,0),0)</f>
        <v/>
      </c>
      <c r="AW139" s="7">
        <f>IF(Y139=1,Z139,0)</f>
        <v/>
      </c>
      <c r="AX139" s="7">
        <f>IF(Y139=1,IF(ISNUMBER(AL139),AL139,0),0)</f>
        <v/>
      </c>
      <c r="AY139" s="7">
        <f>IF(Y139=1,IF(ISNUMBER(AL139),1,0),0)</f>
        <v/>
      </c>
      <c r="AZ139" s="7">
        <f>IF(Y139=1,IF(ISNUMBER(AN139),AN139,0),0)</f>
        <v/>
      </c>
      <c r="BA139" s="7">
        <f>IF(Y139=1,IF(ISNUMBER(AN139),1,0),0)</f>
        <v/>
      </c>
      <c r="BB139" s="7">
        <f>IF(Y139=1,IF(ISNUMBER(T139),T139,0),0)</f>
        <v/>
      </c>
      <c r="BC139" s="7">
        <f>IF(Y139=1,IF(ISNUMBER(T139),1,0),0)</f>
        <v/>
      </c>
      <c r="BD139" s="7">
        <f>IF(Y139=1,AQ139+ROW()/1E9,-1E9)</f>
        <v/>
      </c>
      <c r="BE139" s="7">
        <f>IF(Y139=1,AQ139+ROW()/1E9,1E9)</f>
        <v/>
      </c>
    </row>
    <row r="140">
      <c r="A140" s="16" t="n"/>
      <c r="B140" s="8">
        <f>IF($A140="","",BDP($A140,B$3))</f>
        <v/>
      </c>
      <c r="C140" s="8">
        <f>IF($A140="","",BDP($A140,C$3))</f>
        <v/>
      </c>
      <c r="D140" s="28">
        <f>IF($A140="","",BDP($A140,D$3))</f>
        <v/>
      </c>
      <c r="E140" s="29">
        <f>IF($A140="","",BDP($A140,E$3))</f>
        <v/>
      </c>
      <c r="F140" s="17">
        <f>IF($A140="","",BDP($A140,F$3))</f>
        <v/>
      </c>
      <c r="G140" s="8">
        <f>IF($A140="","",BDP($A140,G$3))</f>
        <v/>
      </c>
      <c r="H140" s="8">
        <f>IF($A140="","",BDP($A140,H$3))</f>
        <v/>
      </c>
      <c r="I140" s="8">
        <f>IF($A140="","",BDP($A140,I$3))</f>
        <v/>
      </c>
      <c r="J140" s="8">
        <f>IF($A140="","",BDP($A140,J$3))</f>
        <v/>
      </c>
      <c r="K140" s="8">
        <f>IF($A140="","",BDP($A140,K$3))</f>
        <v/>
      </c>
      <c r="L140" s="28">
        <f>IF($A140="","",BDP($A140,L$3))</f>
        <v/>
      </c>
      <c r="M140" s="28">
        <f>IF($A140="","",BDP($A140,M$3))</f>
        <v/>
      </c>
      <c r="N140" s="30">
        <f>IF($A140="","",BDP($A140,N$3))</f>
        <v/>
      </c>
      <c r="O140" s="31">
        <f>IF($A140="","",BDP($A140,O$3))</f>
        <v/>
      </c>
      <c r="P140" s="30">
        <f>IF($A140="","",BDH($A140,$N$3,'參數'!$B$5,'參數'!$B$5,"Days=A","Fill=P","Dates=H"))</f>
        <v/>
      </c>
      <c r="Q140" s="30">
        <f>IF($A140="","",BDH($A140,$N$3,'參數'!$B$6,'參數'!$B$6,"Days=A","Fill=P","Dates=H"))</f>
        <v/>
      </c>
      <c r="R140" s="30">
        <f>IF($A140="","",BDH($A140,$N$3,'參數'!$B$7,'參數'!$B$7,"Days=A","Fill=P","Dates=H"))</f>
        <v/>
      </c>
      <c r="S140" s="32">
        <f>IF($A140="","",IFERROR(INDEX('發行人'!$A$5:$A$44,MATCH(B140,'發行人'!$D$5:$D$44,0)),"未對應"))</f>
        <v/>
      </c>
      <c r="T140" s="24">
        <f>IF($A140="","",IFERROR(INDEX('發行人'!$G$5:$G$44,MATCH(B140,'發行人'!$D$5:$D$44,0))+0,""))</f>
        <v/>
      </c>
      <c r="U140" s="18">
        <f>IF(ISNUMBER(E140),YEARFRAC('參數'!$B$4,E140),"")</f>
        <v/>
      </c>
      <c r="V140" s="8">
        <f>IF(U140="","",IF(U140&lt;3,"1-3y",IF(U140&lt;5,"3-5y",IF(U140&lt;7,"5-7y",IF(U140&lt;10,"7-10y","10y+")))))</f>
        <v/>
      </c>
      <c r="W140" s="30">
        <f>IF($A140="","",IFERROR(INDEX('參數'!$B$24:$B$45,MATCH(G140,'參數'!$A$24:$A$45,0)),""))</f>
        <v/>
      </c>
      <c r="X140" s="8">
        <f>IF($A140="","",IFERROR(INDEX('參數'!$C$24:$C$45,MATCH(G140,'參數'!$A$24:$A$45,0)),""))</f>
        <v/>
      </c>
      <c r="Y140" s="30">
        <f>IF(AND(ISNUMBER(N140),ISNUMBER(O140),ISNUMBER(U140)),IF(AND(O140&gt;0,X140&lt;&gt;""),1,0),0)</f>
        <v/>
      </c>
      <c r="Z140" s="17">
        <f>IF(Y140=1,O140*N140,"")</f>
        <v/>
      </c>
      <c r="AA140" s="33">
        <f>IF(Y140=1,IF(ISNUMBER(Q140),N140-Q140,""),"")</f>
        <v/>
      </c>
      <c r="AB140" s="33">
        <f>IF(Y140=1,IF(AND(ISNUMBER(P140),ISNUMBER(R140)),R140*5/12-O140*(P140-R140),""),"")</f>
        <v/>
      </c>
      <c r="AC140" s="30">
        <f>IF(Y140=1,COUNTIFS($X$5:$X$404,X140,$V$5:$V$404,V140,$Y$5:$Y$404,1),"")</f>
        <v/>
      </c>
      <c r="AD140" s="30">
        <f>IF(Y140=1,IFERROR(IF(AC140&gt;='參數'!$B$9,INDEX('分群統計'!$G$13:$K$16,MATCH(X140,'分群統計'!$A$13:$A$16,0),MATCH(V140,'分群統計'!$G$12:$K$12,0)),INDEX('分群統計'!$I$5:$I$8,MATCH(X140,'分群統計'!$A$5:$A$8,0))),""),"")</f>
        <v/>
      </c>
      <c r="AE140" s="18">
        <f>IF(Y140=1,IFERROR(IF(AC140&gt;='參數'!$B$9,INDEX('分群統計'!$L$13:$P$16,MATCH(X140,'分群統計'!$A$13:$A$16,0),MATCH(V140,'分群統計'!$L$12:$P$12,0)),INDEX('分群統計'!$J$5:$J$8,MATCH(X140,'分群統計'!$A$5:$A$8,0))),""),"")</f>
        <v/>
      </c>
      <c r="AF140" s="31">
        <f>IF(ISNUMBER(AE140),IF(AE140&gt;0,MAX(-3,MIN(3,(N140-AD140)/AE140)),0),"")</f>
        <v/>
      </c>
      <c r="AG140" s="30">
        <f>IF(Y140=1,COUNTIFS($B$5:$B$404,B140,$Y$5:$Y$404,1),"")</f>
        <v/>
      </c>
      <c r="AH140" s="30">
        <f>IF(Y140=1,IFERROR(IF(ISNUMBER(INDEX('分群統計'!$G$20:$G$59,MATCH(B140,'分群統計'!$A$20:$A$59,0))),INDEX('分群統計'!$H$20:$H$59,MATCH(B140,'分群統計'!$A$20:$A$59,0))+INDEX('分群統計'!$G$20:$G$59,MATCH(B140,'分群統計'!$A$20:$A$59,0))*AU140,""),""),"")</f>
        <v/>
      </c>
      <c r="AI140" s="34">
        <f>IF(ISNUMBER(AH140),N140-AH140,"")</f>
        <v/>
      </c>
      <c r="AJ140" s="30">
        <f>IF(Y140=1,IFERROR(IF(ISNUMBER(INDEX('分群統計'!$G$5:$G$8,MATCH(X140,'分群統計'!$A$5:$A$8,0))),INDEX('分群統計'!$H$5:$H$8,MATCH(X140,'分群統計'!$A$5:$A$8,0))+INDEX('分群統計'!$G$5:$G$8,MATCH(X140,'分群統計'!$A$5:$A$8,0))*AU140,""),""),"")</f>
        <v/>
      </c>
      <c r="AK140" s="34">
        <f>IF(ISNUMBER(AJ140),N140-AJ140,"")</f>
        <v/>
      </c>
      <c r="AL140" s="21">
        <f>IF(ISNUMBER(AJ140),IF(AJ140&gt;0,AK140/AJ140,""),"")</f>
        <v/>
      </c>
      <c r="AM140" s="31">
        <f>IF(AY140&lt;&gt;1,"",IFERROR(IF(INDEX('分群統計'!$K$5:$K$8,MATCH(X140,'分群統計'!$A$5:$A$8,0))&lt;3,"",IF(INDEX('分群統計'!$M$5:$M$8,MATCH(X140,'分群統計'!$A$5:$A$8,0))&gt;0,MAX(-3,MIN(3,(AX140-INDEX('分群統計'!$L$5:$L$8,MATCH(X140,'分群統計'!$A$5:$A$8,0)))/INDEX('分群統計'!$M$5:$M$8,MATCH(X140,'分群統計'!$A$5:$A$8,0)))),0)),""))</f>
        <v/>
      </c>
      <c r="AN140" s="31">
        <f>IF(ISNUMBER(AB140),IF(Z140&gt;0,AB140/Z140*100,""),"")</f>
        <v/>
      </c>
      <c r="AO140" s="31">
        <f>IF(BA140&lt;&gt;1,"",IFERROR(IF(INDEX('分群統計'!$N$5:$N$8,MATCH(X140,'分群統計'!$A$5:$A$8,0))&lt;3,"",IF(INDEX('分群統計'!$P$5:$P$8,MATCH(X140,'分群統計'!$A$5:$A$8,0))&gt;0,MAX(-3,MIN(3,(AZ140-INDEX('分群統計'!$O$5:$O$8,MATCH(X140,'分群統計'!$A$5:$A$8,0)))/INDEX('分群統計'!$P$5:$P$8,MATCH(X140,'分群統計'!$A$5:$A$8,0)))),0)),""))</f>
        <v/>
      </c>
      <c r="AP140" s="31">
        <f>IF(BC140&lt;&gt;1,"",IFERROR(IF(INDEX('分群統計'!$Q$5:$Q$8,MATCH(X140,'分群統計'!$A$5:$A$8,0))&lt;3,"",IF(INDEX('分群統計'!$S$5:$S$8,MATCH(X140,'分群統計'!$A$5:$A$8,0))&gt;0,MAX(-3,MIN(3,(BB140-INDEX('分群統計'!$R$5:$R$8,MATCH(X140,'分群統計'!$A$5:$A$8,0)))/INDEX('分群統計'!$S$5:$S$8,MATCH(X140,'分群統計'!$A$5:$A$8,0)))),0)),""))</f>
        <v/>
      </c>
      <c r="AQ140" s="31">
        <f>IF(Y140=1,(IF(ISNUMBER(AF140),AF140,0)*'參數'!$B$13+IF(ISNUMBER(AM140),AM140,0)*'參數'!$B$14+IF(ISNUMBER(AO140),AO140,0)*'參數'!$B$15+IF(ISNUMBER(AP140),AP140,0)*'參數'!$B$16)/('參數'!$B$13+'參數'!$B$14+'參數'!$B$15+'參數'!$B$16),"")</f>
        <v/>
      </c>
      <c r="AR140" s="35">
        <f>IF(Y140=1,(SUMPRODUCT(($X$5:$X$404=X140)*($Y$5:$Y$404=1)*($BD$5:$BD$404&gt;BD140))+1)/COUNTIFS($X$5:$X$404,X140,$Y$5:$Y$404,1),"")</f>
        <v/>
      </c>
      <c r="AS140" s="8">
        <f>IF(ISNUMBER(AR140),IF(AR140&lt;='參數'!$B$18,"加碼候選",IF(AR140&gt;'參數'!$B$19,"減碼候選","")),"")</f>
        <v/>
      </c>
      <c r="AT140" s="7">
        <f>IF(Y140=1,N140,0)</f>
        <v/>
      </c>
      <c r="AU140" s="7">
        <f>IF(Y140=1,LN(O140),0)</f>
        <v/>
      </c>
      <c r="AV140" s="36">
        <f>IF(Y140=1,IF(ISNUMBER(F140),F140,0),0)</f>
        <v/>
      </c>
      <c r="AW140" s="7">
        <f>IF(Y140=1,Z140,0)</f>
        <v/>
      </c>
      <c r="AX140" s="7">
        <f>IF(Y140=1,IF(ISNUMBER(AL140),AL140,0),0)</f>
        <v/>
      </c>
      <c r="AY140" s="7">
        <f>IF(Y140=1,IF(ISNUMBER(AL140),1,0),0)</f>
        <v/>
      </c>
      <c r="AZ140" s="7">
        <f>IF(Y140=1,IF(ISNUMBER(AN140),AN140,0),0)</f>
        <v/>
      </c>
      <c r="BA140" s="7">
        <f>IF(Y140=1,IF(ISNUMBER(AN140),1,0),0)</f>
        <v/>
      </c>
      <c r="BB140" s="7">
        <f>IF(Y140=1,IF(ISNUMBER(T140),T140,0),0)</f>
        <v/>
      </c>
      <c r="BC140" s="7">
        <f>IF(Y140=1,IF(ISNUMBER(T140),1,0),0)</f>
        <v/>
      </c>
      <c r="BD140" s="7">
        <f>IF(Y140=1,AQ140+ROW()/1E9,-1E9)</f>
        <v/>
      </c>
      <c r="BE140" s="7">
        <f>IF(Y140=1,AQ140+ROW()/1E9,1E9)</f>
        <v/>
      </c>
    </row>
    <row r="141">
      <c r="A141" s="16" t="n"/>
      <c r="B141" s="8">
        <f>IF($A141="","",BDP($A141,B$3))</f>
        <v/>
      </c>
      <c r="C141" s="8">
        <f>IF($A141="","",BDP($A141,C$3))</f>
        <v/>
      </c>
      <c r="D141" s="28">
        <f>IF($A141="","",BDP($A141,D$3))</f>
        <v/>
      </c>
      <c r="E141" s="29">
        <f>IF($A141="","",BDP($A141,E$3))</f>
        <v/>
      </c>
      <c r="F141" s="17">
        <f>IF($A141="","",BDP($A141,F$3))</f>
        <v/>
      </c>
      <c r="G141" s="8">
        <f>IF($A141="","",BDP($A141,G$3))</f>
        <v/>
      </c>
      <c r="H141" s="8">
        <f>IF($A141="","",BDP($A141,H$3))</f>
        <v/>
      </c>
      <c r="I141" s="8">
        <f>IF($A141="","",BDP($A141,I$3))</f>
        <v/>
      </c>
      <c r="J141" s="8">
        <f>IF($A141="","",BDP($A141,J$3))</f>
        <v/>
      </c>
      <c r="K141" s="8">
        <f>IF($A141="","",BDP($A141,K$3))</f>
        <v/>
      </c>
      <c r="L141" s="28">
        <f>IF($A141="","",BDP($A141,L$3))</f>
        <v/>
      </c>
      <c r="M141" s="28">
        <f>IF($A141="","",BDP($A141,M$3))</f>
        <v/>
      </c>
      <c r="N141" s="30">
        <f>IF($A141="","",BDP($A141,N$3))</f>
        <v/>
      </c>
      <c r="O141" s="31">
        <f>IF($A141="","",BDP($A141,O$3))</f>
        <v/>
      </c>
      <c r="P141" s="30">
        <f>IF($A141="","",BDH($A141,$N$3,'參數'!$B$5,'參數'!$B$5,"Days=A","Fill=P","Dates=H"))</f>
        <v/>
      </c>
      <c r="Q141" s="30">
        <f>IF($A141="","",BDH($A141,$N$3,'參數'!$B$6,'參數'!$B$6,"Days=A","Fill=P","Dates=H"))</f>
        <v/>
      </c>
      <c r="R141" s="30">
        <f>IF($A141="","",BDH($A141,$N$3,'參數'!$B$7,'參數'!$B$7,"Days=A","Fill=P","Dates=H"))</f>
        <v/>
      </c>
      <c r="S141" s="32">
        <f>IF($A141="","",IFERROR(INDEX('發行人'!$A$5:$A$44,MATCH(B141,'發行人'!$D$5:$D$44,0)),"未對應"))</f>
        <v/>
      </c>
      <c r="T141" s="24">
        <f>IF($A141="","",IFERROR(INDEX('發行人'!$G$5:$G$44,MATCH(B141,'發行人'!$D$5:$D$44,0))+0,""))</f>
        <v/>
      </c>
      <c r="U141" s="18">
        <f>IF(ISNUMBER(E141),YEARFRAC('參數'!$B$4,E141),"")</f>
        <v/>
      </c>
      <c r="V141" s="8">
        <f>IF(U141="","",IF(U141&lt;3,"1-3y",IF(U141&lt;5,"3-5y",IF(U141&lt;7,"5-7y",IF(U141&lt;10,"7-10y","10y+")))))</f>
        <v/>
      </c>
      <c r="W141" s="30">
        <f>IF($A141="","",IFERROR(INDEX('參數'!$B$24:$B$45,MATCH(G141,'參數'!$A$24:$A$45,0)),""))</f>
        <v/>
      </c>
      <c r="X141" s="8">
        <f>IF($A141="","",IFERROR(INDEX('參數'!$C$24:$C$45,MATCH(G141,'參數'!$A$24:$A$45,0)),""))</f>
        <v/>
      </c>
      <c r="Y141" s="30">
        <f>IF(AND(ISNUMBER(N141),ISNUMBER(O141),ISNUMBER(U141)),IF(AND(O141&gt;0,X141&lt;&gt;""),1,0),0)</f>
        <v/>
      </c>
      <c r="Z141" s="17">
        <f>IF(Y141=1,O141*N141,"")</f>
        <v/>
      </c>
      <c r="AA141" s="33">
        <f>IF(Y141=1,IF(ISNUMBER(Q141),N141-Q141,""),"")</f>
        <v/>
      </c>
      <c r="AB141" s="33">
        <f>IF(Y141=1,IF(AND(ISNUMBER(P141),ISNUMBER(R141)),R141*5/12-O141*(P141-R141),""),"")</f>
        <v/>
      </c>
      <c r="AC141" s="30">
        <f>IF(Y141=1,COUNTIFS($X$5:$X$404,X141,$V$5:$V$404,V141,$Y$5:$Y$404,1),"")</f>
        <v/>
      </c>
      <c r="AD141" s="30">
        <f>IF(Y141=1,IFERROR(IF(AC141&gt;='參數'!$B$9,INDEX('分群統計'!$G$13:$K$16,MATCH(X141,'分群統計'!$A$13:$A$16,0),MATCH(V141,'分群統計'!$G$12:$K$12,0)),INDEX('分群統計'!$I$5:$I$8,MATCH(X141,'分群統計'!$A$5:$A$8,0))),""),"")</f>
        <v/>
      </c>
      <c r="AE141" s="18">
        <f>IF(Y141=1,IFERROR(IF(AC141&gt;='參數'!$B$9,INDEX('分群統計'!$L$13:$P$16,MATCH(X141,'分群統計'!$A$13:$A$16,0),MATCH(V141,'分群統計'!$L$12:$P$12,0)),INDEX('分群統計'!$J$5:$J$8,MATCH(X141,'分群統計'!$A$5:$A$8,0))),""),"")</f>
        <v/>
      </c>
      <c r="AF141" s="31">
        <f>IF(ISNUMBER(AE141),IF(AE141&gt;0,MAX(-3,MIN(3,(N141-AD141)/AE141)),0),"")</f>
        <v/>
      </c>
      <c r="AG141" s="30">
        <f>IF(Y141=1,COUNTIFS($B$5:$B$404,B141,$Y$5:$Y$404,1),"")</f>
        <v/>
      </c>
      <c r="AH141" s="30">
        <f>IF(Y141=1,IFERROR(IF(ISNUMBER(INDEX('分群統計'!$G$20:$G$59,MATCH(B141,'分群統計'!$A$20:$A$59,0))),INDEX('分群統計'!$H$20:$H$59,MATCH(B141,'分群統計'!$A$20:$A$59,0))+INDEX('分群統計'!$G$20:$G$59,MATCH(B141,'分群統計'!$A$20:$A$59,0))*AU141,""),""),"")</f>
        <v/>
      </c>
      <c r="AI141" s="34">
        <f>IF(ISNUMBER(AH141),N141-AH141,"")</f>
        <v/>
      </c>
      <c r="AJ141" s="30">
        <f>IF(Y141=1,IFERROR(IF(ISNUMBER(INDEX('分群統計'!$G$5:$G$8,MATCH(X141,'分群統計'!$A$5:$A$8,0))),INDEX('分群統計'!$H$5:$H$8,MATCH(X141,'分群統計'!$A$5:$A$8,0))+INDEX('分群統計'!$G$5:$G$8,MATCH(X141,'分群統計'!$A$5:$A$8,0))*AU141,""),""),"")</f>
        <v/>
      </c>
      <c r="AK141" s="34">
        <f>IF(ISNUMBER(AJ141),N141-AJ141,"")</f>
        <v/>
      </c>
      <c r="AL141" s="21">
        <f>IF(ISNUMBER(AJ141),IF(AJ141&gt;0,AK141/AJ141,""),"")</f>
        <v/>
      </c>
      <c r="AM141" s="31">
        <f>IF(AY141&lt;&gt;1,"",IFERROR(IF(INDEX('分群統計'!$K$5:$K$8,MATCH(X141,'分群統計'!$A$5:$A$8,0))&lt;3,"",IF(INDEX('分群統計'!$M$5:$M$8,MATCH(X141,'分群統計'!$A$5:$A$8,0))&gt;0,MAX(-3,MIN(3,(AX141-INDEX('分群統計'!$L$5:$L$8,MATCH(X141,'分群統計'!$A$5:$A$8,0)))/INDEX('分群統計'!$M$5:$M$8,MATCH(X141,'分群統計'!$A$5:$A$8,0)))),0)),""))</f>
        <v/>
      </c>
      <c r="AN141" s="31">
        <f>IF(ISNUMBER(AB141),IF(Z141&gt;0,AB141/Z141*100,""),"")</f>
        <v/>
      </c>
      <c r="AO141" s="31">
        <f>IF(BA141&lt;&gt;1,"",IFERROR(IF(INDEX('分群統計'!$N$5:$N$8,MATCH(X141,'分群統計'!$A$5:$A$8,0))&lt;3,"",IF(INDEX('分群統計'!$P$5:$P$8,MATCH(X141,'分群統計'!$A$5:$A$8,0))&gt;0,MAX(-3,MIN(3,(AZ141-INDEX('分群統計'!$O$5:$O$8,MATCH(X141,'分群統計'!$A$5:$A$8,0)))/INDEX('分群統計'!$P$5:$P$8,MATCH(X141,'分群統計'!$A$5:$A$8,0)))),0)),""))</f>
        <v/>
      </c>
      <c r="AP141" s="31">
        <f>IF(BC141&lt;&gt;1,"",IFERROR(IF(INDEX('分群統計'!$Q$5:$Q$8,MATCH(X141,'分群統計'!$A$5:$A$8,0))&lt;3,"",IF(INDEX('分群統計'!$S$5:$S$8,MATCH(X141,'分群統計'!$A$5:$A$8,0))&gt;0,MAX(-3,MIN(3,(BB141-INDEX('分群統計'!$R$5:$R$8,MATCH(X141,'分群統計'!$A$5:$A$8,0)))/INDEX('分群統計'!$S$5:$S$8,MATCH(X141,'分群統計'!$A$5:$A$8,0)))),0)),""))</f>
        <v/>
      </c>
      <c r="AQ141" s="31">
        <f>IF(Y141=1,(IF(ISNUMBER(AF141),AF141,0)*'參數'!$B$13+IF(ISNUMBER(AM141),AM141,0)*'參數'!$B$14+IF(ISNUMBER(AO141),AO141,0)*'參數'!$B$15+IF(ISNUMBER(AP141),AP141,0)*'參數'!$B$16)/('參數'!$B$13+'參數'!$B$14+'參數'!$B$15+'參數'!$B$16),"")</f>
        <v/>
      </c>
      <c r="AR141" s="35">
        <f>IF(Y141=1,(SUMPRODUCT(($X$5:$X$404=X141)*($Y$5:$Y$404=1)*($BD$5:$BD$404&gt;BD141))+1)/COUNTIFS($X$5:$X$404,X141,$Y$5:$Y$404,1),"")</f>
        <v/>
      </c>
      <c r="AS141" s="8">
        <f>IF(ISNUMBER(AR141),IF(AR141&lt;='參數'!$B$18,"加碼候選",IF(AR141&gt;'參數'!$B$19,"減碼候選","")),"")</f>
        <v/>
      </c>
      <c r="AT141" s="7">
        <f>IF(Y141=1,N141,0)</f>
        <v/>
      </c>
      <c r="AU141" s="7">
        <f>IF(Y141=1,LN(O141),0)</f>
        <v/>
      </c>
      <c r="AV141" s="36">
        <f>IF(Y141=1,IF(ISNUMBER(F141),F141,0),0)</f>
        <v/>
      </c>
      <c r="AW141" s="7">
        <f>IF(Y141=1,Z141,0)</f>
        <v/>
      </c>
      <c r="AX141" s="7">
        <f>IF(Y141=1,IF(ISNUMBER(AL141),AL141,0),0)</f>
        <v/>
      </c>
      <c r="AY141" s="7">
        <f>IF(Y141=1,IF(ISNUMBER(AL141),1,0),0)</f>
        <v/>
      </c>
      <c r="AZ141" s="7">
        <f>IF(Y141=1,IF(ISNUMBER(AN141),AN141,0),0)</f>
        <v/>
      </c>
      <c r="BA141" s="7">
        <f>IF(Y141=1,IF(ISNUMBER(AN141),1,0),0)</f>
        <v/>
      </c>
      <c r="BB141" s="7">
        <f>IF(Y141=1,IF(ISNUMBER(T141),T141,0),0)</f>
        <v/>
      </c>
      <c r="BC141" s="7">
        <f>IF(Y141=1,IF(ISNUMBER(T141),1,0),0)</f>
        <v/>
      </c>
      <c r="BD141" s="7">
        <f>IF(Y141=1,AQ141+ROW()/1E9,-1E9)</f>
        <v/>
      </c>
      <c r="BE141" s="7">
        <f>IF(Y141=1,AQ141+ROW()/1E9,1E9)</f>
        <v/>
      </c>
    </row>
    <row r="142">
      <c r="A142" s="16" t="n"/>
      <c r="B142" s="8">
        <f>IF($A142="","",BDP($A142,B$3))</f>
        <v/>
      </c>
      <c r="C142" s="8">
        <f>IF($A142="","",BDP($A142,C$3))</f>
        <v/>
      </c>
      <c r="D142" s="28">
        <f>IF($A142="","",BDP($A142,D$3))</f>
        <v/>
      </c>
      <c r="E142" s="29">
        <f>IF($A142="","",BDP($A142,E$3))</f>
        <v/>
      </c>
      <c r="F142" s="17">
        <f>IF($A142="","",BDP($A142,F$3))</f>
        <v/>
      </c>
      <c r="G142" s="8">
        <f>IF($A142="","",BDP($A142,G$3))</f>
        <v/>
      </c>
      <c r="H142" s="8">
        <f>IF($A142="","",BDP($A142,H$3))</f>
        <v/>
      </c>
      <c r="I142" s="8">
        <f>IF($A142="","",BDP($A142,I$3))</f>
        <v/>
      </c>
      <c r="J142" s="8">
        <f>IF($A142="","",BDP($A142,J$3))</f>
        <v/>
      </c>
      <c r="K142" s="8">
        <f>IF($A142="","",BDP($A142,K$3))</f>
        <v/>
      </c>
      <c r="L142" s="28">
        <f>IF($A142="","",BDP($A142,L$3))</f>
        <v/>
      </c>
      <c r="M142" s="28">
        <f>IF($A142="","",BDP($A142,M$3))</f>
        <v/>
      </c>
      <c r="N142" s="30">
        <f>IF($A142="","",BDP($A142,N$3))</f>
        <v/>
      </c>
      <c r="O142" s="31">
        <f>IF($A142="","",BDP($A142,O$3))</f>
        <v/>
      </c>
      <c r="P142" s="30">
        <f>IF($A142="","",BDH($A142,$N$3,'參數'!$B$5,'參數'!$B$5,"Days=A","Fill=P","Dates=H"))</f>
        <v/>
      </c>
      <c r="Q142" s="30">
        <f>IF($A142="","",BDH($A142,$N$3,'參數'!$B$6,'參數'!$B$6,"Days=A","Fill=P","Dates=H"))</f>
        <v/>
      </c>
      <c r="R142" s="30">
        <f>IF($A142="","",BDH($A142,$N$3,'參數'!$B$7,'參數'!$B$7,"Days=A","Fill=P","Dates=H"))</f>
        <v/>
      </c>
      <c r="S142" s="32">
        <f>IF($A142="","",IFERROR(INDEX('發行人'!$A$5:$A$44,MATCH(B142,'發行人'!$D$5:$D$44,0)),"未對應"))</f>
        <v/>
      </c>
      <c r="T142" s="24">
        <f>IF($A142="","",IFERROR(INDEX('發行人'!$G$5:$G$44,MATCH(B142,'發行人'!$D$5:$D$44,0))+0,""))</f>
        <v/>
      </c>
      <c r="U142" s="18">
        <f>IF(ISNUMBER(E142),YEARFRAC('參數'!$B$4,E142),"")</f>
        <v/>
      </c>
      <c r="V142" s="8">
        <f>IF(U142="","",IF(U142&lt;3,"1-3y",IF(U142&lt;5,"3-5y",IF(U142&lt;7,"5-7y",IF(U142&lt;10,"7-10y","10y+")))))</f>
        <v/>
      </c>
      <c r="W142" s="30">
        <f>IF($A142="","",IFERROR(INDEX('參數'!$B$24:$B$45,MATCH(G142,'參數'!$A$24:$A$45,0)),""))</f>
        <v/>
      </c>
      <c r="X142" s="8">
        <f>IF($A142="","",IFERROR(INDEX('參數'!$C$24:$C$45,MATCH(G142,'參數'!$A$24:$A$45,0)),""))</f>
        <v/>
      </c>
      <c r="Y142" s="30">
        <f>IF(AND(ISNUMBER(N142),ISNUMBER(O142),ISNUMBER(U142)),IF(AND(O142&gt;0,X142&lt;&gt;""),1,0),0)</f>
        <v/>
      </c>
      <c r="Z142" s="17">
        <f>IF(Y142=1,O142*N142,"")</f>
        <v/>
      </c>
      <c r="AA142" s="33">
        <f>IF(Y142=1,IF(ISNUMBER(Q142),N142-Q142,""),"")</f>
        <v/>
      </c>
      <c r="AB142" s="33">
        <f>IF(Y142=1,IF(AND(ISNUMBER(P142),ISNUMBER(R142)),R142*5/12-O142*(P142-R142),""),"")</f>
        <v/>
      </c>
      <c r="AC142" s="30">
        <f>IF(Y142=1,COUNTIFS($X$5:$X$404,X142,$V$5:$V$404,V142,$Y$5:$Y$404,1),"")</f>
        <v/>
      </c>
      <c r="AD142" s="30">
        <f>IF(Y142=1,IFERROR(IF(AC142&gt;='參數'!$B$9,INDEX('分群統計'!$G$13:$K$16,MATCH(X142,'分群統計'!$A$13:$A$16,0),MATCH(V142,'分群統計'!$G$12:$K$12,0)),INDEX('分群統計'!$I$5:$I$8,MATCH(X142,'分群統計'!$A$5:$A$8,0))),""),"")</f>
        <v/>
      </c>
      <c r="AE142" s="18">
        <f>IF(Y142=1,IFERROR(IF(AC142&gt;='參數'!$B$9,INDEX('分群統計'!$L$13:$P$16,MATCH(X142,'分群統計'!$A$13:$A$16,0),MATCH(V142,'分群統計'!$L$12:$P$12,0)),INDEX('分群統計'!$J$5:$J$8,MATCH(X142,'分群統計'!$A$5:$A$8,0))),""),"")</f>
        <v/>
      </c>
      <c r="AF142" s="31">
        <f>IF(ISNUMBER(AE142),IF(AE142&gt;0,MAX(-3,MIN(3,(N142-AD142)/AE142)),0),"")</f>
        <v/>
      </c>
      <c r="AG142" s="30">
        <f>IF(Y142=1,COUNTIFS($B$5:$B$404,B142,$Y$5:$Y$404,1),"")</f>
        <v/>
      </c>
      <c r="AH142" s="30">
        <f>IF(Y142=1,IFERROR(IF(ISNUMBER(INDEX('分群統計'!$G$20:$G$59,MATCH(B142,'分群統計'!$A$20:$A$59,0))),INDEX('分群統計'!$H$20:$H$59,MATCH(B142,'分群統計'!$A$20:$A$59,0))+INDEX('分群統計'!$G$20:$G$59,MATCH(B142,'分群統計'!$A$20:$A$59,0))*AU142,""),""),"")</f>
        <v/>
      </c>
      <c r="AI142" s="34">
        <f>IF(ISNUMBER(AH142),N142-AH142,"")</f>
        <v/>
      </c>
      <c r="AJ142" s="30">
        <f>IF(Y142=1,IFERROR(IF(ISNUMBER(INDEX('分群統計'!$G$5:$G$8,MATCH(X142,'分群統計'!$A$5:$A$8,0))),INDEX('分群統計'!$H$5:$H$8,MATCH(X142,'分群統計'!$A$5:$A$8,0))+INDEX('分群統計'!$G$5:$G$8,MATCH(X142,'分群統計'!$A$5:$A$8,0))*AU142,""),""),"")</f>
        <v/>
      </c>
      <c r="AK142" s="34">
        <f>IF(ISNUMBER(AJ142),N142-AJ142,"")</f>
        <v/>
      </c>
      <c r="AL142" s="21">
        <f>IF(ISNUMBER(AJ142),IF(AJ142&gt;0,AK142/AJ142,""),"")</f>
        <v/>
      </c>
      <c r="AM142" s="31">
        <f>IF(AY142&lt;&gt;1,"",IFERROR(IF(INDEX('分群統計'!$K$5:$K$8,MATCH(X142,'分群統計'!$A$5:$A$8,0))&lt;3,"",IF(INDEX('分群統計'!$M$5:$M$8,MATCH(X142,'分群統計'!$A$5:$A$8,0))&gt;0,MAX(-3,MIN(3,(AX142-INDEX('分群統計'!$L$5:$L$8,MATCH(X142,'分群統計'!$A$5:$A$8,0)))/INDEX('分群統計'!$M$5:$M$8,MATCH(X142,'分群統計'!$A$5:$A$8,0)))),0)),""))</f>
        <v/>
      </c>
      <c r="AN142" s="31">
        <f>IF(ISNUMBER(AB142),IF(Z142&gt;0,AB142/Z142*100,""),"")</f>
        <v/>
      </c>
      <c r="AO142" s="31">
        <f>IF(BA142&lt;&gt;1,"",IFERROR(IF(INDEX('分群統計'!$N$5:$N$8,MATCH(X142,'分群統計'!$A$5:$A$8,0))&lt;3,"",IF(INDEX('分群統計'!$P$5:$P$8,MATCH(X142,'分群統計'!$A$5:$A$8,0))&gt;0,MAX(-3,MIN(3,(AZ142-INDEX('分群統計'!$O$5:$O$8,MATCH(X142,'分群統計'!$A$5:$A$8,0)))/INDEX('分群統計'!$P$5:$P$8,MATCH(X142,'分群統計'!$A$5:$A$8,0)))),0)),""))</f>
        <v/>
      </c>
      <c r="AP142" s="31">
        <f>IF(BC142&lt;&gt;1,"",IFERROR(IF(INDEX('分群統計'!$Q$5:$Q$8,MATCH(X142,'分群統計'!$A$5:$A$8,0))&lt;3,"",IF(INDEX('分群統計'!$S$5:$S$8,MATCH(X142,'分群統計'!$A$5:$A$8,0))&gt;0,MAX(-3,MIN(3,(BB142-INDEX('分群統計'!$R$5:$R$8,MATCH(X142,'分群統計'!$A$5:$A$8,0)))/INDEX('分群統計'!$S$5:$S$8,MATCH(X142,'分群統計'!$A$5:$A$8,0)))),0)),""))</f>
        <v/>
      </c>
      <c r="AQ142" s="31">
        <f>IF(Y142=1,(IF(ISNUMBER(AF142),AF142,0)*'參數'!$B$13+IF(ISNUMBER(AM142),AM142,0)*'參數'!$B$14+IF(ISNUMBER(AO142),AO142,0)*'參數'!$B$15+IF(ISNUMBER(AP142),AP142,0)*'參數'!$B$16)/('參數'!$B$13+'參數'!$B$14+'參數'!$B$15+'參數'!$B$16),"")</f>
        <v/>
      </c>
      <c r="AR142" s="35">
        <f>IF(Y142=1,(SUMPRODUCT(($X$5:$X$404=X142)*($Y$5:$Y$404=1)*($BD$5:$BD$404&gt;BD142))+1)/COUNTIFS($X$5:$X$404,X142,$Y$5:$Y$404,1),"")</f>
        <v/>
      </c>
      <c r="AS142" s="8">
        <f>IF(ISNUMBER(AR142),IF(AR142&lt;='參數'!$B$18,"加碼候選",IF(AR142&gt;'參數'!$B$19,"減碼候選","")),"")</f>
        <v/>
      </c>
      <c r="AT142" s="7">
        <f>IF(Y142=1,N142,0)</f>
        <v/>
      </c>
      <c r="AU142" s="7">
        <f>IF(Y142=1,LN(O142),0)</f>
        <v/>
      </c>
      <c r="AV142" s="36">
        <f>IF(Y142=1,IF(ISNUMBER(F142),F142,0),0)</f>
        <v/>
      </c>
      <c r="AW142" s="7">
        <f>IF(Y142=1,Z142,0)</f>
        <v/>
      </c>
      <c r="AX142" s="7">
        <f>IF(Y142=1,IF(ISNUMBER(AL142),AL142,0),0)</f>
        <v/>
      </c>
      <c r="AY142" s="7">
        <f>IF(Y142=1,IF(ISNUMBER(AL142),1,0),0)</f>
        <v/>
      </c>
      <c r="AZ142" s="7">
        <f>IF(Y142=1,IF(ISNUMBER(AN142),AN142,0),0)</f>
        <v/>
      </c>
      <c r="BA142" s="7">
        <f>IF(Y142=1,IF(ISNUMBER(AN142),1,0),0)</f>
        <v/>
      </c>
      <c r="BB142" s="7">
        <f>IF(Y142=1,IF(ISNUMBER(T142),T142,0),0)</f>
        <v/>
      </c>
      <c r="BC142" s="7">
        <f>IF(Y142=1,IF(ISNUMBER(T142),1,0),0)</f>
        <v/>
      </c>
      <c r="BD142" s="7">
        <f>IF(Y142=1,AQ142+ROW()/1E9,-1E9)</f>
        <v/>
      </c>
      <c r="BE142" s="7">
        <f>IF(Y142=1,AQ142+ROW()/1E9,1E9)</f>
        <v/>
      </c>
    </row>
    <row r="143">
      <c r="A143" s="16" t="n"/>
      <c r="B143" s="8">
        <f>IF($A143="","",BDP($A143,B$3))</f>
        <v/>
      </c>
      <c r="C143" s="8">
        <f>IF($A143="","",BDP($A143,C$3))</f>
        <v/>
      </c>
      <c r="D143" s="28">
        <f>IF($A143="","",BDP($A143,D$3))</f>
        <v/>
      </c>
      <c r="E143" s="29">
        <f>IF($A143="","",BDP($A143,E$3))</f>
        <v/>
      </c>
      <c r="F143" s="17">
        <f>IF($A143="","",BDP($A143,F$3))</f>
        <v/>
      </c>
      <c r="G143" s="8">
        <f>IF($A143="","",BDP($A143,G$3))</f>
        <v/>
      </c>
      <c r="H143" s="8">
        <f>IF($A143="","",BDP($A143,H$3))</f>
        <v/>
      </c>
      <c r="I143" s="8">
        <f>IF($A143="","",BDP($A143,I$3))</f>
        <v/>
      </c>
      <c r="J143" s="8">
        <f>IF($A143="","",BDP($A143,J$3))</f>
        <v/>
      </c>
      <c r="K143" s="8">
        <f>IF($A143="","",BDP($A143,K$3))</f>
        <v/>
      </c>
      <c r="L143" s="28">
        <f>IF($A143="","",BDP($A143,L$3))</f>
        <v/>
      </c>
      <c r="M143" s="28">
        <f>IF($A143="","",BDP($A143,M$3))</f>
        <v/>
      </c>
      <c r="N143" s="30">
        <f>IF($A143="","",BDP($A143,N$3))</f>
        <v/>
      </c>
      <c r="O143" s="31">
        <f>IF($A143="","",BDP($A143,O$3))</f>
        <v/>
      </c>
      <c r="P143" s="30">
        <f>IF($A143="","",BDH($A143,$N$3,'參數'!$B$5,'參數'!$B$5,"Days=A","Fill=P","Dates=H"))</f>
        <v/>
      </c>
      <c r="Q143" s="30">
        <f>IF($A143="","",BDH($A143,$N$3,'參數'!$B$6,'參數'!$B$6,"Days=A","Fill=P","Dates=H"))</f>
        <v/>
      </c>
      <c r="R143" s="30">
        <f>IF($A143="","",BDH($A143,$N$3,'參數'!$B$7,'參數'!$B$7,"Days=A","Fill=P","Dates=H"))</f>
        <v/>
      </c>
      <c r="S143" s="32">
        <f>IF($A143="","",IFERROR(INDEX('發行人'!$A$5:$A$44,MATCH(B143,'發行人'!$D$5:$D$44,0)),"未對應"))</f>
        <v/>
      </c>
      <c r="T143" s="24">
        <f>IF($A143="","",IFERROR(INDEX('發行人'!$G$5:$G$44,MATCH(B143,'發行人'!$D$5:$D$44,0))+0,""))</f>
        <v/>
      </c>
      <c r="U143" s="18">
        <f>IF(ISNUMBER(E143),YEARFRAC('參數'!$B$4,E143),"")</f>
        <v/>
      </c>
      <c r="V143" s="8">
        <f>IF(U143="","",IF(U143&lt;3,"1-3y",IF(U143&lt;5,"3-5y",IF(U143&lt;7,"5-7y",IF(U143&lt;10,"7-10y","10y+")))))</f>
        <v/>
      </c>
      <c r="W143" s="30">
        <f>IF($A143="","",IFERROR(INDEX('參數'!$B$24:$B$45,MATCH(G143,'參數'!$A$24:$A$45,0)),""))</f>
        <v/>
      </c>
      <c r="X143" s="8">
        <f>IF($A143="","",IFERROR(INDEX('參數'!$C$24:$C$45,MATCH(G143,'參數'!$A$24:$A$45,0)),""))</f>
        <v/>
      </c>
      <c r="Y143" s="30">
        <f>IF(AND(ISNUMBER(N143),ISNUMBER(O143),ISNUMBER(U143)),IF(AND(O143&gt;0,X143&lt;&gt;""),1,0),0)</f>
        <v/>
      </c>
      <c r="Z143" s="17">
        <f>IF(Y143=1,O143*N143,"")</f>
        <v/>
      </c>
      <c r="AA143" s="33">
        <f>IF(Y143=1,IF(ISNUMBER(Q143),N143-Q143,""),"")</f>
        <v/>
      </c>
      <c r="AB143" s="33">
        <f>IF(Y143=1,IF(AND(ISNUMBER(P143),ISNUMBER(R143)),R143*5/12-O143*(P143-R143),""),"")</f>
        <v/>
      </c>
      <c r="AC143" s="30">
        <f>IF(Y143=1,COUNTIFS($X$5:$X$404,X143,$V$5:$V$404,V143,$Y$5:$Y$404,1),"")</f>
        <v/>
      </c>
      <c r="AD143" s="30">
        <f>IF(Y143=1,IFERROR(IF(AC143&gt;='參數'!$B$9,INDEX('分群統計'!$G$13:$K$16,MATCH(X143,'分群統計'!$A$13:$A$16,0),MATCH(V143,'分群統計'!$G$12:$K$12,0)),INDEX('分群統計'!$I$5:$I$8,MATCH(X143,'分群統計'!$A$5:$A$8,0))),""),"")</f>
        <v/>
      </c>
      <c r="AE143" s="18">
        <f>IF(Y143=1,IFERROR(IF(AC143&gt;='參數'!$B$9,INDEX('分群統計'!$L$13:$P$16,MATCH(X143,'分群統計'!$A$13:$A$16,0),MATCH(V143,'分群統計'!$L$12:$P$12,0)),INDEX('分群統計'!$J$5:$J$8,MATCH(X143,'分群統計'!$A$5:$A$8,0))),""),"")</f>
        <v/>
      </c>
      <c r="AF143" s="31">
        <f>IF(ISNUMBER(AE143),IF(AE143&gt;0,MAX(-3,MIN(3,(N143-AD143)/AE143)),0),"")</f>
        <v/>
      </c>
      <c r="AG143" s="30">
        <f>IF(Y143=1,COUNTIFS($B$5:$B$404,B143,$Y$5:$Y$404,1),"")</f>
        <v/>
      </c>
      <c r="AH143" s="30">
        <f>IF(Y143=1,IFERROR(IF(ISNUMBER(INDEX('分群統計'!$G$20:$G$59,MATCH(B143,'分群統計'!$A$20:$A$59,0))),INDEX('分群統計'!$H$20:$H$59,MATCH(B143,'分群統計'!$A$20:$A$59,0))+INDEX('分群統計'!$G$20:$G$59,MATCH(B143,'分群統計'!$A$20:$A$59,0))*AU143,""),""),"")</f>
        <v/>
      </c>
      <c r="AI143" s="34">
        <f>IF(ISNUMBER(AH143),N143-AH143,"")</f>
        <v/>
      </c>
      <c r="AJ143" s="30">
        <f>IF(Y143=1,IFERROR(IF(ISNUMBER(INDEX('分群統計'!$G$5:$G$8,MATCH(X143,'分群統計'!$A$5:$A$8,0))),INDEX('分群統計'!$H$5:$H$8,MATCH(X143,'分群統計'!$A$5:$A$8,0))+INDEX('分群統計'!$G$5:$G$8,MATCH(X143,'分群統計'!$A$5:$A$8,0))*AU143,""),""),"")</f>
        <v/>
      </c>
      <c r="AK143" s="34">
        <f>IF(ISNUMBER(AJ143),N143-AJ143,"")</f>
        <v/>
      </c>
      <c r="AL143" s="21">
        <f>IF(ISNUMBER(AJ143),IF(AJ143&gt;0,AK143/AJ143,""),"")</f>
        <v/>
      </c>
      <c r="AM143" s="31">
        <f>IF(AY143&lt;&gt;1,"",IFERROR(IF(INDEX('分群統計'!$K$5:$K$8,MATCH(X143,'分群統計'!$A$5:$A$8,0))&lt;3,"",IF(INDEX('分群統計'!$M$5:$M$8,MATCH(X143,'分群統計'!$A$5:$A$8,0))&gt;0,MAX(-3,MIN(3,(AX143-INDEX('分群統計'!$L$5:$L$8,MATCH(X143,'分群統計'!$A$5:$A$8,0)))/INDEX('分群統計'!$M$5:$M$8,MATCH(X143,'分群統計'!$A$5:$A$8,0)))),0)),""))</f>
        <v/>
      </c>
      <c r="AN143" s="31">
        <f>IF(ISNUMBER(AB143),IF(Z143&gt;0,AB143/Z143*100,""),"")</f>
        <v/>
      </c>
      <c r="AO143" s="31">
        <f>IF(BA143&lt;&gt;1,"",IFERROR(IF(INDEX('分群統計'!$N$5:$N$8,MATCH(X143,'分群統計'!$A$5:$A$8,0))&lt;3,"",IF(INDEX('分群統計'!$P$5:$P$8,MATCH(X143,'分群統計'!$A$5:$A$8,0))&gt;0,MAX(-3,MIN(3,(AZ143-INDEX('分群統計'!$O$5:$O$8,MATCH(X143,'分群統計'!$A$5:$A$8,0)))/INDEX('分群統計'!$P$5:$P$8,MATCH(X143,'分群統計'!$A$5:$A$8,0)))),0)),""))</f>
        <v/>
      </c>
      <c r="AP143" s="31">
        <f>IF(BC143&lt;&gt;1,"",IFERROR(IF(INDEX('分群統計'!$Q$5:$Q$8,MATCH(X143,'分群統計'!$A$5:$A$8,0))&lt;3,"",IF(INDEX('分群統計'!$S$5:$S$8,MATCH(X143,'分群統計'!$A$5:$A$8,0))&gt;0,MAX(-3,MIN(3,(BB143-INDEX('分群統計'!$R$5:$R$8,MATCH(X143,'分群統計'!$A$5:$A$8,0)))/INDEX('分群統計'!$S$5:$S$8,MATCH(X143,'分群統計'!$A$5:$A$8,0)))),0)),""))</f>
        <v/>
      </c>
      <c r="AQ143" s="31">
        <f>IF(Y143=1,(IF(ISNUMBER(AF143),AF143,0)*'參數'!$B$13+IF(ISNUMBER(AM143),AM143,0)*'參數'!$B$14+IF(ISNUMBER(AO143),AO143,0)*'參數'!$B$15+IF(ISNUMBER(AP143),AP143,0)*'參數'!$B$16)/('參數'!$B$13+'參數'!$B$14+'參數'!$B$15+'參數'!$B$16),"")</f>
        <v/>
      </c>
      <c r="AR143" s="35">
        <f>IF(Y143=1,(SUMPRODUCT(($X$5:$X$404=X143)*($Y$5:$Y$404=1)*($BD$5:$BD$404&gt;BD143))+1)/COUNTIFS($X$5:$X$404,X143,$Y$5:$Y$404,1),"")</f>
        <v/>
      </c>
      <c r="AS143" s="8">
        <f>IF(ISNUMBER(AR143),IF(AR143&lt;='參數'!$B$18,"加碼候選",IF(AR143&gt;'參數'!$B$19,"減碼候選","")),"")</f>
        <v/>
      </c>
      <c r="AT143" s="7">
        <f>IF(Y143=1,N143,0)</f>
        <v/>
      </c>
      <c r="AU143" s="7">
        <f>IF(Y143=1,LN(O143),0)</f>
        <v/>
      </c>
      <c r="AV143" s="36">
        <f>IF(Y143=1,IF(ISNUMBER(F143),F143,0),0)</f>
        <v/>
      </c>
      <c r="AW143" s="7">
        <f>IF(Y143=1,Z143,0)</f>
        <v/>
      </c>
      <c r="AX143" s="7">
        <f>IF(Y143=1,IF(ISNUMBER(AL143),AL143,0),0)</f>
        <v/>
      </c>
      <c r="AY143" s="7">
        <f>IF(Y143=1,IF(ISNUMBER(AL143),1,0),0)</f>
        <v/>
      </c>
      <c r="AZ143" s="7">
        <f>IF(Y143=1,IF(ISNUMBER(AN143),AN143,0),0)</f>
        <v/>
      </c>
      <c r="BA143" s="7">
        <f>IF(Y143=1,IF(ISNUMBER(AN143),1,0),0)</f>
        <v/>
      </c>
      <c r="BB143" s="7">
        <f>IF(Y143=1,IF(ISNUMBER(T143),T143,0),0)</f>
        <v/>
      </c>
      <c r="BC143" s="7">
        <f>IF(Y143=1,IF(ISNUMBER(T143),1,0),0)</f>
        <v/>
      </c>
      <c r="BD143" s="7">
        <f>IF(Y143=1,AQ143+ROW()/1E9,-1E9)</f>
        <v/>
      </c>
      <c r="BE143" s="7">
        <f>IF(Y143=1,AQ143+ROW()/1E9,1E9)</f>
        <v/>
      </c>
    </row>
    <row r="144">
      <c r="A144" s="16" t="n"/>
      <c r="B144" s="8">
        <f>IF($A144="","",BDP($A144,B$3))</f>
        <v/>
      </c>
      <c r="C144" s="8">
        <f>IF($A144="","",BDP($A144,C$3))</f>
        <v/>
      </c>
      <c r="D144" s="28">
        <f>IF($A144="","",BDP($A144,D$3))</f>
        <v/>
      </c>
      <c r="E144" s="29">
        <f>IF($A144="","",BDP($A144,E$3))</f>
        <v/>
      </c>
      <c r="F144" s="17">
        <f>IF($A144="","",BDP($A144,F$3))</f>
        <v/>
      </c>
      <c r="G144" s="8">
        <f>IF($A144="","",BDP($A144,G$3))</f>
        <v/>
      </c>
      <c r="H144" s="8">
        <f>IF($A144="","",BDP($A144,H$3))</f>
        <v/>
      </c>
      <c r="I144" s="8">
        <f>IF($A144="","",BDP($A144,I$3))</f>
        <v/>
      </c>
      <c r="J144" s="8">
        <f>IF($A144="","",BDP($A144,J$3))</f>
        <v/>
      </c>
      <c r="K144" s="8">
        <f>IF($A144="","",BDP($A144,K$3))</f>
        <v/>
      </c>
      <c r="L144" s="28">
        <f>IF($A144="","",BDP($A144,L$3))</f>
        <v/>
      </c>
      <c r="M144" s="28">
        <f>IF($A144="","",BDP($A144,M$3))</f>
        <v/>
      </c>
      <c r="N144" s="30">
        <f>IF($A144="","",BDP($A144,N$3))</f>
        <v/>
      </c>
      <c r="O144" s="31">
        <f>IF($A144="","",BDP($A144,O$3))</f>
        <v/>
      </c>
      <c r="P144" s="30">
        <f>IF($A144="","",BDH($A144,$N$3,'參數'!$B$5,'參數'!$B$5,"Days=A","Fill=P","Dates=H"))</f>
        <v/>
      </c>
      <c r="Q144" s="30">
        <f>IF($A144="","",BDH($A144,$N$3,'參數'!$B$6,'參數'!$B$6,"Days=A","Fill=P","Dates=H"))</f>
        <v/>
      </c>
      <c r="R144" s="30">
        <f>IF($A144="","",BDH($A144,$N$3,'參數'!$B$7,'參數'!$B$7,"Days=A","Fill=P","Dates=H"))</f>
        <v/>
      </c>
      <c r="S144" s="32">
        <f>IF($A144="","",IFERROR(INDEX('發行人'!$A$5:$A$44,MATCH(B144,'發行人'!$D$5:$D$44,0)),"未對應"))</f>
        <v/>
      </c>
      <c r="T144" s="24">
        <f>IF($A144="","",IFERROR(INDEX('發行人'!$G$5:$G$44,MATCH(B144,'發行人'!$D$5:$D$44,0))+0,""))</f>
        <v/>
      </c>
      <c r="U144" s="18">
        <f>IF(ISNUMBER(E144),YEARFRAC('參數'!$B$4,E144),"")</f>
        <v/>
      </c>
      <c r="V144" s="8">
        <f>IF(U144="","",IF(U144&lt;3,"1-3y",IF(U144&lt;5,"3-5y",IF(U144&lt;7,"5-7y",IF(U144&lt;10,"7-10y","10y+")))))</f>
        <v/>
      </c>
      <c r="W144" s="30">
        <f>IF($A144="","",IFERROR(INDEX('參數'!$B$24:$B$45,MATCH(G144,'參數'!$A$24:$A$45,0)),""))</f>
        <v/>
      </c>
      <c r="X144" s="8">
        <f>IF($A144="","",IFERROR(INDEX('參數'!$C$24:$C$45,MATCH(G144,'參數'!$A$24:$A$45,0)),""))</f>
        <v/>
      </c>
      <c r="Y144" s="30">
        <f>IF(AND(ISNUMBER(N144),ISNUMBER(O144),ISNUMBER(U144)),IF(AND(O144&gt;0,X144&lt;&gt;""),1,0),0)</f>
        <v/>
      </c>
      <c r="Z144" s="17">
        <f>IF(Y144=1,O144*N144,"")</f>
        <v/>
      </c>
      <c r="AA144" s="33">
        <f>IF(Y144=1,IF(ISNUMBER(Q144),N144-Q144,""),"")</f>
        <v/>
      </c>
      <c r="AB144" s="33">
        <f>IF(Y144=1,IF(AND(ISNUMBER(P144),ISNUMBER(R144)),R144*5/12-O144*(P144-R144),""),"")</f>
        <v/>
      </c>
      <c r="AC144" s="30">
        <f>IF(Y144=1,COUNTIFS($X$5:$X$404,X144,$V$5:$V$404,V144,$Y$5:$Y$404,1),"")</f>
        <v/>
      </c>
      <c r="AD144" s="30">
        <f>IF(Y144=1,IFERROR(IF(AC144&gt;='參數'!$B$9,INDEX('分群統計'!$G$13:$K$16,MATCH(X144,'分群統計'!$A$13:$A$16,0),MATCH(V144,'分群統計'!$G$12:$K$12,0)),INDEX('分群統計'!$I$5:$I$8,MATCH(X144,'分群統計'!$A$5:$A$8,0))),""),"")</f>
        <v/>
      </c>
      <c r="AE144" s="18">
        <f>IF(Y144=1,IFERROR(IF(AC144&gt;='參數'!$B$9,INDEX('分群統計'!$L$13:$P$16,MATCH(X144,'分群統計'!$A$13:$A$16,0),MATCH(V144,'分群統計'!$L$12:$P$12,0)),INDEX('分群統計'!$J$5:$J$8,MATCH(X144,'分群統計'!$A$5:$A$8,0))),""),"")</f>
        <v/>
      </c>
      <c r="AF144" s="31">
        <f>IF(ISNUMBER(AE144),IF(AE144&gt;0,MAX(-3,MIN(3,(N144-AD144)/AE144)),0),"")</f>
        <v/>
      </c>
      <c r="AG144" s="30">
        <f>IF(Y144=1,COUNTIFS($B$5:$B$404,B144,$Y$5:$Y$404,1),"")</f>
        <v/>
      </c>
      <c r="AH144" s="30">
        <f>IF(Y144=1,IFERROR(IF(ISNUMBER(INDEX('分群統計'!$G$20:$G$59,MATCH(B144,'分群統計'!$A$20:$A$59,0))),INDEX('分群統計'!$H$20:$H$59,MATCH(B144,'分群統計'!$A$20:$A$59,0))+INDEX('分群統計'!$G$20:$G$59,MATCH(B144,'分群統計'!$A$20:$A$59,0))*AU144,""),""),"")</f>
        <v/>
      </c>
      <c r="AI144" s="34">
        <f>IF(ISNUMBER(AH144),N144-AH144,"")</f>
        <v/>
      </c>
      <c r="AJ144" s="30">
        <f>IF(Y144=1,IFERROR(IF(ISNUMBER(INDEX('分群統計'!$G$5:$G$8,MATCH(X144,'分群統計'!$A$5:$A$8,0))),INDEX('分群統計'!$H$5:$H$8,MATCH(X144,'分群統計'!$A$5:$A$8,0))+INDEX('分群統計'!$G$5:$G$8,MATCH(X144,'分群統計'!$A$5:$A$8,0))*AU144,""),""),"")</f>
        <v/>
      </c>
      <c r="AK144" s="34">
        <f>IF(ISNUMBER(AJ144),N144-AJ144,"")</f>
        <v/>
      </c>
      <c r="AL144" s="21">
        <f>IF(ISNUMBER(AJ144),IF(AJ144&gt;0,AK144/AJ144,""),"")</f>
        <v/>
      </c>
      <c r="AM144" s="31">
        <f>IF(AY144&lt;&gt;1,"",IFERROR(IF(INDEX('分群統計'!$K$5:$K$8,MATCH(X144,'分群統計'!$A$5:$A$8,0))&lt;3,"",IF(INDEX('分群統計'!$M$5:$M$8,MATCH(X144,'分群統計'!$A$5:$A$8,0))&gt;0,MAX(-3,MIN(3,(AX144-INDEX('分群統計'!$L$5:$L$8,MATCH(X144,'分群統計'!$A$5:$A$8,0)))/INDEX('分群統計'!$M$5:$M$8,MATCH(X144,'分群統計'!$A$5:$A$8,0)))),0)),""))</f>
        <v/>
      </c>
      <c r="AN144" s="31">
        <f>IF(ISNUMBER(AB144),IF(Z144&gt;0,AB144/Z144*100,""),"")</f>
        <v/>
      </c>
      <c r="AO144" s="31">
        <f>IF(BA144&lt;&gt;1,"",IFERROR(IF(INDEX('分群統計'!$N$5:$N$8,MATCH(X144,'分群統計'!$A$5:$A$8,0))&lt;3,"",IF(INDEX('分群統計'!$P$5:$P$8,MATCH(X144,'分群統計'!$A$5:$A$8,0))&gt;0,MAX(-3,MIN(3,(AZ144-INDEX('分群統計'!$O$5:$O$8,MATCH(X144,'分群統計'!$A$5:$A$8,0)))/INDEX('分群統計'!$P$5:$P$8,MATCH(X144,'分群統計'!$A$5:$A$8,0)))),0)),""))</f>
        <v/>
      </c>
      <c r="AP144" s="31">
        <f>IF(BC144&lt;&gt;1,"",IFERROR(IF(INDEX('分群統計'!$Q$5:$Q$8,MATCH(X144,'分群統計'!$A$5:$A$8,0))&lt;3,"",IF(INDEX('分群統計'!$S$5:$S$8,MATCH(X144,'分群統計'!$A$5:$A$8,0))&gt;0,MAX(-3,MIN(3,(BB144-INDEX('分群統計'!$R$5:$R$8,MATCH(X144,'分群統計'!$A$5:$A$8,0)))/INDEX('分群統計'!$S$5:$S$8,MATCH(X144,'分群統計'!$A$5:$A$8,0)))),0)),""))</f>
        <v/>
      </c>
      <c r="AQ144" s="31">
        <f>IF(Y144=1,(IF(ISNUMBER(AF144),AF144,0)*'參數'!$B$13+IF(ISNUMBER(AM144),AM144,0)*'參數'!$B$14+IF(ISNUMBER(AO144),AO144,0)*'參數'!$B$15+IF(ISNUMBER(AP144),AP144,0)*'參數'!$B$16)/('參數'!$B$13+'參數'!$B$14+'參數'!$B$15+'參數'!$B$16),"")</f>
        <v/>
      </c>
      <c r="AR144" s="35">
        <f>IF(Y144=1,(SUMPRODUCT(($X$5:$X$404=X144)*($Y$5:$Y$404=1)*($BD$5:$BD$404&gt;BD144))+1)/COUNTIFS($X$5:$X$404,X144,$Y$5:$Y$404,1),"")</f>
        <v/>
      </c>
      <c r="AS144" s="8">
        <f>IF(ISNUMBER(AR144),IF(AR144&lt;='參數'!$B$18,"加碼候選",IF(AR144&gt;'參數'!$B$19,"減碼候選","")),"")</f>
        <v/>
      </c>
      <c r="AT144" s="7">
        <f>IF(Y144=1,N144,0)</f>
        <v/>
      </c>
      <c r="AU144" s="7">
        <f>IF(Y144=1,LN(O144),0)</f>
        <v/>
      </c>
      <c r="AV144" s="36">
        <f>IF(Y144=1,IF(ISNUMBER(F144),F144,0),0)</f>
        <v/>
      </c>
      <c r="AW144" s="7">
        <f>IF(Y144=1,Z144,0)</f>
        <v/>
      </c>
      <c r="AX144" s="7">
        <f>IF(Y144=1,IF(ISNUMBER(AL144),AL144,0),0)</f>
        <v/>
      </c>
      <c r="AY144" s="7">
        <f>IF(Y144=1,IF(ISNUMBER(AL144),1,0),0)</f>
        <v/>
      </c>
      <c r="AZ144" s="7">
        <f>IF(Y144=1,IF(ISNUMBER(AN144),AN144,0),0)</f>
        <v/>
      </c>
      <c r="BA144" s="7">
        <f>IF(Y144=1,IF(ISNUMBER(AN144),1,0),0)</f>
        <v/>
      </c>
      <c r="BB144" s="7">
        <f>IF(Y144=1,IF(ISNUMBER(T144),T144,0),0)</f>
        <v/>
      </c>
      <c r="BC144" s="7">
        <f>IF(Y144=1,IF(ISNUMBER(T144),1,0),0)</f>
        <v/>
      </c>
      <c r="BD144" s="7">
        <f>IF(Y144=1,AQ144+ROW()/1E9,-1E9)</f>
        <v/>
      </c>
      <c r="BE144" s="7">
        <f>IF(Y144=1,AQ144+ROW()/1E9,1E9)</f>
        <v/>
      </c>
    </row>
    <row r="145">
      <c r="A145" s="16" t="n"/>
      <c r="B145" s="8">
        <f>IF($A145="","",BDP($A145,B$3))</f>
        <v/>
      </c>
      <c r="C145" s="8">
        <f>IF($A145="","",BDP($A145,C$3))</f>
        <v/>
      </c>
      <c r="D145" s="28">
        <f>IF($A145="","",BDP($A145,D$3))</f>
        <v/>
      </c>
      <c r="E145" s="29">
        <f>IF($A145="","",BDP($A145,E$3))</f>
        <v/>
      </c>
      <c r="F145" s="17">
        <f>IF($A145="","",BDP($A145,F$3))</f>
        <v/>
      </c>
      <c r="G145" s="8">
        <f>IF($A145="","",BDP($A145,G$3))</f>
        <v/>
      </c>
      <c r="H145" s="8">
        <f>IF($A145="","",BDP($A145,H$3))</f>
        <v/>
      </c>
      <c r="I145" s="8">
        <f>IF($A145="","",BDP($A145,I$3))</f>
        <v/>
      </c>
      <c r="J145" s="8">
        <f>IF($A145="","",BDP($A145,J$3))</f>
        <v/>
      </c>
      <c r="K145" s="8">
        <f>IF($A145="","",BDP($A145,K$3))</f>
        <v/>
      </c>
      <c r="L145" s="28">
        <f>IF($A145="","",BDP($A145,L$3))</f>
        <v/>
      </c>
      <c r="M145" s="28">
        <f>IF($A145="","",BDP($A145,M$3))</f>
        <v/>
      </c>
      <c r="N145" s="30">
        <f>IF($A145="","",BDP($A145,N$3))</f>
        <v/>
      </c>
      <c r="O145" s="31">
        <f>IF($A145="","",BDP($A145,O$3))</f>
        <v/>
      </c>
      <c r="P145" s="30">
        <f>IF($A145="","",BDH($A145,$N$3,'參數'!$B$5,'參數'!$B$5,"Days=A","Fill=P","Dates=H"))</f>
        <v/>
      </c>
      <c r="Q145" s="30">
        <f>IF($A145="","",BDH($A145,$N$3,'參數'!$B$6,'參數'!$B$6,"Days=A","Fill=P","Dates=H"))</f>
        <v/>
      </c>
      <c r="R145" s="30">
        <f>IF($A145="","",BDH($A145,$N$3,'參數'!$B$7,'參數'!$B$7,"Days=A","Fill=P","Dates=H"))</f>
        <v/>
      </c>
      <c r="S145" s="32">
        <f>IF($A145="","",IFERROR(INDEX('發行人'!$A$5:$A$44,MATCH(B145,'發行人'!$D$5:$D$44,0)),"未對應"))</f>
        <v/>
      </c>
      <c r="T145" s="24">
        <f>IF($A145="","",IFERROR(INDEX('發行人'!$G$5:$G$44,MATCH(B145,'發行人'!$D$5:$D$44,0))+0,""))</f>
        <v/>
      </c>
      <c r="U145" s="18">
        <f>IF(ISNUMBER(E145),YEARFRAC('參數'!$B$4,E145),"")</f>
        <v/>
      </c>
      <c r="V145" s="8">
        <f>IF(U145="","",IF(U145&lt;3,"1-3y",IF(U145&lt;5,"3-5y",IF(U145&lt;7,"5-7y",IF(U145&lt;10,"7-10y","10y+")))))</f>
        <v/>
      </c>
      <c r="W145" s="30">
        <f>IF($A145="","",IFERROR(INDEX('參數'!$B$24:$B$45,MATCH(G145,'參數'!$A$24:$A$45,0)),""))</f>
        <v/>
      </c>
      <c r="X145" s="8">
        <f>IF($A145="","",IFERROR(INDEX('參數'!$C$24:$C$45,MATCH(G145,'參數'!$A$24:$A$45,0)),""))</f>
        <v/>
      </c>
      <c r="Y145" s="30">
        <f>IF(AND(ISNUMBER(N145),ISNUMBER(O145),ISNUMBER(U145)),IF(AND(O145&gt;0,X145&lt;&gt;""),1,0),0)</f>
        <v/>
      </c>
      <c r="Z145" s="17">
        <f>IF(Y145=1,O145*N145,"")</f>
        <v/>
      </c>
      <c r="AA145" s="33">
        <f>IF(Y145=1,IF(ISNUMBER(Q145),N145-Q145,""),"")</f>
        <v/>
      </c>
      <c r="AB145" s="33">
        <f>IF(Y145=1,IF(AND(ISNUMBER(P145),ISNUMBER(R145)),R145*5/12-O145*(P145-R145),""),"")</f>
        <v/>
      </c>
      <c r="AC145" s="30">
        <f>IF(Y145=1,COUNTIFS($X$5:$X$404,X145,$V$5:$V$404,V145,$Y$5:$Y$404,1),"")</f>
        <v/>
      </c>
      <c r="AD145" s="30">
        <f>IF(Y145=1,IFERROR(IF(AC145&gt;='參數'!$B$9,INDEX('分群統計'!$G$13:$K$16,MATCH(X145,'分群統計'!$A$13:$A$16,0),MATCH(V145,'分群統計'!$G$12:$K$12,0)),INDEX('分群統計'!$I$5:$I$8,MATCH(X145,'分群統計'!$A$5:$A$8,0))),""),"")</f>
        <v/>
      </c>
      <c r="AE145" s="18">
        <f>IF(Y145=1,IFERROR(IF(AC145&gt;='參數'!$B$9,INDEX('分群統計'!$L$13:$P$16,MATCH(X145,'分群統計'!$A$13:$A$16,0),MATCH(V145,'分群統計'!$L$12:$P$12,0)),INDEX('分群統計'!$J$5:$J$8,MATCH(X145,'分群統計'!$A$5:$A$8,0))),""),"")</f>
        <v/>
      </c>
      <c r="AF145" s="31">
        <f>IF(ISNUMBER(AE145),IF(AE145&gt;0,MAX(-3,MIN(3,(N145-AD145)/AE145)),0),"")</f>
        <v/>
      </c>
      <c r="AG145" s="30">
        <f>IF(Y145=1,COUNTIFS($B$5:$B$404,B145,$Y$5:$Y$404,1),"")</f>
        <v/>
      </c>
      <c r="AH145" s="30">
        <f>IF(Y145=1,IFERROR(IF(ISNUMBER(INDEX('分群統計'!$G$20:$G$59,MATCH(B145,'分群統計'!$A$20:$A$59,0))),INDEX('分群統計'!$H$20:$H$59,MATCH(B145,'分群統計'!$A$20:$A$59,0))+INDEX('分群統計'!$G$20:$G$59,MATCH(B145,'分群統計'!$A$20:$A$59,0))*AU145,""),""),"")</f>
        <v/>
      </c>
      <c r="AI145" s="34">
        <f>IF(ISNUMBER(AH145),N145-AH145,"")</f>
        <v/>
      </c>
      <c r="AJ145" s="30">
        <f>IF(Y145=1,IFERROR(IF(ISNUMBER(INDEX('分群統計'!$G$5:$G$8,MATCH(X145,'分群統計'!$A$5:$A$8,0))),INDEX('分群統計'!$H$5:$H$8,MATCH(X145,'分群統計'!$A$5:$A$8,0))+INDEX('分群統計'!$G$5:$G$8,MATCH(X145,'分群統計'!$A$5:$A$8,0))*AU145,""),""),"")</f>
        <v/>
      </c>
      <c r="AK145" s="34">
        <f>IF(ISNUMBER(AJ145),N145-AJ145,"")</f>
        <v/>
      </c>
      <c r="AL145" s="21">
        <f>IF(ISNUMBER(AJ145),IF(AJ145&gt;0,AK145/AJ145,""),"")</f>
        <v/>
      </c>
      <c r="AM145" s="31">
        <f>IF(AY145&lt;&gt;1,"",IFERROR(IF(INDEX('分群統計'!$K$5:$K$8,MATCH(X145,'分群統計'!$A$5:$A$8,0))&lt;3,"",IF(INDEX('分群統計'!$M$5:$M$8,MATCH(X145,'分群統計'!$A$5:$A$8,0))&gt;0,MAX(-3,MIN(3,(AX145-INDEX('分群統計'!$L$5:$L$8,MATCH(X145,'分群統計'!$A$5:$A$8,0)))/INDEX('分群統計'!$M$5:$M$8,MATCH(X145,'分群統計'!$A$5:$A$8,0)))),0)),""))</f>
        <v/>
      </c>
      <c r="AN145" s="31">
        <f>IF(ISNUMBER(AB145),IF(Z145&gt;0,AB145/Z145*100,""),"")</f>
        <v/>
      </c>
      <c r="AO145" s="31">
        <f>IF(BA145&lt;&gt;1,"",IFERROR(IF(INDEX('分群統計'!$N$5:$N$8,MATCH(X145,'分群統計'!$A$5:$A$8,0))&lt;3,"",IF(INDEX('分群統計'!$P$5:$P$8,MATCH(X145,'分群統計'!$A$5:$A$8,0))&gt;0,MAX(-3,MIN(3,(AZ145-INDEX('分群統計'!$O$5:$O$8,MATCH(X145,'分群統計'!$A$5:$A$8,0)))/INDEX('分群統計'!$P$5:$P$8,MATCH(X145,'分群統計'!$A$5:$A$8,0)))),0)),""))</f>
        <v/>
      </c>
      <c r="AP145" s="31">
        <f>IF(BC145&lt;&gt;1,"",IFERROR(IF(INDEX('分群統計'!$Q$5:$Q$8,MATCH(X145,'分群統計'!$A$5:$A$8,0))&lt;3,"",IF(INDEX('分群統計'!$S$5:$S$8,MATCH(X145,'分群統計'!$A$5:$A$8,0))&gt;0,MAX(-3,MIN(3,(BB145-INDEX('分群統計'!$R$5:$R$8,MATCH(X145,'分群統計'!$A$5:$A$8,0)))/INDEX('分群統計'!$S$5:$S$8,MATCH(X145,'分群統計'!$A$5:$A$8,0)))),0)),""))</f>
        <v/>
      </c>
      <c r="AQ145" s="31">
        <f>IF(Y145=1,(IF(ISNUMBER(AF145),AF145,0)*'參數'!$B$13+IF(ISNUMBER(AM145),AM145,0)*'參數'!$B$14+IF(ISNUMBER(AO145),AO145,0)*'參數'!$B$15+IF(ISNUMBER(AP145),AP145,0)*'參數'!$B$16)/('參數'!$B$13+'參數'!$B$14+'參數'!$B$15+'參數'!$B$16),"")</f>
        <v/>
      </c>
      <c r="AR145" s="35">
        <f>IF(Y145=1,(SUMPRODUCT(($X$5:$X$404=X145)*($Y$5:$Y$404=1)*($BD$5:$BD$404&gt;BD145))+1)/COUNTIFS($X$5:$X$404,X145,$Y$5:$Y$404,1),"")</f>
        <v/>
      </c>
      <c r="AS145" s="8">
        <f>IF(ISNUMBER(AR145),IF(AR145&lt;='參數'!$B$18,"加碼候選",IF(AR145&gt;'參數'!$B$19,"減碼候選","")),"")</f>
        <v/>
      </c>
      <c r="AT145" s="7">
        <f>IF(Y145=1,N145,0)</f>
        <v/>
      </c>
      <c r="AU145" s="7">
        <f>IF(Y145=1,LN(O145),0)</f>
        <v/>
      </c>
      <c r="AV145" s="36">
        <f>IF(Y145=1,IF(ISNUMBER(F145),F145,0),0)</f>
        <v/>
      </c>
      <c r="AW145" s="7">
        <f>IF(Y145=1,Z145,0)</f>
        <v/>
      </c>
      <c r="AX145" s="7">
        <f>IF(Y145=1,IF(ISNUMBER(AL145),AL145,0),0)</f>
        <v/>
      </c>
      <c r="AY145" s="7">
        <f>IF(Y145=1,IF(ISNUMBER(AL145),1,0),0)</f>
        <v/>
      </c>
      <c r="AZ145" s="7">
        <f>IF(Y145=1,IF(ISNUMBER(AN145),AN145,0),0)</f>
        <v/>
      </c>
      <c r="BA145" s="7">
        <f>IF(Y145=1,IF(ISNUMBER(AN145),1,0),0)</f>
        <v/>
      </c>
      <c r="BB145" s="7">
        <f>IF(Y145=1,IF(ISNUMBER(T145),T145,0),0)</f>
        <v/>
      </c>
      <c r="BC145" s="7">
        <f>IF(Y145=1,IF(ISNUMBER(T145),1,0),0)</f>
        <v/>
      </c>
      <c r="BD145" s="7">
        <f>IF(Y145=1,AQ145+ROW()/1E9,-1E9)</f>
        <v/>
      </c>
      <c r="BE145" s="7">
        <f>IF(Y145=1,AQ145+ROW()/1E9,1E9)</f>
        <v/>
      </c>
    </row>
    <row r="146">
      <c r="A146" s="16" t="n"/>
      <c r="B146" s="8">
        <f>IF($A146="","",BDP($A146,B$3))</f>
        <v/>
      </c>
      <c r="C146" s="8">
        <f>IF($A146="","",BDP($A146,C$3))</f>
        <v/>
      </c>
      <c r="D146" s="28">
        <f>IF($A146="","",BDP($A146,D$3))</f>
        <v/>
      </c>
      <c r="E146" s="29">
        <f>IF($A146="","",BDP($A146,E$3))</f>
        <v/>
      </c>
      <c r="F146" s="17">
        <f>IF($A146="","",BDP($A146,F$3))</f>
        <v/>
      </c>
      <c r="G146" s="8">
        <f>IF($A146="","",BDP($A146,G$3))</f>
        <v/>
      </c>
      <c r="H146" s="8">
        <f>IF($A146="","",BDP($A146,H$3))</f>
        <v/>
      </c>
      <c r="I146" s="8">
        <f>IF($A146="","",BDP($A146,I$3))</f>
        <v/>
      </c>
      <c r="J146" s="8">
        <f>IF($A146="","",BDP($A146,J$3))</f>
        <v/>
      </c>
      <c r="K146" s="8">
        <f>IF($A146="","",BDP($A146,K$3))</f>
        <v/>
      </c>
      <c r="L146" s="28">
        <f>IF($A146="","",BDP($A146,L$3))</f>
        <v/>
      </c>
      <c r="M146" s="28">
        <f>IF($A146="","",BDP($A146,M$3))</f>
        <v/>
      </c>
      <c r="N146" s="30">
        <f>IF($A146="","",BDP($A146,N$3))</f>
        <v/>
      </c>
      <c r="O146" s="31">
        <f>IF($A146="","",BDP($A146,O$3))</f>
        <v/>
      </c>
      <c r="P146" s="30">
        <f>IF($A146="","",BDH($A146,$N$3,'參數'!$B$5,'參數'!$B$5,"Days=A","Fill=P","Dates=H"))</f>
        <v/>
      </c>
      <c r="Q146" s="30">
        <f>IF($A146="","",BDH($A146,$N$3,'參數'!$B$6,'參數'!$B$6,"Days=A","Fill=P","Dates=H"))</f>
        <v/>
      </c>
      <c r="R146" s="30">
        <f>IF($A146="","",BDH($A146,$N$3,'參數'!$B$7,'參數'!$B$7,"Days=A","Fill=P","Dates=H"))</f>
        <v/>
      </c>
      <c r="S146" s="32">
        <f>IF($A146="","",IFERROR(INDEX('發行人'!$A$5:$A$44,MATCH(B146,'發行人'!$D$5:$D$44,0)),"未對應"))</f>
        <v/>
      </c>
      <c r="T146" s="24">
        <f>IF($A146="","",IFERROR(INDEX('發行人'!$G$5:$G$44,MATCH(B146,'發行人'!$D$5:$D$44,0))+0,""))</f>
        <v/>
      </c>
      <c r="U146" s="18">
        <f>IF(ISNUMBER(E146),YEARFRAC('參數'!$B$4,E146),"")</f>
        <v/>
      </c>
      <c r="V146" s="8">
        <f>IF(U146="","",IF(U146&lt;3,"1-3y",IF(U146&lt;5,"3-5y",IF(U146&lt;7,"5-7y",IF(U146&lt;10,"7-10y","10y+")))))</f>
        <v/>
      </c>
      <c r="W146" s="30">
        <f>IF($A146="","",IFERROR(INDEX('參數'!$B$24:$B$45,MATCH(G146,'參數'!$A$24:$A$45,0)),""))</f>
        <v/>
      </c>
      <c r="X146" s="8">
        <f>IF($A146="","",IFERROR(INDEX('參數'!$C$24:$C$45,MATCH(G146,'參數'!$A$24:$A$45,0)),""))</f>
        <v/>
      </c>
      <c r="Y146" s="30">
        <f>IF(AND(ISNUMBER(N146),ISNUMBER(O146),ISNUMBER(U146)),IF(AND(O146&gt;0,X146&lt;&gt;""),1,0),0)</f>
        <v/>
      </c>
      <c r="Z146" s="17">
        <f>IF(Y146=1,O146*N146,"")</f>
        <v/>
      </c>
      <c r="AA146" s="33">
        <f>IF(Y146=1,IF(ISNUMBER(Q146),N146-Q146,""),"")</f>
        <v/>
      </c>
      <c r="AB146" s="33">
        <f>IF(Y146=1,IF(AND(ISNUMBER(P146),ISNUMBER(R146)),R146*5/12-O146*(P146-R146),""),"")</f>
        <v/>
      </c>
      <c r="AC146" s="30">
        <f>IF(Y146=1,COUNTIFS($X$5:$X$404,X146,$V$5:$V$404,V146,$Y$5:$Y$404,1),"")</f>
        <v/>
      </c>
      <c r="AD146" s="30">
        <f>IF(Y146=1,IFERROR(IF(AC146&gt;='參數'!$B$9,INDEX('分群統計'!$G$13:$K$16,MATCH(X146,'分群統計'!$A$13:$A$16,0),MATCH(V146,'分群統計'!$G$12:$K$12,0)),INDEX('分群統計'!$I$5:$I$8,MATCH(X146,'分群統計'!$A$5:$A$8,0))),""),"")</f>
        <v/>
      </c>
      <c r="AE146" s="18">
        <f>IF(Y146=1,IFERROR(IF(AC146&gt;='參數'!$B$9,INDEX('分群統計'!$L$13:$P$16,MATCH(X146,'分群統計'!$A$13:$A$16,0),MATCH(V146,'分群統計'!$L$12:$P$12,0)),INDEX('分群統計'!$J$5:$J$8,MATCH(X146,'分群統計'!$A$5:$A$8,0))),""),"")</f>
        <v/>
      </c>
      <c r="AF146" s="31">
        <f>IF(ISNUMBER(AE146),IF(AE146&gt;0,MAX(-3,MIN(3,(N146-AD146)/AE146)),0),"")</f>
        <v/>
      </c>
      <c r="AG146" s="30">
        <f>IF(Y146=1,COUNTIFS($B$5:$B$404,B146,$Y$5:$Y$404,1),"")</f>
        <v/>
      </c>
      <c r="AH146" s="30">
        <f>IF(Y146=1,IFERROR(IF(ISNUMBER(INDEX('分群統計'!$G$20:$G$59,MATCH(B146,'分群統計'!$A$20:$A$59,0))),INDEX('分群統計'!$H$20:$H$59,MATCH(B146,'分群統計'!$A$20:$A$59,0))+INDEX('分群統計'!$G$20:$G$59,MATCH(B146,'分群統計'!$A$20:$A$59,0))*AU146,""),""),"")</f>
        <v/>
      </c>
      <c r="AI146" s="34">
        <f>IF(ISNUMBER(AH146),N146-AH146,"")</f>
        <v/>
      </c>
      <c r="AJ146" s="30">
        <f>IF(Y146=1,IFERROR(IF(ISNUMBER(INDEX('分群統計'!$G$5:$G$8,MATCH(X146,'分群統計'!$A$5:$A$8,0))),INDEX('分群統計'!$H$5:$H$8,MATCH(X146,'分群統計'!$A$5:$A$8,0))+INDEX('分群統計'!$G$5:$G$8,MATCH(X146,'分群統計'!$A$5:$A$8,0))*AU146,""),""),"")</f>
        <v/>
      </c>
      <c r="AK146" s="34">
        <f>IF(ISNUMBER(AJ146),N146-AJ146,"")</f>
        <v/>
      </c>
      <c r="AL146" s="21">
        <f>IF(ISNUMBER(AJ146),IF(AJ146&gt;0,AK146/AJ146,""),"")</f>
        <v/>
      </c>
      <c r="AM146" s="31">
        <f>IF(AY146&lt;&gt;1,"",IFERROR(IF(INDEX('分群統計'!$K$5:$K$8,MATCH(X146,'分群統計'!$A$5:$A$8,0))&lt;3,"",IF(INDEX('分群統計'!$M$5:$M$8,MATCH(X146,'分群統計'!$A$5:$A$8,0))&gt;0,MAX(-3,MIN(3,(AX146-INDEX('分群統計'!$L$5:$L$8,MATCH(X146,'分群統計'!$A$5:$A$8,0)))/INDEX('分群統計'!$M$5:$M$8,MATCH(X146,'分群統計'!$A$5:$A$8,0)))),0)),""))</f>
        <v/>
      </c>
      <c r="AN146" s="31">
        <f>IF(ISNUMBER(AB146),IF(Z146&gt;0,AB146/Z146*100,""),"")</f>
        <v/>
      </c>
      <c r="AO146" s="31">
        <f>IF(BA146&lt;&gt;1,"",IFERROR(IF(INDEX('分群統計'!$N$5:$N$8,MATCH(X146,'分群統計'!$A$5:$A$8,0))&lt;3,"",IF(INDEX('分群統計'!$P$5:$P$8,MATCH(X146,'分群統計'!$A$5:$A$8,0))&gt;0,MAX(-3,MIN(3,(AZ146-INDEX('分群統計'!$O$5:$O$8,MATCH(X146,'分群統計'!$A$5:$A$8,0)))/INDEX('分群統計'!$P$5:$P$8,MATCH(X146,'分群統計'!$A$5:$A$8,0)))),0)),""))</f>
        <v/>
      </c>
      <c r="AP146" s="31">
        <f>IF(BC146&lt;&gt;1,"",IFERROR(IF(INDEX('分群統計'!$Q$5:$Q$8,MATCH(X146,'分群統計'!$A$5:$A$8,0))&lt;3,"",IF(INDEX('分群統計'!$S$5:$S$8,MATCH(X146,'分群統計'!$A$5:$A$8,0))&gt;0,MAX(-3,MIN(3,(BB146-INDEX('分群統計'!$R$5:$R$8,MATCH(X146,'分群統計'!$A$5:$A$8,0)))/INDEX('分群統計'!$S$5:$S$8,MATCH(X146,'分群統計'!$A$5:$A$8,0)))),0)),""))</f>
        <v/>
      </c>
      <c r="AQ146" s="31">
        <f>IF(Y146=1,(IF(ISNUMBER(AF146),AF146,0)*'參數'!$B$13+IF(ISNUMBER(AM146),AM146,0)*'參數'!$B$14+IF(ISNUMBER(AO146),AO146,0)*'參數'!$B$15+IF(ISNUMBER(AP146),AP146,0)*'參數'!$B$16)/('參數'!$B$13+'參數'!$B$14+'參數'!$B$15+'參數'!$B$16),"")</f>
        <v/>
      </c>
      <c r="AR146" s="35">
        <f>IF(Y146=1,(SUMPRODUCT(($X$5:$X$404=X146)*($Y$5:$Y$404=1)*($BD$5:$BD$404&gt;BD146))+1)/COUNTIFS($X$5:$X$404,X146,$Y$5:$Y$404,1),"")</f>
        <v/>
      </c>
      <c r="AS146" s="8">
        <f>IF(ISNUMBER(AR146),IF(AR146&lt;='參數'!$B$18,"加碼候選",IF(AR146&gt;'參數'!$B$19,"減碼候選","")),"")</f>
        <v/>
      </c>
      <c r="AT146" s="7">
        <f>IF(Y146=1,N146,0)</f>
        <v/>
      </c>
      <c r="AU146" s="7">
        <f>IF(Y146=1,LN(O146),0)</f>
        <v/>
      </c>
      <c r="AV146" s="36">
        <f>IF(Y146=1,IF(ISNUMBER(F146),F146,0),0)</f>
        <v/>
      </c>
      <c r="AW146" s="7">
        <f>IF(Y146=1,Z146,0)</f>
        <v/>
      </c>
      <c r="AX146" s="7">
        <f>IF(Y146=1,IF(ISNUMBER(AL146),AL146,0),0)</f>
        <v/>
      </c>
      <c r="AY146" s="7">
        <f>IF(Y146=1,IF(ISNUMBER(AL146),1,0),0)</f>
        <v/>
      </c>
      <c r="AZ146" s="7">
        <f>IF(Y146=1,IF(ISNUMBER(AN146),AN146,0),0)</f>
        <v/>
      </c>
      <c r="BA146" s="7">
        <f>IF(Y146=1,IF(ISNUMBER(AN146),1,0),0)</f>
        <v/>
      </c>
      <c r="BB146" s="7">
        <f>IF(Y146=1,IF(ISNUMBER(T146),T146,0),0)</f>
        <v/>
      </c>
      <c r="BC146" s="7">
        <f>IF(Y146=1,IF(ISNUMBER(T146),1,0),0)</f>
        <v/>
      </c>
      <c r="BD146" s="7">
        <f>IF(Y146=1,AQ146+ROW()/1E9,-1E9)</f>
        <v/>
      </c>
      <c r="BE146" s="7">
        <f>IF(Y146=1,AQ146+ROW()/1E9,1E9)</f>
        <v/>
      </c>
    </row>
    <row r="147">
      <c r="A147" s="16" t="n"/>
      <c r="B147" s="8">
        <f>IF($A147="","",BDP($A147,B$3))</f>
        <v/>
      </c>
      <c r="C147" s="8">
        <f>IF($A147="","",BDP($A147,C$3))</f>
        <v/>
      </c>
      <c r="D147" s="28">
        <f>IF($A147="","",BDP($A147,D$3))</f>
        <v/>
      </c>
      <c r="E147" s="29">
        <f>IF($A147="","",BDP($A147,E$3))</f>
        <v/>
      </c>
      <c r="F147" s="17">
        <f>IF($A147="","",BDP($A147,F$3))</f>
        <v/>
      </c>
      <c r="G147" s="8">
        <f>IF($A147="","",BDP($A147,G$3))</f>
        <v/>
      </c>
      <c r="H147" s="8">
        <f>IF($A147="","",BDP($A147,H$3))</f>
        <v/>
      </c>
      <c r="I147" s="8">
        <f>IF($A147="","",BDP($A147,I$3))</f>
        <v/>
      </c>
      <c r="J147" s="8">
        <f>IF($A147="","",BDP($A147,J$3))</f>
        <v/>
      </c>
      <c r="K147" s="8">
        <f>IF($A147="","",BDP($A147,K$3))</f>
        <v/>
      </c>
      <c r="L147" s="28">
        <f>IF($A147="","",BDP($A147,L$3))</f>
        <v/>
      </c>
      <c r="M147" s="28">
        <f>IF($A147="","",BDP($A147,M$3))</f>
        <v/>
      </c>
      <c r="N147" s="30">
        <f>IF($A147="","",BDP($A147,N$3))</f>
        <v/>
      </c>
      <c r="O147" s="31">
        <f>IF($A147="","",BDP($A147,O$3))</f>
        <v/>
      </c>
      <c r="P147" s="30">
        <f>IF($A147="","",BDH($A147,$N$3,'參數'!$B$5,'參數'!$B$5,"Days=A","Fill=P","Dates=H"))</f>
        <v/>
      </c>
      <c r="Q147" s="30">
        <f>IF($A147="","",BDH($A147,$N$3,'參數'!$B$6,'參數'!$B$6,"Days=A","Fill=P","Dates=H"))</f>
        <v/>
      </c>
      <c r="R147" s="30">
        <f>IF($A147="","",BDH($A147,$N$3,'參數'!$B$7,'參數'!$B$7,"Days=A","Fill=P","Dates=H"))</f>
        <v/>
      </c>
      <c r="S147" s="32">
        <f>IF($A147="","",IFERROR(INDEX('發行人'!$A$5:$A$44,MATCH(B147,'發行人'!$D$5:$D$44,0)),"未對應"))</f>
        <v/>
      </c>
      <c r="T147" s="24">
        <f>IF($A147="","",IFERROR(INDEX('發行人'!$G$5:$G$44,MATCH(B147,'發行人'!$D$5:$D$44,0))+0,""))</f>
        <v/>
      </c>
      <c r="U147" s="18">
        <f>IF(ISNUMBER(E147),YEARFRAC('參數'!$B$4,E147),"")</f>
        <v/>
      </c>
      <c r="V147" s="8">
        <f>IF(U147="","",IF(U147&lt;3,"1-3y",IF(U147&lt;5,"3-5y",IF(U147&lt;7,"5-7y",IF(U147&lt;10,"7-10y","10y+")))))</f>
        <v/>
      </c>
      <c r="W147" s="30">
        <f>IF($A147="","",IFERROR(INDEX('參數'!$B$24:$B$45,MATCH(G147,'參數'!$A$24:$A$45,0)),""))</f>
        <v/>
      </c>
      <c r="X147" s="8">
        <f>IF($A147="","",IFERROR(INDEX('參數'!$C$24:$C$45,MATCH(G147,'參數'!$A$24:$A$45,0)),""))</f>
        <v/>
      </c>
      <c r="Y147" s="30">
        <f>IF(AND(ISNUMBER(N147),ISNUMBER(O147),ISNUMBER(U147)),IF(AND(O147&gt;0,X147&lt;&gt;""),1,0),0)</f>
        <v/>
      </c>
      <c r="Z147" s="17">
        <f>IF(Y147=1,O147*N147,"")</f>
        <v/>
      </c>
      <c r="AA147" s="33">
        <f>IF(Y147=1,IF(ISNUMBER(Q147),N147-Q147,""),"")</f>
        <v/>
      </c>
      <c r="AB147" s="33">
        <f>IF(Y147=1,IF(AND(ISNUMBER(P147),ISNUMBER(R147)),R147*5/12-O147*(P147-R147),""),"")</f>
        <v/>
      </c>
      <c r="AC147" s="30">
        <f>IF(Y147=1,COUNTIFS($X$5:$X$404,X147,$V$5:$V$404,V147,$Y$5:$Y$404,1),"")</f>
        <v/>
      </c>
      <c r="AD147" s="30">
        <f>IF(Y147=1,IFERROR(IF(AC147&gt;='參數'!$B$9,INDEX('分群統計'!$G$13:$K$16,MATCH(X147,'分群統計'!$A$13:$A$16,0),MATCH(V147,'分群統計'!$G$12:$K$12,0)),INDEX('分群統計'!$I$5:$I$8,MATCH(X147,'分群統計'!$A$5:$A$8,0))),""),"")</f>
        <v/>
      </c>
      <c r="AE147" s="18">
        <f>IF(Y147=1,IFERROR(IF(AC147&gt;='參數'!$B$9,INDEX('分群統計'!$L$13:$P$16,MATCH(X147,'分群統計'!$A$13:$A$16,0),MATCH(V147,'分群統計'!$L$12:$P$12,0)),INDEX('分群統計'!$J$5:$J$8,MATCH(X147,'分群統計'!$A$5:$A$8,0))),""),"")</f>
        <v/>
      </c>
      <c r="AF147" s="31">
        <f>IF(ISNUMBER(AE147),IF(AE147&gt;0,MAX(-3,MIN(3,(N147-AD147)/AE147)),0),"")</f>
        <v/>
      </c>
      <c r="AG147" s="30">
        <f>IF(Y147=1,COUNTIFS($B$5:$B$404,B147,$Y$5:$Y$404,1),"")</f>
        <v/>
      </c>
      <c r="AH147" s="30">
        <f>IF(Y147=1,IFERROR(IF(ISNUMBER(INDEX('分群統計'!$G$20:$G$59,MATCH(B147,'分群統計'!$A$20:$A$59,0))),INDEX('分群統計'!$H$20:$H$59,MATCH(B147,'分群統計'!$A$20:$A$59,0))+INDEX('分群統計'!$G$20:$G$59,MATCH(B147,'分群統計'!$A$20:$A$59,0))*AU147,""),""),"")</f>
        <v/>
      </c>
      <c r="AI147" s="34">
        <f>IF(ISNUMBER(AH147),N147-AH147,"")</f>
        <v/>
      </c>
      <c r="AJ147" s="30">
        <f>IF(Y147=1,IFERROR(IF(ISNUMBER(INDEX('分群統計'!$G$5:$G$8,MATCH(X147,'分群統計'!$A$5:$A$8,0))),INDEX('分群統計'!$H$5:$H$8,MATCH(X147,'分群統計'!$A$5:$A$8,0))+INDEX('分群統計'!$G$5:$G$8,MATCH(X147,'分群統計'!$A$5:$A$8,0))*AU147,""),""),"")</f>
        <v/>
      </c>
      <c r="AK147" s="34">
        <f>IF(ISNUMBER(AJ147),N147-AJ147,"")</f>
        <v/>
      </c>
      <c r="AL147" s="21">
        <f>IF(ISNUMBER(AJ147),IF(AJ147&gt;0,AK147/AJ147,""),"")</f>
        <v/>
      </c>
      <c r="AM147" s="31">
        <f>IF(AY147&lt;&gt;1,"",IFERROR(IF(INDEX('分群統計'!$K$5:$K$8,MATCH(X147,'分群統計'!$A$5:$A$8,0))&lt;3,"",IF(INDEX('分群統計'!$M$5:$M$8,MATCH(X147,'分群統計'!$A$5:$A$8,0))&gt;0,MAX(-3,MIN(3,(AX147-INDEX('分群統計'!$L$5:$L$8,MATCH(X147,'分群統計'!$A$5:$A$8,0)))/INDEX('分群統計'!$M$5:$M$8,MATCH(X147,'分群統計'!$A$5:$A$8,0)))),0)),""))</f>
        <v/>
      </c>
      <c r="AN147" s="31">
        <f>IF(ISNUMBER(AB147),IF(Z147&gt;0,AB147/Z147*100,""),"")</f>
        <v/>
      </c>
      <c r="AO147" s="31">
        <f>IF(BA147&lt;&gt;1,"",IFERROR(IF(INDEX('分群統計'!$N$5:$N$8,MATCH(X147,'分群統計'!$A$5:$A$8,0))&lt;3,"",IF(INDEX('分群統計'!$P$5:$P$8,MATCH(X147,'分群統計'!$A$5:$A$8,0))&gt;0,MAX(-3,MIN(3,(AZ147-INDEX('分群統計'!$O$5:$O$8,MATCH(X147,'分群統計'!$A$5:$A$8,0)))/INDEX('分群統計'!$P$5:$P$8,MATCH(X147,'分群統計'!$A$5:$A$8,0)))),0)),""))</f>
        <v/>
      </c>
      <c r="AP147" s="31">
        <f>IF(BC147&lt;&gt;1,"",IFERROR(IF(INDEX('分群統計'!$Q$5:$Q$8,MATCH(X147,'分群統計'!$A$5:$A$8,0))&lt;3,"",IF(INDEX('分群統計'!$S$5:$S$8,MATCH(X147,'分群統計'!$A$5:$A$8,0))&gt;0,MAX(-3,MIN(3,(BB147-INDEX('分群統計'!$R$5:$R$8,MATCH(X147,'分群統計'!$A$5:$A$8,0)))/INDEX('分群統計'!$S$5:$S$8,MATCH(X147,'分群統計'!$A$5:$A$8,0)))),0)),""))</f>
        <v/>
      </c>
      <c r="AQ147" s="31">
        <f>IF(Y147=1,(IF(ISNUMBER(AF147),AF147,0)*'參數'!$B$13+IF(ISNUMBER(AM147),AM147,0)*'參數'!$B$14+IF(ISNUMBER(AO147),AO147,0)*'參數'!$B$15+IF(ISNUMBER(AP147),AP147,0)*'參數'!$B$16)/('參數'!$B$13+'參數'!$B$14+'參數'!$B$15+'參數'!$B$16),"")</f>
        <v/>
      </c>
      <c r="AR147" s="35">
        <f>IF(Y147=1,(SUMPRODUCT(($X$5:$X$404=X147)*($Y$5:$Y$404=1)*($BD$5:$BD$404&gt;BD147))+1)/COUNTIFS($X$5:$X$404,X147,$Y$5:$Y$404,1),"")</f>
        <v/>
      </c>
      <c r="AS147" s="8">
        <f>IF(ISNUMBER(AR147),IF(AR147&lt;='參數'!$B$18,"加碼候選",IF(AR147&gt;'參數'!$B$19,"減碼候選","")),"")</f>
        <v/>
      </c>
      <c r="AT147" s="7">
        <f>IF(Y147=1,N147,0)</f>
        <v/>
      </c>
      <c r="AU147" s="7">
        <f>IF(Y147=1,LN(O147),0)</f>
        <v/>
      </c>
      <c r="AV147" s="36">
        <f>IF(Y147=1,IF(ISNUMBER(F147),F147,0),0)</f>
        <v/>
      </c>
      <c r="AW147" s="7">
        <f>IF(Y147=1,Z147,0)</f>
        <v/>
      </c>
      <c r="AX147" s="7">
        <f>IF(Y147=1,IF(ISNUMBER(AL147),AL147,0),0)</f>
        <v/>
      </c>
      <c r="AY147" s="7">
        <f>IF(Y147=1,IF(ISNUMBER(AL147),1,0),0)</f>
        <v/>
      </c>
      <c r="AZ147" s="7">
        <f>IF(Y147=1,IF(ISNUMBER(AN147),AN147,0),0)</f>
        <v/>
      </c>
      <c r="BA147" s="7">
        <f>IF(Y147=1,IF(ISNUMBER(AN147),1,0),0)</f>
        <v/>
      </c>
      <c r="BB147" s="7">
        <f>IF(Y147=1,IF(ISNUMBER(T147),T147,0),0)</f>
        <v/>
      </c>
      <c r="BC147" s="7">
        <f>IF(Y147=1,IF(ISNUMBER(T147),1,0),0)</f>
        <v/>
      </c>
      <c r="BD147" s="7">
        <f>IF(Y147=1,AQ147+ROW()/1E9,-1E9)</f>
        <v/>
      </c>
      <c r="BE147" s="7">
        <f>IF(Y147=1,AQ147+ROW()/1E9,1E9)</f>
        <v/>
      </c>
    </row>
    <row r="148">
      <c r="A148" s="16" t="n"/>
      <c r="B148" s="8">
        <f>IF($A148="","",BDP($A148,B$3))</f>
        <v/>
      </c>
      <c r="C148" s="8">
        <f>IF($A148="","",BDP($A148,C$3))</f>
        <v/>
      </c>
      <c r="D148" s="28">
        <f>IF($A148="","",BDP($A148,D$3))</f>
        <v/>
      </c>
      <c r="E148" s="29">
        <f>IF($A148="","",BDP($A148,E$3))</f>
        <v/>
      </c>
      <c r="F148" s="17">
        <f>IF($A148="","",BDP($A148,F$3))</f>
        <v/>
      </c>
      <c r="G148" s="8">
        <f>IF($A148="","",BDP($A148,G$3))</f>
        <v/>
      </c>
      <c r="H148" s="8">
        <f>IF($A148="","",BDP($A148,H$3))</f>
        <v/>
      </c>
      <c r="I148" s="8">
        <f>IF($A148="","",BDP($A148,I$3))</f>
        <v/>
      </c>
      <c r="J148" s="8">
        <f>IF($A148="","",BDP($A148,J$3))</f>
        <v/>
      </c>
      <c r="K148" s="8">
        <f>IF($A148="","",BDP($A148,K$3))</f>
        <v/>
      </c>
      <c r="L148" s="28">
        <f>IF($A148="","",BDP($A148,L$3))</f>
        <v/>
      </c>
      <c r="M148" s="28">
        <f>IF($A148="","",BDP($A148,M$3))</f>
        <v/>
      </c>
      <c r="N148" s="30">
        <f>IF($A148="","",BDP($A148,N$3))</f>
        <v/>
      </c>
      <c r="O148" s="31">
        <f>IF($A148="","",BDP($A148,O$3))</f>
        <v/>
      </c>
      <c r="P148" s="30">
        <f>IF($A148="","",BDH($A148,$N$3,'參數'!$B$5,'參數'!$B$5,"Days=A","Fill=P","Dates=H"))</f>
        <v/>
      </c>
      <c r="Q148" s="30">
        <f>IF($A148="","",BDH($A148,$N$3,'參數'!$B$6,'參數'!$B$6,"Days=A","Fill=P","Dates=H"))</f>
        <v/>
      </c>
      <c r="R148" s="30">
        <f>IF($A148="","",BDH($A148,$N$3,'參數'!$B$7,'參數'!$B$7,"Days=A","Fill=P","Dates=H"))</f>
        <v/>
      </c>
      <c r="S148" s="32">
        <f>IF($A148="","",IFERROR(INDEX('發行人'!$A$5:$A$44,MATCH(B148,'發行人'!$D$5:$D$44,0)),"未對應"))</f>
        <v/>
      </c>
      <c r="T148" s="24">
        <f>IF($A148="","",IFERROR(INDEX('發行人'!$G$5:$G$44,MATCH(B148,'發行人'!$D$5:$D$44,0))+0,""))</f>
        <v/>
      </c>
      <c r="U148" s="18">
        <f>IF(ISNUMBER(E148),YEARFRAC('參數'!$B$4,E148),"")</f>
        <v/>
      </c>
      <c r="V148" s="8">
        <f>IF(U148="","",IF(U148&lt;3,"1-3y",IF(U148&lt;5,"3-5y",IF(U148&lt;7,"5-7y",IF(U148&lt;10,"7-10y","10y+")))))</f>
        <v/>
      </c>
      <c r="W148" s="30">
        <f>IF($A148="","",IFERROR(INDEX('參數'!$B$24:$B$45,MATCH(G148,'參數'!$A$24:$A$45,0)),""))</f>
        <v/>
      </c>
      <c r="X148" s="8">
        <f>IF($A148="","",IFERROR(INDEX('參數'!$C$24:$C$45,MATCH(G148,'參數'!$A$24:$A$45,0)),""))</f>
        <v/>
      </c>
      <c r="Y148" s="30">
        <f>IF(AND(ISNUMBER(N148),ISNUMBER(O148),ISNUMBER(U148)),IF(AND(O148&gt;0,X148&lt;&gt;""),1,0),0)</f>
        <v/>
      </c>
      <c r="Z148" s="17">
        <f>IF(Y148=1,O148*N148,"")</f>
        <v/>
      </c>
      <c r="AA148" s="33">
        <f>IF(Y148=1,IF(ISNUMBER(Q148),N148-Q148,""),"")</f>
        <v/>
      </c>
      <c r="AB148" s="33">
        <f>IF(Y148=1,IF(AND(ISNUMBER(P148),ISNUMBER(R148)),R148*5/12-O148*(P148-R148),""),"")</f>
        <v/>
      </c>
      <c r="AC148" s="30">
        <f>IF(Y148=1,COUNTIFS($X$5:$X$404,X148,$V$5:$V$404,V148,$Y$5:$Y$404,1),"")</f>
        <v/>
      </c>
      <c r="AD148" s="30">
        <f>IF(Y148=1,IFERROR(IF(AC148&gt;='參數'!$B$9,INDEX('分群統計'!$G$13:$K$16,MATCH(X148,'分群統計'!$A$13:$A$16,0),MATCH(V148,'分群統計'!$G$12:$K$12,0)),INDEX('分群統計'!$I$5:$I$8,MATCH(X148,'分群統計'!$A$5:$A$8,0))),""),"")</f>
        <v/>
      </c>
      <c r="AE148" s="18">
        <f>IF(Y148=1,IFERROR(IF(AC148&gt;='參數'!$B$9,INDEX('分群統計'!$L$13:$P$16,MATCH(X148,'分群統計'!$A$13:$A$16,0),MATCH(V148,'分群統計'!$L$12:$P$12,0)),INDEX('分群統計'!$J$5:$J$8,MATCH(X148,'分群統計'!$A$5:$A$8,0))),""),"")</f>
        <v/>
      </c>
      <c r="AF148" s="31">
        <f>IF(ISNUMBER(AE148),IF(AE148&gt;0,MAX(-3,MIN(3,(N148-AD148)/AE148)),0),"")</f>
        <v/>
      </c>
      <c r="AG148" s="30">
        <f>IF(Y148=1,COUNTIFS($B$5:$B$404,B148,$Y$5:$Y$404,1),"")</f>
        <v/>
      </c>
      <c r="AH148" s="30">
        <f>IF(Y148=1,IFERROR(IF(ISNUMBER(INDEX('分群統計'!$G$20:$G$59,MATCH(B148,'分群統計'!$A$20:$A$59,0))),INDEX('分群統計'!$H$20:$H$59,MATCH(B148,'分群統計'!$A$20:$A$59,0))+INDEX('分群統計'!$G$20:$G$59,MATCH(B148,'分群統計'!$A$20:$A$59,0))*AU148,""),""),"")</f>
        <v/>
      </c>
      <c r="AI148" s="34">
        <f>IF(ISNUMBER(AH148),N148-AH148,"")</f>
        <v/>
      </c>
      <c r="AJ148" s="30">
        <f>IF(Y148=1,IFERROR(IF(ISNUMBER(INDEX('分群統計'!$G$5:$G$8,MATCH(X148,'分群統計'!$A$5:$A$8,0))),INDEX('分群統計'!$H$5:$H$8,MATCH(X148,'分群統計'!$A$5:$A$8,0))+INDEX('分群統計'!$G$5:$G$8,MATCH(X148,'分群統計'!$A$5:$A$8,0))*AU148,""),""),"")</f>
        <v/>
      </c>
      <c r="AK148" s="34">
        <f>IF(ISNUMBER(AJ148),N148-AJ148,"")</f>
        <v/>
      </c>
      <c r="AL148" s="21">
        <f>IF(ISNUMBER(AJ148),IF(AJ148&gt;0,AK148/AJ148,""),"")</f>
        <v/>
      </c>
      <c r="AM148" s="31">
        <f>IF(AY148&lt;&gt;1,"",IFERROR(IF(INDEX('分群統計'!$K$5:$K$8,MATCH(X148,'分群統計'!$A$5:$A$8,0))&lt;3,"",IF(INDEX('分群統計'!$M$5:$M$8,MATCH(X148,'分群統計'!$A$5:$A$8,0))&gt;0,MAX(-3,MIN(3,(AX148-INDEX('分群統計'!$L$5:$L$8,MATCH(X148,'分群統計'!$A$5:$A$8,0)))/INDEX('分群統計'!$M$5:$M$8,MATCH(X148,'分群統計'!$A$5:$A$8,0)))),0)),""))</f>
        <v/>
      </c>
      <c r="AN148" s="31">
        <f>IF(ISNUMBER(AB148),IF(Z148&gt;0,AB148/Z148*100,""),"")</f>
        <v/>
      </c>
      <c r="AO148" s="31">
        <f>IF(BA148&lt;&gt;1,"",IFERROR(IF(INDEX('分群統計'!$N$5:$N$8,MATCH(X148,'分群統計'!$A$5:$A$8,0))&lt;3,"",IF(INDEX('分群統計'!$P$5:$P$8,MATCH(X148,'分群統計'!$A$5:$A$8,0))&gt;0,MAX(-3,MIN(3,(AZ148-INDEX('分群統計'!$O$5:$O$8,MATCH(X148,'分群統計'!$A$5:$A$8,0)))/INDEX('分群統計'!$P$5:$P$8,MATCH(X148,'分群統計'!$A$5:$A$8,0)))),0)),""))</f>
        <v/>
      </c>
      <c r="AP148" s="31">
        <f>IF(BC148&lt;&gt;1,"",IFERROR(IF(INDEX('分群統計'!$Q$5:$Q$8,MATCH(X148,'分群統計'!$A$5:$A$8,0))&lt;3,"",IF(INDEX('分群統計'!$S$5:$S$8,MATCH(X148,'分群統計'!$A$5:$A$8,0))&gt;0,MAX(-3,MIN(3,(BB148-INDEX('分群統計'!$R$5:$R$8,MATCH(X148,'分群統計'!$A$5:$A$8,0)))/INDEX('分群統計'!$S$5:$S$8,MATCH(X148,'分群統計'!$A$5:$A$8,0)))),0)),""))</f>
        <v/>
      </c>
      <c r="AQ148" s="31">
        <f>IF(Y148=1,(IF(ISNUMBER(AF148),AF148,0)*'參數'!$B$13+IF(ISNUMBER(AM148),AM148,0)*'參數'!$B$14+IF(ISNUMBER(AO148),AO148,0)*'參數'!$B$15+IF(ISNUMBER(AP148),AP148,0)*'參數'!$B$16)/('參數'!$B$13+'參數'!$B$14+'參數'!$B$15+'參數'!$B$16),"")</f>
        <v/>
      </c>
      <c r="AR148" s="35">
        <f>IF(Y148=1,(SUMPRODUCT(($X$5:$X$404=X148)*($Y$5:$Y$404=1)*($BD$5:$BD$404&gt;BD148))+1)/COUNTIFS($X$5:$X$404,X148,$Y$5:$Y$404,1),"")</f>
        <v/>
      </c>
      <c r="AS148" s="8">
        <f>IF(ISNUMBER(AR148),IF(AR148&lt;='參數'!$B$18,"加碼候選",IF(AR148&gt;'參數'!$B$19,"減碼候選","")),"")</f>
        <v/>
      </c>
      <c r="AT148" s="7">
        <f>IF(Y148=1,N148,0)</f>
        <v/>
      </c>
      <c r="AU148" s="7">
        <f>IF(Y148=1,LN(O148),0)</f>
        <v/>
      </c>
      <c r="AV148" s="36">
        <f>IF(Y148=1,IF(ISNUMBER(F148),F148,0),0)</f>
        <v/>
      </c>
      <c r="AW148" s="7">
        <f>IF(Y148=1,Z148,0)</f>
        <v/>
      </c>
      <c r="AX148" s="7">
        <f>IF(Y148=1,IF(ISNUMBER(AL148),AL148,0),0)</f>
        <v/>
      </c>
      <c r="AY148" s="7">
        <f>IF(Y148=1,IF(ISNUMBER(AL148),1,0),0)</f>
        <v/>
      </c>
      <c r="AZ148" s="7">
        <f>IF(Y148=1,IF(ISNUMBER(AN148),AN148,0),0)</f>
        <v/>
      </c>
      <c r="BA148" s="7">
        <f>IF(Y148=1,IF(ISNUMBER(AN148),1,0),0)</f>
        <v/>
      </c>
      <c r="BB148" s="7">
        <f>IF(Y148=1,IF(ISNUMBER(T148),T148,0),0)</f>
        <v/>
      </c>
      <c r="BC148" s="7">
        <f>IF(Y148=1,IF(ISNUMBER(T148),1,0),0)</f>
        <v/>
      </c>
      <c r="BD148" s="7">
        <f>IF(Y148=1,AQ148+ROW()/1E9,-1E9)</f>
        <v/>
      </c>
      <c r="BE148" s="7">
        <f>IF(Y148=1,AQ148+ROW()/1E9,1E9)</f>
        <v/>
      </c>
    </row>
    <row r="149">
      <c r="A149" s="16" t="n"/>
      <c r="B149" s="8">
        <f>IF($A149="","",BDP($A149,B$3))</f>
        <v/>
      </c>
      <c r="C149" s="8">
        <f>IF($A149="","",BDP($A149,C$3))</f>
        <v/>
      </c>
      <c r="D149" s="28">
        <f>IF($A149="","",BDP($A149,D$3))</f>
        <v/>
      </c>
      <c r="E149" s="29">
        <f>IF($A149="","",BDP($A149,E$3))</f>
        <v/>
      </c>
      <c r="F149" s="17">
        <f>IF($A149="","",BDP($A149,F$3))</f>
        <v/>
      </c>
      <c r="G149" s="8">
        <f>IF($A149="","",BDP($A149,G$3))</f>
        <v/>
      </c>
      <c r="H149" s="8">
        <f>IF($A149="","",BDP($A149,H$3))</f>
        <v/>
      </c>
      <c r="I149" s="8">
        <f>IF($A149="","",BDP($A149,I$3))</f>
        <v/>
      </c>
      <c r="J149" s="8">
        <f>IF($A149="","",BDP($A149,J$3))</f>
        <v/>
      </c>
      <c r="K149" s="8">
        <f>IF($A149="","",BDP($A149,K$3))</f>
        <v/>
      </c>
      <c r="L149" s="28">
        <f>IF($A149="","",BDP($A149,L$3))</f>
        <v/>
      </c>
      <c r="M149" s="28">
        <f>IF($A149="","",BDP($A149,M$3))</f>
        <v/>
      </c>
      <c r="N149" s="30">
        <f>IF($A149="","",BDP($A149,N$3))</f>
        <v/>
      </c>
      <c r="O149" s="31">
        <f>IF($A149="","",BDP($A149,O$3))</f>
        <v/>
      </c>
      <c r="P149" s="30">
        <f>IF($A149="","",BDH($A149,$N$3,'參數'!$B$5,'參數'!$B$5,"Days=A","Fill=P","Dates=H"))</f>
        <v/>
      </c>
      <c r="Q149" s="30">
        <f>IF($A149="","",BDH($A149,$N$3,'參數'!$B$6,'參數'!$B$6,"Days=A","Fill=P","Dates=H"))</f>
        <v/>
      </c>
      <c r="R149" s="30">
        <f>IF($A149="","",BDH($A149,$N$3,'參數'!$B$7,'參數'!$B$7,"Days=A","Fill=P","Dates=H"))</f>
        <v/>
      </c>
      <c r="S149" s="32">
        <f>IF($A149="","",IFERROR(INDEX('發行人'!$A$5:$A$44,MATCH(B149,'發行人'!$D$5:$D$44,0)),"未對應"))</f>
        <v/>
      </c>
      <c r="T149" s="24">
        <f>IF($A149="","",IFERROR(INDEX('發行人'!$G$5:$G$44,MATCH(B149,'發行人'!$D$5:$D$44,0))+0,""))</f>
        <v/>
      </c>
      <c r="U149" s="18">
        <f>IF(ISNUMBER(E149),YEARFRAC('參數'!$B$4,E149),"")</f>
        <v/>
      </c>
      <c r="V149" s="8">
        <f>IF(U149="","",IF(U149&lt;3,"1-3y",IF(U149&lt;5,"3-5y",IF(U149&lt;7,"5-7y",IF(U149&lt;10,"7-10y","10y+")))))</f>
        <v/>
      </c>
      <c r="W149" s="30">
        <f>IF($A149="","",IFERROR(INDEX('參數'!$B$24:$B$45,MATCH(G149,'參數'!$A$24:$A$45,0)),""))</f>
        <v/>
      </c>
      <c r="X149" s="8">
        <f>IF($A149="","",IFERROR(INDEX('參數'!$C$24:$C$45,MATCH(G149,'參數'!$A$24:$A$45,0)),""))</f>
        <v/>
      </c>
      <c r="Y149" s="30">
        <f>IF(AND(ISNUMBER(N149),ISNUMBER(O149),ISNUMBER(U149)),IF(AND(O149&gt;0,X149&lt;&gt;""),1,0),0)</f>
        <v/>
      </c>
      <c r="Z149" s="17">
        <f>IF(Y149=1,O149*N149,"")</f>
        <v/>
      </c>
      <c r="AA149" s="33">
        <f>IF(Y149=1,IF(ISNUMBER(Q149),N149-Q149,""),"")</f>
        <v/>
      </c>
      <c r="AB149" s="33">
        <f>IF(Y149=1,IF(AND(ISNUMBER(P149),ISNUMBER(R149)),R149*5/12-O149*(P149-R149),""),"")</f>
        <v/>
      </c>
      <c r="AC149" s="30">
        <f>IF(Y149=1,COUNTIFS($X$5:$X$404,X149,$V$5:$V$404,V149,$Y$5:$Y$404,1),"")</f>
        <v/>
      </c>
      <c r="AD149" s="30">
        <f>IF(Y149=1,IFERROR(IF(AC149&gt;='參數'!$B$9,INDEX('分群統計'!$G$13:$K$16,MATCH(X149,'分群統計'!$A$13:$A$16,0),MATCH(V149,'分群統計'!$G$12:$K$12,0)),INDEX('分群統計'!$I$5:$I$8,MATCH(X149,'分群統計'!$A$5:$A$8,0))),""),"")</f>
        <v/>
      </c>
      <c r="AE149" s="18">
        <f>IF(Y149=1,IFERROR(IF(AC149&gt;='參數'!$B$9,INDEX('分群統計'!$L$13:$P$16,MATCH(X149,'分群統計'!$A$13:$A$16,0),MATCH(V149,'分群統計'!$L$12:$P$12,0)),INDEX('分群統計'!$J$5:$J$8,MATCH(X149,'分群統計'!$A$5:$A$8,0))),""),"")</f>
        <v/>
      </c>
      <c r="AF149" s="31">
        <f>IF(ISNUMBER(AE149),IF(AE149&gt;0,MAX(-3,MIN(3,(N149-AD149)/AE149)),0),"")</f>
        <v/>
      </c>
      <c r="AG149" s="30">
        <f>IF(Y149=1,COUNTIFS($B$5:$B$404,B149,$Y$5:$Y$404,1),"")</f>
        <v/>
      </c>
      <c r="AH149" s="30">
        <f>IF(Y149=1,IFERROR(IF(ISNUMBER(INDEX('分群統計'!$G$20:$G$59,MATCH(B149,'分群統計'!$A$20:$A$59,0))),INDEX('分群統計'!$H$20:$H$59,MATCH(B149,'分群統計'!$A$20:$A$59,0))+INDEX('分群統計'!$G$20:$G$59,MATCH(B149,'分群統計'!$A$20:$A$59,0))*AU149,""),""),"")</f>
        <v/>
      </c>
      <c r="AI149" s="34">
        <f>IF(ISNUMBER(AH149),N149-AH149,"")</f>
        <v/>
      </c>
      <c r="AJ149" s="30">
        <f>IF(Y149=1,IFERROR(IF(ISNUMBER(INDEX('分群統計'!$G$5:$G$8,MATCH(X149,'分群統計'!$A$5:$A$8,0))),INDEX('分群統計'!$H$5:$H$8,MATCH(X149,'分群統計'!$A$5:$A$8,0))+INDEX('分群統計'!$G$5:$G$8,MATCH(X149,'分群統計'!$A$5:$A$8,0))*AU149,""),""),"")</f>
        <v/>
      </c>
      <c r="AK149" s="34">
        <f>IF(ISNUMBER(AJ149),N149-AJ149,"")</f>
        <v/>
      </c>
      <c r="AL149" s="21">
        <f>IF(ISNUMBER(AJ149),IF(AJ149&gt;0,AK149/AJ149,""),"")</f>
        <v/>
      </c>
      <c r="AM149" s="31">
        <f>IF(AY149&lt;&gt;1,"",IFERROR(IF(INDEX('分群統計'!$K$5:$K$8,MATCH(X149,'分群統計'!$A$5:$A$8,0))&lt;3,"",IF(INDEX('分群統計'!$M$5:$M$8,MATCH(X149,'分群統計'!$A$5:$A$8,0))&gt;0,MAX(-3,MIN(3,(AX149-INDEX('分群統計'!$L$5:$L$8,MATCH(X149,'分群統計'!$A$5:$A$8,0)))/INDEX('分群統計'!$M$5:$M$8,MATCH(X149,'分群統計'!$A$5:$A$8,0)))),0)),""))</f>
        <v/>
      </c>
      <c r="AN149" s="31">
        <f>IF(ISNUMBER(AB149),IF(Z149&gt;0,AB149/Z149*100,""),"")</f>
        <v/>
      </c>
      <c r="AO149" s="31">
        <f>IF(BA149&lt;&gt;1,"",IFERROR(IF(INDEX('分群統計'!$N$5:$N$8,MATCH(X149,'分群統計'!$A$5:$A$8,0))&lt;3,"",IF(INDEX('分群統計'!$P$5:$P$8,MATCH(X149,'分群統計'!$A$5:$A$8,0))&gt;0,MAX(-3,MIN(3,(AZ149-INDEX('分群統計'!$O$5:$O$8,MATCH(X149,'分群統計'!$A$5:$A$8,0)))/INDEX('分群統計'!$P$5:$P$8,MATCH(X149,'分群統計'!$A$5:$A$8,0)))),0)),""))</f>
        <v/>
      </c>
      <c r="AP149" s="31">
        <f>IF(BC149&lt;&gt;1,"",IFERROR(IF(INDEX('分群統計'!$Q$5:$Q$8,MATCH(X149,'分群統計'!$A$5:$A$8,0))&lt;3,"",IF(INDEX('分群統計'!$S$5:$S$8,MATCH(X149,'分群統計'!$A$5:$A$8,0))&gt;0,MAX(-3,MIN(3,(BB149-INDEX('分群統計'!$R$5:$R$8,MATCH(X149,'分群統計'!$A$5:$A$8,0)))/INDEX('分群統計'!$S$5:$S$8,MATCH(X149,'分群統計'!$A$5:$A$8,0)))),0)),""))</f>
        <v/>
      </c>
      <c r="AQ149" s="31">
        <f>IF(Y149=1,(IF(ISNUMBER(AF149),AF149,0)*'參數'!$B$13+IF(ISNUMBER(AM149),AM149,0)*'參數'!$B$14+IF(ISNUMBER(AO149),AO149,0)*'參數'!$B$15+IF(ISNUMBER(AP149),AP149,0)*'參數'!$B$16)/('參數'!$B$13+'參數'!$B$14+'參數'!$B$15+'參數'!$B$16),"")</f>
        <v/>
      </c>
      <c r="AR149" s="35">
        <f>IF(Y149=1,(SUMPRODUCT(($X$5:$X$404=X149)*($Y$5:$Y$404=1)*($BD$5:$BD$404&gt;BD149))+1)/COUNTIFS($X$5:$X$404,X149,$Y$5:$Y$404,1),"")</f>
        <v/>
      </c>
      <c r="AS149" s="8">
        <f>IF(ISNUMBER(AR149),IF(AR149&lt;='參數'!$B$18,"加碼候選",IF(AR149&gt;'參數'!$B$19,"減碼候選","")),"")</f>
        <v/>
      </c>
      <c r="AT149" s="7">
        <f>IF(Y149=1,N149,0)</f>
        <v/>
      </c>
      <c r="AU149" s="7">
        <f>IF(Y149=1,LN(O149),0)</f>
        <v/>
      </c>
      <c r="AV149" s="36">
        <f>IF(Y149=1,IF(ISNUMBER(F149),F149,0),0)</f>
        <v/>
      </c>
      <c r="AW149" s="7">
        <f>IF(Y149=1,Z149,0)</f>
        <v/>
      </c>
      <c r="AX149" s="7">
        <f>IF(Y149=1,IF(ISNUMBER(AL149),AL149,0),0)</f>
        <v/>
      </c>
      <c r="AY149" s="7">
        <f>IF(Y149=1,IF(ISNUMBER(AL149),1,0),0)</f>
        <v/>
      </c>
      <c r="AZ149" s="7">
        <f>IF(Y149=1,IF(ISNUMBER(AN149),AN149,0),0)</f>
        <v/>
      </c>
      <c r="BA149" s="7">
        <f>IF(Y149=1,IF(ISNUMBER(AN149),1,0),0)</f>
        <v/>
      </c>
      <c r="BB149" s="7">
        <f>IF(Y149=1,IF(ISNUMBER(T149),T149,0),0)</f>
        <v/>
      </c>
      <c r="BC149" s="7">
        <f>IF(Y149=1,IF(ISNUMBER(T149),1,0),0)</f>
        <v/>
      </c>
      <c r="BD149" s="7">
        <f>IF(Y149=1,AQ149+ROW()/1E9,-1E9)</f>
        <v/>
      </c>
      <c r="BE149" s="7">
        <f>IF(Y149=1,AQ149+ROW()/1E9,1E9)</f>
        <v/>
      </c>
    </row>
    <row r="150">
      <c r="A150" s="16" t="n"/>
      <c r="B150" s="8">
        <f>IF($A150="","",BDP($A150,B$3))</f>
        <v/>
      </c>
      <c r="C150" s="8">
        <f>IF($A150="","",BDP($A150,C$3))</f>
        <v/>
      </c>
      <c r="D150" s="28">
        <f>IF($A150="","",BDP($A150,D$3))</f>
        <v/>
      </c>
      <c r="E150" s="29">
        <f>IF($A150="","",BDP($A150,E$3))</f>
        <v/>
      </c>
      <c r="F150" s="17">
        <f>IF($A150="","",BDP($A150,F$3))</f>
        <v/>
      </c>
      <c r="G150" s="8">
        <f>IF($A150="","",BDP($A150,G$3))</f>
        <v/>
      </c>
      <c r="H150" s="8">
        <f>IF($A150="","",BDP($A150,H$3))</f>
        <v/>
      </c>
      <c r="I150" s="8">
        <f>IF($A150="","",BDP($A150,I$3))</f>
        <v/>
      </c>
      <c r="J150" s="8">
        <f>IF($A150="","",BDP($A150,J$3))</f>
        <v/>
      </c>
      <c r="K150" s="8">
        <f>IF($A150="","",BDP($A150,K$3))</f>
        <v/>
      </c>
      <c r="L150" s="28">
        <f>IF($A150="","",BDP($A150,L$3))</f>
        <v/>
      </c>
      <c r="M150" s="28">
        <f>IF($A150="","",BDP($A150,M$3))</f>
        <v/>
      </c>
      <c r="N150" s="30">
        <f>IF($A150="","",BDP($A150,N$3))</f>
        <v/>
      </c>
      <c r="O150" s="31">
        <f>IF($A150="","",BDP($A150,O$3))</f>
        <v/>
      </c>
      <c r="P150" s="30">
        <f>IF($A150="","",BDH($A150,$N$3,'參數'!$B$5,'參數'!$B$5,"Days=A","Fill=P","Dates=H"))</f>
        <v/>
      </c>
      <c r="Q150" s="30">
        <f>IF($A150="","",BDH($A150,$N$3,'參數'!$B$6,'參數'!$B$6,"Days=A","Fill=P","Dates=H"))</f>
        <v/>
      </c>
      <c r="R150" s="30">
        <f>IF($A150="","",BDH($A150,$N$3,'參數'!$B$7,'參數'!$B$7,"Days=A","Fill=P","Dates=H"))</f>
        <v/>
      </c>
      <c r="S150" s="32">
        <f>IF($A150="","",IFERROR(INDEX('發行人'!$A$5:$A$44,MATCH(B150,'發行人'!$D$5:$D$44,0)),"未對應"))</f>
        <v/>
      </c>
      <c r="T150" s="24">
        <f>IF($A150="","",IFERROR(INDEX('發行人'!$G$5:$G$44,MATCH(B150,'發行人'!$D$5:$D$44,0))+0,""))</f>
        <v/>
      </c>
      <c r="U150" s="18">
        <f>IF(ISNUMBER(E150),YEARFRAC('參數'!$B$4,E150),"")</f>
        <v/>
      </c>
      <c r="V150" s="8">
        <f>IF(U150="","",IF(U150&lt;3,"1-3y",IF(U150&lt;5,"3-5y",IF(U150&lt;7,"5-7y",IF(U150&lt;10,"7-10y","10y+")))))</f>
        <v/>
      </c>
      <c r="W150" s="30">
        <f>IF($A150="","",IFERROR(INDEX('參數'!$B$24:$B$45,MATCH(G150,'參數'!$A$24:$A$45,0)),""))</f>
        <v/>
      </c>
      <c r="X150" s="8">
        <f>IF($A150="","",IFERROR(INDEX('參數'!$C$24:$C$45,MATCH(G150,'參數'!$A$24:$A$45,0)),""))</f>
        <v/>
      </c>
      <c r="Y150" s="30">
        <f>IF(AND(ISNUMBER(N150),ISNUMBER(O150),ISNUMBER(U150)),IF(AND(O150&gt;0,X150&lt;&gt;""),1,0),0)</f>
        <v/>
      </c>
      <c r="Z150" s="17">
        <f>IF(Y150=1,O150*N150,"")</f>
        <v/>
      </c>
      <c r="AA150" s="33">
        <f>IF(Y150=1,IF(ISNUMBER(Q150),N150-Q150,""),"")</f>
        <v/>
      </c>
      <c r="AB150" s="33">
        <f>IF(Y150=1,IF(AND(ISNUMBER(P150),ISNUMBER(R150)),R150*5/12-O150*(P150-R150),""),"")</f>
        <v/>
      </c>
      <c r="AC150" s="30">
        <f>IF(Y150=1,COUNTIFS($X$5:$X$404,X150,$V$5:$V$404,V150,$Y$5:$Y$404,1),"")</f>
        <v/>
      </c>
      <c r="AD150" s="30">
        <f>IF(Y150=1,IFERROR(IF(AC150&gt;='參數'!$B$9,INDEX('分群統計'!$G$13:$K$16,MATCH(X150,'分群統計'!$A$13:$A$16,0),MATCH(V150,'分群統計'!$G$12:$K$12,0)),INDEX('分群統計'!$I$5:$I$8,MATCH(X150,'分群統計'!$A$5:$A$8,0))),""),"")</f>
        <v/>
      </c>
      <c r="AE150" s="18">
        <f>IF(Y150=1,IFERROR(IF(AC150&gt;='參數'!$B$9,INDEX('分群統計'!$L$13:$P$16,MATCH(X150,'分群統計'!$A$13:$A$16,0),MATCH(V150,'分群統計'!$L$12:$P$12,0)),INDEX('分群統計'!$J$5:$J$8,MATCH(X150,'分群統計'!$A$5:$A$8,0))),""),"")</f>
        <v/>
      </c>
      <c r="AF150" s="31">
        <f>IF(ISNUMBER(AE150),IF(AE150&gt;0,MAX(-3,MIN(3,(N150-AD150)/AE150)),0),"")</f>
        <v/>
      </c>
      <c r="AG150" s="30">
        <f>IF(Y150=1,COUNTIFS($B$5:$B$404,B150,$Y$5:$Y$404,1),"")</f>
        <v/>
      </c>
      <c r="AH150" s="30">
        <f>IF(Y150=1,IFERROR(IF(ISNUMBER(INDEX('分群統計'!$G$20:$G$59,MATCH(B150,'分群統計'!$A$20:$A$59,0))),INDEX('分群統計'!$H$20:$H$59,MATCH(B150,'分群統計'!$A$20:$A$59,0))+INDEX('分群統計'!$G$20:$G$59,MATCH(B150,'分群統計'!$A$20:$A$59,0))*AU150,""),""),"")</f>
        <v/>
      </c>
      <c r="AI150" s="34">
        <f>IF(ISNUMBER(AH150),N150-AH150,"")</f>
        <v/>
      </c>
      <c r="AJ150" s="30">
        <f>IF(Y150=1,IFERROR(IF(ISNUMBER(INDEX('分群統計'!$G$5:$G$8,MATCH(X150,'分群統計'!$A$5:$A$8,0))),INDEX('分群統計'!$H$5:$H$8,MATCH(X150,'分群統計'!$A$5:$A$8,0))+INDEX('分群統計'!$G$5:$G$8,MATCH(X150,'分群統計'!$A$5:$A$8,0))*AU150,""),""),"")</f>
        <v/>
      </c>
      <c r="AK150" s="34">
        <f>IF(ISNUMBER(AJ150),N150-AJ150,"")</f>
        <v/>
      </c>
      <c r="AL150" s="21">
        <f>IF(ISNUMBER(AJ150),IF(AJ150&gt;0,AK150/AJ150,""),"")</f>
        <v/>
      </c>
      <c r="AM150" s="31">
        <f>IF(AY150&lt;&gt;1,"",IFERROR(IF(INDEX('分群統計'!$K$5:$K$8,MATCH(X150,'分群統計'!$A$5:$A$8,0))&lt;3,"",IF(INDEX('分群統計'!$M$5:$M$8,MATCH(X150,'分群統計'!$A$5:$A$8,0))&gt;0,MAX(-3,MIN(3,(AX150-INDEX('分群統計'!$L$5:$L$8,MATCH(X150,'分群統計'!$A$5:$A$8,0)))/INDEX('分群統計'!$M$5:$M$8,MATCH(X150,'分群統計'!$A$5:$A$8,0)))),0)),""))</f>
        <v/>
      </c>
      <c r="AN150" s="31">
        <f>IF(ISNUMBER(AB150),IF(Z150&gt;0,AB150/Z150*100,""),"")</f>
        <v/>
      </c>
      <c r="AO150" s="31">
        <f>IF(BA150&lt;&gt;1,"",IFERROR(IF(INDEX('分群統計'!$N$5:$N$8,MATCH(X150,'分群統計'!$A$5:$A$8,0))&lt;3,"",IF(INDEX('分群統計'!$P$5:$P$8,MATCH(X150,'分群統計'!$A$5:$A$8,0))&gt;0,MAX(-3,MIN(3,(AZ150-INDEX('分群統計'!$O$5:$O$8,MATCH(X150,'分群統計'!$A$5:$A$8,0)))/INDEX('分群統計'!$P$5:$P$8,MATCH(X150,'分群統計'!$A$5:$A$8,0)))),0)),""))</f>
        <v/>
      </c>
      <c r="AP150" s="31">
        <f>IF(BC150&lt;&gt;1,"",IFERROR(IF(INDEX('分群統計'!$Q$5:$Q$8,MATCH(X150,'分群統計'!$A$5:$A$8,0))&lt;3,"",IF(INDEX('分群統計'!$S$5:$S$8,MATCH(X150,'分群統計'!$A$5:$A$8,0))&gt;0,MAX(-3,MIN(3,(BB150-INDEX('分群統計'!$R$5:$R$8,MATCH(X150,'分群統計'!$A$5:$A$8,0)))/INDEX('分群統計'!$S$5:$S$8,MATCH(X150,'分群統計'!$A$5:$A$8,0)))),0)),""))</f>
        <v/>
      </c>
      <c r="AQ150" s="31">
        <f>IF(Y150=1,(IF(ISNUMBER(AF150),AF150,0)*'參數'!$B$13+IF(ISNUMBER(AM150),AM150,0)*'參數'!$B$14+IF(ISNUMBER(AO150),AO150,0)*'參數'!$B$15+IF(ISNUMBER(AP150),AP150,0)*'參數'!$B$16)/('參數'!$B$13+'參數'!$B$14+'參數'!$B$15+'參數'!$B$16),"")</f>
        <v/>
      </c>
      <c r="AR150" s="35">
        <f>IF(Y150=1,(SUMPRODUCT(($X$5:$X$404=X150)*($Y$5:$Y$404=1)*($BD$5:$BD$404&gt;BD150))+1)/COUNTIFS($X$5:$X$404,X150,$Y$5:$Y$404,1),"")</f>
        <v/>
      </c>
      <c r="AS150" s="8">
        <f>IF(ISNUMBER(AR150),IF(AR150&lt;='參數'!$B$18,"加碼候選",IF(AR150&gt;'參數'!$B$19,"減碼候選","")),"")</f>
        <v/>
      </c>
      <c r="AT150" s="7">
        <f>IF(Y150=1,N150,0)</f>
        <v/>
      </c>
      <c r="AU150" s="7">
        <f>IF(Y150=1,LN(O150),0)</f>
        <v/>
      </c>
      <c r="AV150" s="36">
        <f>IF(Y150=1,IF(ISNUMBER(F150),F150,0),0)</f>
        <v/>
      </c>
      <c r="AW150" s="7">
        <f>IF(Y150=1,Z150,0)</f>
        <v/>
      </c>
      <c r="AX150" s="7">
        <f>IF(Y150=1,IF(ISNUMBER(AL150),AL150,0),0)</f>
        <v/>
      </c>
      <c r="AY150" s="7">
        <f>IF(Y150=1,IF(ISNUMBER(AL150),1,0),0)</f>
        <v/>
      </c>
      <c r="AZ150" s="7">
        <f>IF(Y150=1,IF(ISNUMBER(AN150),AN150,0),0)</f>
        <v/>
      </c>
      <c r="BA150" s="7">
        <f>IF(Y150=1,IF(ISNUMBER(AN150),1,0),0)</f>
        <v/>
      </c>
      <c r="BB150" s="7">
        <f>IF(Y150=1,IF(ISNUMBER(T150),T150,0),0)</f>
        <v/>
      </c>
      <c r="BC150" s="7">
        <f>IF(Y150=1,IF(ISNUMBER(T150),1,0),0)</f>
        <v/>
      </c>
      <c r="BD150" s="7">
        <f>IF(Y150=1,AQ150+ROW()/1E9,-1E9)</f>
        <v/>
      </c>
      <c r="BE150" s="7">
        <f>IF(Y150=1,AQ150+ROW()/1E9,1E9)</f>
        <v/>
      </c>
    </row>
    <row r="151">
      <c r="A151" s="16" t="n"/>
      <c r="B151" s="8">
        <f>IF($A151="","",BDP($A151,B$3))</f>
        <v/>
      </c>
      <c r="C151" s="8">
        <f>IF($A151="","",BDP($A151,C$3))</f>
        <v/>
      </c>
      <c r="D151" s="28">
        <f>IF($A151="","",BDP($A151,D$3))</f>
        <v/>
      </c>
      <c r="E151" s="29">
        <f>IF($A151="","",BDP($A151,E$3))</f>
        <v/>
      </c>
      <c r="F151" s="17">
        <f>IF($A151="","",BDP($A151,F$3))</f>
        <v/>
      </c>
      <c r="G151" s="8">
        <f>IF($A151="","",BDP($A151,G$3))</f>
        <v/>
      </c>
      <c r="H151" s="8">
        <f>IF($A151="","",BDP($A151,H$3))</f>
        <v/>
      </c>
      <c r="I151" s="8">
        <f>IF($A151="","",BDP($A151,I$3))</f>
        <v/>
      </c>
      <c r="J151" s="8">
        <f>IF($A151="","",BDP($A151,J$3))</f>
        <v/>
      </c>
      <c r="K151" s="8">
        <f>IF($A151="","",BDP($A151,K$3))</f>
        <v/>
      </c>
      <c r="L151" s="28">
        <f>IF($A151="","",BDP($A151,L$3))</f>
        <v/>
      </c>
      <c r="M151" s="28">
        <f>IF($A151="","",BDP($A151,M$3))</f>
        <v/>
      </c>
      <c r="N151" s="30">
        <f>IF($A151="","",BDP($A151,N$3))</f>
        <v/>
      </c>
      <c r="O151" s="31">
        <f>IF($A151="","",BDP($A151,O$3))</f>
        <v/>
      </c>
      <c r="P151" s="30">
        <f>IF($A151="","",BDH($A151,$N$3,'參數'!$B$5,'參數'!$B$5,"Days=A","Fill=P","Dates=H"))</f>
        <v/>
      </c>
      <c r="Q151" s="30">
        <f>IF($A151="","",BDH($A151,$N$3,'參數'!$B$6,'參數'!$B$6,"Days=A","Fill=P","Dates=H"))</f>
        <v/>
      </c>
      <c r="R151" s="30">
        <f>IF($A151="","",BDH($A151,$N$3,'參數'!$B$7,'參數'!$B$7,"Days=A","Fill=P","Dates=H"))</f>
        <v/>
      </c>
      <c r="S151" s="32">
        <f>IF($A151="","",IFERROR(INDEX('發行人'!$A$5:$A$44,MATCH(B151,'發行人'!$D$5:$D$44,0)),"未對應"))</f>
        <v/>
      </c>
      <c r="T151" s="24">
        <f>IF($A151="","",IFERROR(INDEX('發行人'!$G$5:$G$44,MATCH(B151,'發行人'!$D$5:$D$44,0))+0,""))</f>
        <v/>
      </c>
      <c r="U151" s="18">
        <f>IF(ISNUMBER(E151),YEARFRAC('參數'!$B$4,E151),"")</f>
        <v/>
      </c>
      <c r="V151" s="8">
        <f>IF(U151="","",IF(U151&lt;3,"1-3y",IF(U151&lt;5,"3-5y",IF(U151&lt;7,"5-7y",IF(U151&lt;10,"7-10y","10y+")))))</f>
        <v/>
      </c>
      <c r="W151" s="30">
        <f>IF($A151="","",IFERROR(INDEX('參數'!$B$24:$B$45,MATCH(G151,'參數'!$A$24:$A$45,0)),""))</f>
        <v/>
      </c>
      <c r="X151" s="8">
        <f>IF($A151="","",IFERROR(INDEX('參數'!$C$24:$C$45,MATCH(G151,'參數'!$A$24:$A$45,0)),""))</f>
        <v/>
      </c>
      <c r="Y151" s="30">
        <f>IF(AND(ISNUMBER(N151),ISNUMBER(O151),ISNUMBER(U151)),IF(AND(O151&gt;0,X151&lt;&gt;""),1,0),0)</f>
        <v/>
      </c>
      <c r="Z151" s="17">
        <f>IF(Y151=1,O151*N151,"")</f>
        <v/>
      </c>
      <c r="AA151" s="33">
        <f>IF(Y151=1,IF(ISNUMBER(Q151),N151-Q151,""),"")</f>
        <v/>
      </c>
      <c r="AB151" s="33">
        <f>IF(Y151=1,IF(AND(ISNUMBER(P151),ISNUMBER(R151)),R151*5/12-O151*(P151-R151),""),"")</f>
        <v/>
      </c>
      <c r="AC151" s="30">
        <f>IF(Y151=1,COUNTIFS($X$5:$X$404,X151,$V$5:$V$404,V151,$Y$5:$Y$404,1),"")</f>
        <v/>
      </c>
      <c r="AD151" s="30">
        <f>IF(Y151=1,IFERROR(IF(AC151&gt;='參數'!$B$9,INDEX('分群統計'!$G$13:$K$16,MATCH(X151,'分群統計'!$A$13:$A$16,0),MATCH(V151,'分群統計'!$G$12:$K$12,0)),INDEX('分群統計'!$I$5:$I$8,MATCH(X151,'分群統計'!$A$5:$A$8,0))),""),"")</f>
        <v/>
      </c>
      <c r="AE151" s="18">
        <f>IF(Y151=1,IFERROR(IF(AC151&gt;='參數'!$B$9,INDEX('分群統計'!$L$13:$P$16,MATCH(X151,'分群統計'!$A$13:$A$16,0),MATCH(V151,'分群統計'!$L$12:$P$12,0)),INDEX('分群統計'!$J$5:$J$8,MATCH(X151,'分群統計'!$A$5:$A$8,0))),""),"")</f>
        <v/>
      </c>
      <c r="AF151" s="31">
        <f>IF(ISNUMBER(AE151),IF(AE151&gt;0,MAX(-3,MIN(3,(N151-AD151)/AE151)),0),"")</f>
        <v/>
      </c>
      <c r="AG151" s="30">
        <f>IF(Y151=1,COUNTIFS($B$5:$B$404,B151,$Y$5:$Y$404,1),"")</f>
        <v/>
      </c>
      <c r="AH151" s="30">
        <f>IF(Y151=1,IFERROR(IF(ISNUMBER(INDEX('分群統計'!$G$20:$G$59,MATCH(B151,'分群統計'!$A$20:$A$59,0))),INDEX('分群統計'!$H$20:$H$59,MATCH(B151,'分群統計'!$A$20:$A$59,0))+INDEX('分群統計'!$G$20:$G$59,MATCH(B151,'分群統計'!$A$20:$A$59,0))*AU151,""),""),"")</f>
        <v/>
      </c>
      <c r="AI151" s="34">
        <f>IF(ISNUMBER(AH151),N151-AH151,"")</f>
        <v/>
      </c>
      <c r="AJ151" s="30">
        <f>IF(Y151=1,IFERROR(IF(ISNUMBER(INDEX('分群統計'!$G$5:$G$8,MATCH(X151,'分群統計'!$A$5:$A$8,0))),INDEX('分群統計'!$H$5:$H$8,MATCH(X151,'分群統計'!$A$5:$A$8,0))+INDEX('分群統計'!$G$5:$G$8,MATCH(X151,'分群統計'!$A$5:$A$8,0))*AU151,""),""),"")</f>
        <v/>
      </c>
      <c r="AK151" s="34">
        <f>IF(ISNUMBER(AJ151),N151-AJ151,"")</f>
        <v/>
      </c>
      <c r="AL151" s="21">
        <f>IF(ISNUMBER(AJ151),IF(AJ151&gt;0,AK151/AJ151,""),"")</f>
        <v/>
      </c>
      <c r="AM151" s="31">
        <f>IF(AY151&lt;&gt;1,"",IFERROR(IF(INDEX('分群統計'!$K$5:$K$8,MATCH(X151,'分群統計'!$A$5:$A$8,0))&lt;3,"",IF(INDEX('分群統計'!$M$5:$M$8,MATCH(X151,'分群統計'!$A$5:$A$8,0))&gt;0,MAX(-3,MIN(3,(AX151-INDEX('分群統計'!$L$5:$L$8,MATCH(X151,'分群統計'!$A$5:$A$8,0)))/INDEX('分群統計'!$M$5:$M$8,MATCH(X151,'分群統計'!$A$5:$A$8,0)))),0)),""))</f>
        <v/>
      </c>
      <c r="AN151" s="31">
        <f>IF(ISNUMBER(AB151),IF(Z151&gt;0,AB151/Z151*100,""),"")</f>
        <v/>
      </c>
      <c r="AO151" s="31">
        <f>IF(BA151&lt;&gt;1,"",IFERROR(IF(INDEX('分群統計'!$N$5:$N$8,MATCH(X151,'分群統計'!$A$5:$A$8,0))&lt;3,"",IF(INDEX('分群統計'!$P$5:$P$8,MATCH(X151,'分群統計'!$A$5:$A$8,0))&gt;0,MAX(-3,MIN(3,(AZ151-INDEX('分群統計'!$O$5:$O$8,MATCH(X151,'分群統計'!$A$5:$A$8,0)))/INDEX('分群統計'!$P$5:$P$8,MATCH(X151,'分群統計'!$A$5:$A$8,0)))),0)),""))</f>
        <v/>
      </c>
      <c r="AP151" s="31">
        <f>IF(BC151&lt;&gt;1,"",IFERROR(IF(INDEX('分群統計'!$Q$5:$Q$8,MATCH(X151,'分群統計'!$A$5:$A$8,0))&lt;3,"",IF(INDEX('分群統計'!$S$5:$S$8,MATCH(X151,'分群統計'!$A$5:$A$8,0))&gt;0,MAX(-3,MIN(3,(BB151-INDEX('分群統計'!$R$5:$R$8,MATCH(X151,'分群統計'!$A$5:$A$8,0)))/INDEX('分群統計'!$S$5:$S$8,MATCH(X151,'分群統計'!$A$5:$A$8,0)))),0)),""))</f>
        <v/>
      </c>
      <c r="AQ151" s="31">
        <f>IF(Y151=1,(IF(ISNUMBER(AF151),AF151,0)*'參數'!$B$13+IF(ISNUMBER(AM151),AM151,0)*'參數'!$B$14+IF(ISNUMBER(AO151),AO151,0)*'參數'!$B$15+IF(ISNUMBER(AP151),AP151,0)*'參數'!$B$16)/('參數'!$B$13+'參數'!$B$14+'參數'!$B$15+'參數'!$B$16),"")</f>
        <v/>
      </c>
      <c r="AR151" s="35">
        <f>IF(Y151=1,(SUMPRODUCT(($X$5:$X$404=X151)*($Y$5:$Y$404=1)*($BD$5:$BD$404&gt;BD151))+1)/COUNTIFS($X$5:$X$404,X151,$Y$5:$Y$404,1),"")</f>
        <v/>
      </c>
      <c r="AS151" s="8">
        <f>IF(ISNUMBER(AR151),IF(AR151&lt;='參數'!$B$18,"加碼候選",IF(AR151&gt;'參數'!$B$19,"減碼候選","")),"")</f>
        <v/>
      </c>
      <c r="AT151" s="7">
        <f>IF(Y151=1,N151,0)</f>
        <v/>
      </c>
      <c r="AU151" s="7">
        <f>IF(Y151=1,LN(O151),0)</f>
        <v/>
      </c>
      <c r="AV151" s="36">
        <f>IF(Y151=1,IF(ISNUMBER(F151),F151,0),0)</f>
        <v/>
      </c>
      <c r="AW151" s="7">
        <f>IF(Y151=1,Z151,0)</f>
        <v/>
      </c>
      <c r="AX151" s="7">
        <f>IF(Y151=1,IF(ISNUMBER(AL151),AL151,0),0)</f>
        <v/>
      </c>
      <c r="AY151" s="7">
        <f>IF(Y151=1,IF(ISNUMBER(AL151),1,0),0)</f>
        <v/>
      </c>
      <c r="AZ151" s="7">
        <f>IF(Y151=1,IF(ISNUMBER(AN151),AN151,0),0)</f>
        <v/>
      </c>
      <c r="BA151" s="7">
        <f>IF(Y151=1,IF(ISNUMBER(AN151),1,0),0)</f>
        <v/>
      </c>
      <c r="BB151" s="7">
        <f>IF(Y151=1,IF(ISNUMBER(T151),T151,0),0)</f>
        <v/>
      </c>
      <c r="BC151" s="7">
        <f>IF(Y151=1,IF(ISNUMBER(T151),1,0),0)</f>
        <v/>
      </c>
      <c r="BD151" s="7">
        <f>IF(Y151=1,AQ151+ROW()/1E9,-1E9)</f>
        <v/>
      </c>
      <c r="BE151" s="7">
        <f>IF(Y151=1,AQ151+ROW()/1E9,1E9)</f>
        <v/>
      </c>
    </row>
    <row r="152">
      <c r="A152" s="16" t="n"/>
      <c r="B152" s="8">
        <f>IF($A152="","",BDP($A152,B$3))</f>
        <v/>
      </c>
      <c r="C152" s="8">
        <f>IF($A152="","",BDP($A152,C$3))</f>
        <v/>
      </c>
      <c r="D152" s="28">
        <f>IF($A152="","",BDP($A152,D$3))</f>
        <v/>
      </c>
      <c r="E152" s="29">
        <f>IF($A152="","",BDP($A152,E$3))</f>
        <v/>
      </c>
      <c r="F152" s="17">
        <f>IF($A152="","",BDP($A152,F$3))</f>
        <v/>
      </c>
      <c r="G152" s="8">
        <f>IF($A152="","",BDP($A152,G$3))</f>
        <v/>
      </c>
      <c r="H152" s="8">
        <f>IF($A152="","",BDP($A152,H$3))</f>
        <v/>
      </c>
      <c r="I152" s="8">
        <f>IF($A152="","",BDP($A152,I$3))</f>
        <v/>
      </c>
      <c r="J152" s="8">
        <f>IF($A152="","",BDP($A152,J$3))</f>
        <v/>
      </c>
      <c r="K152" s="8">
        <f>IF($A152="","",BDP($A152,K$3))</f>
        <v/>
      </c>
      <c r="L152" s="28">
        <f>IF($A152="","",BDP($A152,L$3))</f>
        <v/>
      </c>
      <c r="M152" s="28">
        <f>IF($A152="","",BDP($A152,M$3))</f>
        <v/>
      </c>
      <c r="N152" s="30">
        <f>IF($A152="","",BDP($A152,N$3))</f>
        <v/>
      </c>
      <c r="O152" s="31">
        <f>IF($A152="","",BDP($A152,O$3))</f>
        <v/>
      </c>
      <c r="P152" s="30">
        <f>IF($A152="","",BDH($A152,$N$3,'參數'!$B$5,'參數'!$B$5,"Days=A","Fill=P","Dates=H"))</f>
        <v/>
      </c>
      <c r="Q152" s="30">
        <f>IF($A152="","",BDH($A152,$N$3,'參數'!$B$6,'參數'!$B$6,"Days=A","Fill=P","Dates=H"))</f>
        <v/>
      </c>
      <c r="R152" s="30">
        <f>IF($A152="","",BDH($A152,$N$3,'參數'!$B$7,'參數'!$B$7,"Days=A","Fill=P","Dates=H"))</f>
        <v/>
      </c>
      <c r="S152" s="32">
        <f>IF($A152="","",IFERROR(INDEX('發行人'!$A$5:$A$44,MATCH(B152,'發行人'!$D$5:$D$44,0)),"未對應"))</f>
        <v/>
      </c>
      <c r="T152" s="24">
        <f>IF($A152="","",IFERROR(INDEX('發行人'!$G$5:$G$44,MATCH(B152,'發行人'!$D$5:$D$44,0))+0,""))</f>
        <v/>
      </c>
      <c r="U152" s="18">
        <f>IF(ISNUMBER(E152),YEARFRAC('參數'!$B$4,E152),"")</f>
        <v/>
      </c>
      <c r="V152" s="8">
        <f>IF(U152="","",IF(U152&lt;3,"1-3y",IF(U152&lt;5,"3-5y",IF(U152&lt;7,"5-7y",IF(U152&lt;10,"7-10y","10y+")))))</f>
        <v/>
      </c>
      <c r="W152" s="30">
        <f>IF($A152="","",IFERROR(INDEX('參數'!$B$24:$B$45,MATCH(G152,'參數'!$A$24:$A$45,0)),""))</f>
        <v/>
      </c>
      <c r="X152" s="8">
        <f>IF($A152="","",IFERROR(INDEX('參數'!$C$24:$C$45,MATCH(G152,'參數'!$A$24:$A$45,0)),""))</f>
        <v/>
      </c>
      <c r="Y152" s="30">
        <f>IF(AND(ISNUMBER(N152),ISNUMBER(O152),ISNUMBER(U152)),IF(AND(O152&gt;0,X152&lt;&gt;""),1,0),0)</f>
        <v/>
      </c>
      <c r="Z152" s="17">
        <f>IF(Y152=1,O152*N152,"")</f>
        <v/>
      </c>
      <c r="AA152" s="33">
        <f>IF(Y152=1,IF(ISNUMBER(Q152),N152-Q152,""),"")</f>
        <v/>
      </c>
      <c r="AB152" s="33">
        <f>IF(Y152=1,IF(AND(ISNUMBER(P152),ISNUMBER(R152)),R152*5/12-O152*(P152-R152),""),"")</f>
        <v/>
      </c>
      <c r="AC152" s="30">
        <f>IF(Y152=1,COUNTIFS($X$5:$X$404,X152,$V$5:$V$404,V152,$Y$5:$Y$404,1),"")</f>
        <v/>
      </c>
      <c r="AD152" s="30">
        <f>IF(Y152=1,IFERROR(IF(AC152&gt;='參數'!$B$9,INDEX('分群統計'!$G$13:$K$16,MATCH(X152,'分群統計'!$A$13:$A$16,0),MATCH(V152,'分群統計'!$G$12:$K$12,0)),INDEX('分群統計'!$I$5:$I$8,MATCH(X152,'分群統計'!$A$5:$A$8,0))),""),"")</f>
        <v/>
      </c>
      <c r="AE152" s="18">
        <f>IF(Y152=1,IFERROR(IF(AC152&gt;='參數'!$B$9,INDEX('分群統計'!$L$13:$P$16,MATCH(X152,'分群統計'!$A$13:$A$16,0),MATCH(V152,'分群統計'!$L$12:$P$12,0)),INDEX('分群統計'!$J$5:$J$8,MATCH(X152,'分群統計'!$A$5:$A$8,0))),""),"")</f>
        <v/>
      </c>
      <c r="AF152" s="31">
        <f>IF(ISNUMBER(AE152),IF(AE152&gt;0,MAX(-3,MIN(3,(N152-AD152)/AE152)),0),"")</f>
        <v/>
      </c>
      <c r="AG152" s="30">
        <f>IF(Y152=1,COUNTIFS($B$5:$B$404,B152,$Y$5:$Y$404,1),"")</f>
        <v/>
      </c>
      <c r="AH152" s="30">
        <f>IF(Y152=1,IFERROR(IF(ISNUMBER(INDEX('分群統計'!$G$20:$G$59,MATCH(B152,'分群統計'!$A$20:$A$59,0))),INDEX('分群統計'!$H$20:$H$59,MATCH(B152,'分群統計'!$A$20:$A$59,0))+INDEX('分群統計'!$G$20:$G$59,MATCH(B152,'分群統計'!$A$20:$A$59,0))*AU152,""),""),"")</f>
        <v/>
      </c>
      <c r="AI152" s="34">
        <f>IF(ISNUMBER(AH152),N152-AH152,"")</f>
        <v/>
      </c>
      <c r="AJ152" s="30">
        <f>IF(Y152=1,IFERROR(IF(ISNUMBER(INDEX('分群統計'!$G$5:$G$8,MATCH(X152,'分群統計'!$A$5:$A$8,0))),INDEX('分群統計'!$H$5:$H$8,MATCH(X152,'分群統計'!$A$5:$A$8,0))+INDEX('分群統計'!$G$5:$G$8,MATCH(X152,'分群統計'!$A$5:$A$8,0))*AU152,""),""),"")</f>
        <v/>
      </c>
      <c r="AK152" s="34">
        <f>IF(ISNUMBER(AJ152),N152-AJ152,"")</f>
        <v/>
      </c>
      <c r="AL152" s="21">
        <f>IF(ISNUMBER(AJ152),IF(AJ152&gt;0,AK152/AJ152,""),"")</f>
        <v/>
      </c>
      <c r="AM152" s="31">
        <f>IF(AY152&lt;&gt;1,"",IFERROR(IF(INDEX('分群統計'!$K$5:$K$8,MATCH(X152,'分群統計'!$A$5:$A$8,0))&lt;3,"",IF(INDEX('分群統計'!$M$5:$M$8,MATCH(X152,'分群統計'!$A$5:$A$8,0))&gt;0,MAX(-3,MIN(3,(AX152-INDEX('分群統計'!$L$5:$L$8,MATCH(X152,'分群統計'!$A$5:$A$8,0)))/INDEX('分群統計'!$M$5:$M$8,MATCH(X152,'分群統計'!$A$5:$A$8,0)))),0)),""))</f>
        <v/>
      </c>
      <c r="AN152" s="31">
        <f>IF(ISNUMBER(AB152),IF(Z152&gt;0,AB152/Z152*100,""),"")</f>
        <v/>
      </c>
      <c r="AO152" s="31">
        <f>IF(BA152&lt;&gt;1,"",IFERROR(IF(INDEX('分群統計'!$N$5:$N$8,MATCH(X152,'分群統計'!$A$5:$A$8,0))&lt;3,"",IF(INDEX('分群統計'!$P$5:$P$8,MATCH(X152,'分群統計'!$A$5:$A$8,0))&gt;0,MAX(-3,MIN(3,(AZ152-INDEX('分群統計'!$O$5:$O$8,MATCH(X152,'分群統計'!$A$5:$A$8,0)))/INDEX('分群統計'!$P$5:$P$8,MATCH(X152,'分群統計'!$A$5:$A$8,0)))),0)),""))</f>
        <v/>
      </c>
      <c r="AP152" s="31">
        <f>IF(BC152&lt;&gt;1,"",IFERROR(IF(INDEX('分群統計'!$Q$5:$Q$8,MATCH(X152,'分群統計'!$A$5:$A$8,0))&lt;3,"",IF(INDEX('分群統計'!$S$5:$S$8,MATCH(X152,'分群統計'!$A$5:$A$8,0))&gt;0,MAX(-3,MIN(3,(BB152-INDEX('分群統計'!$R$5:$R$8,MATCH(X152,'分群統計'!$A$5:$A$8,0)))/INDEX('分群統計'!$S$5:$S$8,MATCH(X152,'分群統計'!$A$5:$A$8,0)))),0)),""))</f>
        <v/>
      </c>
      <c r="AQ152" s="31">
        <f>IF(Y152=1,(IF(ISNUMBER(AF152),AF152,0)*'參數'!$B$13+IF(ISNUMBER(AM152),AM152,0)*'參數'!$B$14+IF(ISNUMBER(AO152),AO152,0)*'參數'!$B$15+IF(ISNUMBER(AP152),AP152,0)*'參數'!$B$16)/('參數'!$B$13+'參數'!$B$14+'參數'!$B$15+'參數'!$B$16),"")</f>
        <v/>
      </c>
      <c r="AR152" s="35">
        <f>IF(Y152=1,(SUMPRODUCT(($X$5:$X$404=X152)*($Y$5:$Y$404=1)*($BD$5:$BD$404&gt;BD152))+1)/COUNTIFS($X$5:$X$404,X152,$Y$5:$Y$404,1),"")</f>
        <v/>
      </c>
      <c r="AS152" s="8">
        <f>IF(ISNUMBER(AR152),IF(AR152&lt;='參數'!$B$18,"加碼候選",IF(AR152&gt;'參數'!$B$19,"減碼候選","")),"")</f>
        <v/>
      </c>
      <c r="AT152" s="7">
        <f>IF(Y152=1,N152,0)</f>
        <v/>
      </c>
      <c r="AU152" s="7">
        <f>IF(Y152=1,LN(O152),0)</f>
        <v/>
      </c>
      <c r="AV152" s="36">
        <f>IF(Y152=1,IF(ISNUMBER(F152),F152,0),0)</f>
        <v/>
      </c>
      <c r="AW152" s="7">
        <f>IF(Y152=1,Z152,0)</f>
        <v/>
      </c>
      <c r="AX152" s="7">
        <f>IF(Y152=1,IF(ISNUMBER(AL152),AL152,0),0)</f>
        <v/>
      </c>
      <c r="AY152" s="7">
        <f>IF(Y152=1,IF(ISNUMBER(AL152),1,0),0)</f>
        <v/>
      </c>
      <c r="AZ152" s="7">
        <f>IF(Y152=1,IF(ISNUMBER(AN152),AN152,0),0)</f>
        <v/>
      </c>
      <c r="BA152" s="7">
        <f>IF(Y152=1,IF(ISNUMBER(AN152),1,0),0)</f>
        <v/>
      </c>
      <c r="BB152" s="7">
        <f>IF(Y152=1,IF(ISNUMBER(T152),T152,0),0)</f>
        <v/>
      </c>
      <c r="BC152" s="7">
        <f>IF(Y152=1,IF(ISNUMBER(T152),1,0),0)</f>
        <v/>
      </c>
      <c r="BD152" s="7">
        <f>IF(Y152=1,AQ152+ROW()/1E9,-1E9)</f>
        <v/>
      </c>
      <c r="BE152" s="7">
        <f>IF(Y152=1,AQ152+ROW()/1E9,1E9)</f>
        <v/>
      </c>
    </row>
    <row r="153">
      <c r="A153" s="16" t="n"/>
      <c r="B153" s="8">
        <f>IF($A153="","",BDP($A153,B$3))</f>
        <v/>
      </c>
      <c r="C153" s="8">
        <f>IF($A153="","",BDP($A153,C$3))</f>
        <v/>
      </c>
      <c r="D153" s="28">
        <f>IF($A153="","",BDP($A153,D$3))</f>
        <v/>
      </c>
      <c r="E153" s="29">
        <f>IF($A153="","",BDP($A153,E$3))</f>
        <v/>
      </c>
      <c r="F153" s="17">
        <f>IF($A153="","",BDP($A153,F$3))</f>
        <v/>
      </c>
      <c r="G153" s="8">
        <f>IF($A153="","",BDP($A153,G$3))</f>
        <v/>
      </c>
      <c r="H153" s="8">
        <f>IF($A153="","",BDP($A153,H$3))</f>
        <v/>
      </c>
      <c r="I153" s="8">
        <f>IF($A153="","",BDP($A153,I$3))</f>
        <v/>
      </c>
      <c r="J153" s="8">
        <f>IF($A153="","",BDP($A153,J$3))</f>
        <v/>
      </c>
      <c r="K153" s="8">
        <f>IF($A153="","",BDP($A153,K$3))</f>
        <v/>
      </c>
      <c r="L153" s="28">
        <f>IF($A153="","",BDP($A153,L$3))</f>
        <v/>
      </c>
      <c r="M153" s="28">
        <f>IF($A153="","",BDP($A153,M$3))</f>
        <v/>
      </c>
      <c r="N153" s="30">
        <f>IF($A153="","",BDP($A153,N$3))</f>
        <v/>
      </c>
      <c r="O153" s="31">
        <f>IF($A153="","",BDP($A153,O$3))</f>
        <v/>
      </c>
      <c r="P153" s="30">
        <f>IF($A153="","",BDH($A153,$N$3,'參數'!$B$5,'參數'!$B$5,"Days=A","Fill=P","Dates=H"))</f>
        <v/>
      </c>
      <c r="Q153" s="30">
        <f>IF($A153="","",BDH($A153,$N$3,'參數'!$B$6,'參數'!$B$6,"Days=A","Fill=P","Dates=H"))</f>
        <v/>
      </c>
      <c r="R153" s="30">
        <f>IF($A153="","",BDH($A153,$N$3,'參數'!$B$7,'參數'!$B$7,"Days=A","Fill=P","Dates=H"))</f>
        <v/>
      </c>
      <c r="S153" s="32">
        <f>IF($A153="","",IFERROR(INDEX('發行人'!$A$5:$A$44,MATCH(B153,'發行人'!$D$5:$D$44,0)),"未對應"))</f>
        <v/>
      </c>
      <c r="T153" s="24">
        <f>IF($A153="","",IFERROR(INDEX('發行人'!$G$5:$G$44,MATCH(B153,'發行人'!$D$5:$D$44,0))+0,""))</f>
        <v/>
      </c>
      <c r="U153" s="18">
        <f>IF(ISNUMBER(E153),YEARFRAC('參數'!$B$4,E153),"")</f>
        <v/>
      </c>
      <c r="V153" s="8">
        <f>IF(U153="","",IF(U153&lt;3,"1-3y",IF(U153&lt;5,"3-5y",IF(U153&lt;7,"5-7y",IF(U153&lt;10,"7-10y","10y+")))))</f>
        <v/>
      </c>
      <c r="W153" s="30">
        <f>IF($A153="","",IFERROR(INDEX('參數'!$B$24:$B$45,MATCH(G153,'參數'!$A$24:$A$45,0)),""))</f>
        <v/>
      </c>
      <c r="X153" s="8">
        <f>IF($A153="","",IFERROR(INDEX('參數'!$C$24:$C$45,MATCH(G153,'參數'!$A$24:$A$45,0)),""))</f>
        <v/>
      </c>
      <c r="Y153" s="30">
        <f>IF(AND(ISNUMBER(N153),ISNUMBER(O153),ISNUMBER(U153)),IF(AND(O153&gt;0,X153&lt;&gt;""),1,0),0)</f>
        <v/>
      </c>
      <c r="Z153" s="17">
        <f>IF(Y153=1,O153*N153,"")</f>
        <v/>
      </c>
      <c r="AA153" s="33">
        <f>IF(Y153=1,IF(ISNUMBER(Q153),N153-Q153,""),"")</f>
        <v/>
      </c>
      <c r="AB153" s="33">
        <f>IF(Y153=1,IF(AND(ISNUMBER(P153),ISNUMBER(R153)),R153*5/12-O153*(P153-R153),""),"")</f>
        <v/>
      </c>
      <c r="AC153" s="30">
        <f>IF(Y153=1,COUNTIFS($X$5:$X$404,X153,$V$5:$V$404,V153,$Y$5:$Y$404,1),"")</f>
        <v/>
      </c>
      <c r="AD153" s="30">
        <f>IF(Y153=1,IFERROR(IF(AC153&gt;='參數'!$B$9,INDEX('分群統計'!$G$13:$K$16,MATCH(X153,'分群統計'!$A$13:$A$16,0),MATCH(V153,'分群統計'!$G$12:$K$12,0)),INDEX('分群統計'!$I$5:$I$8,MATCH(X153,'分群統計'!$A$5:$A$8,0))),""),"")</f>
        <v/>
      </c>
      <c r="AE153" s="18">
        <f>IF(Y153=1,IFERROR(IF(AC153&gt;='參數'!$B$9,INDEX('分群統計'!$L$13:$P$16,MATCH(X153,'分群統計'!$A$13:$A$16,0),MATCH(V153,'分群統計'!$L$12:$P$12,0)),INDEX('分群統計'!$J$5:$J$8,MATCH(X153,'分群統計'!$A$5:$A$8,0))),""),"")</f>
        <v/>
      </c>
      <c r="AF153" s="31">
        <f>IF(ISNUMBER(AE153),IF(AE153&gt;0,MAX(-3,MIN(3,(N153-AD153)/AE153)),0),"")</f>
        <v/>
      </c>
      <c r="AG153" s="30">
        <f>IF(Y153=1,COUNTIFS($B$5:$B$404,B153,$Y$5:$Y$404,1),"")</f>
        <v/>
      </c>
      <c r="AH153" s="30">
        <f>IF(Y153=1,IFERROR(IF(ISNUMBER(INDEX('分群統計'!$G$20:$G$59,MATCH(B153,'分群統計'!$A$20:$A$59,0))),INDEX('分群統計'!$H$20:$H$59,MATCH(B153,'分群統計'!$A$20:$A$59,0))+INDEX('分群統計'!$G$20:$G$59,MATCH(B153,'分群統計'!$A$20:$A$59,0))*AU153,""),""),"")</f>
        <v/>
      </c>
      <c r="AI153" s="34">
        <f>IF(ISNUMBER(AH153),N153-AH153,"")</f>
        <v/>
      </c>
      <c r="AJ153" s="30">
        <f>IF(Y153=1,IFERROR(IF(ISNUMBER(INDEX('分群統計'!$G$5:$G$8,MATCH(X153,'分群統計'!$A$5:$A$8,0))),INDEX('分群統計'!$H$5:$H$8,MATCH(X153,'分群統計'!$A$5:$A$8,0))+INDEX('分群統計'!$G$5:$G$8,MATCH(X153,'分群統計'!$A$5:$A$8,0))*AU153,""),""),"")</f>
        <v/>
      </c>
      <c r="AK153" s="34">
        <f>IF(ISNUMBER(AJ153),N153-AJ153,"")</f>
        <v/>
      </c>
      <c r="AL153" s="21">
        <f>IF(ISNUMBER(AJ153),IF(AJ153&gt;0,AK153/AJ153,""),"")</f>
        <v/>
      </c>
      <c r="AM153" s="31">
        <f>IF(AY153&lt;&gt;1,"",IFERROR(IF(INDEX('分群統計'!$K$5:$K$8,MATCH(X153,'分群統計'!$A$5:$A$8,0))&lt;3,"",IF(INDEX('分群統計'!$M$5:$M$8,MATCH(X153,'分群統計'!$A$5:$A$8,0))&gt;0,MAX(-3,MIN(3,(AX153-INDEX('分群統計'!$L$5:$L$8,MATCH(X153,'分群統計'!$A$5:$A$8,0)))/INDEX('分群統計'!$M$5:$M$8,MATCH(X153,'分群統計'!$A$5:$A$8,0)))),0)),""))</f>
        <v/>
      </c>
      <c r="AN153" s="31">
        <f>IF(ISNUMBER(AB153),IF(Z153&gt;0,AB153/Z153*100,""),"")</f>
        <v/>
      </c>
      <c r="AO153" s="31">
        <f>IF(BA153&lt;&gt;1,"",IFERROR(IF(INDEX('分群統計'!$N$5:$N$8,MATCH(X153,'分群統計'!$A$5:$A$8,0))&lt;3,"",IF(INDEX('分群統計'!$P$5:$P$8,MATCH(X153,'分群統計'!$A$5:$A$8,0))&gt;0,MAX(-3,MIN(3,(AZ153-INDEX('分群統計'!$O$5:$O$8,MATCH(X153,'分群統計'!$A$5:$A$8,0)))/INDEX('分群統計'!$P$5:$P$8,MATCH(X153,'分群統計'!$A$5:$A$8,0)))),0)),""))</f>
        <v/>
      </c>
      <c r="AP153" s="31">
        <f>IF(BC153&lt;&gt;1,"",IFERROR(IF(INDEX('分群統計'!$Q$5:$Q$8,MATCH(X153,'分群統計'!$A$5:$A$8,0))&lt;3,"",IF(INDEX('分群統計'!$S$5:$S$8,MATCH(X153,'分群統計'!$A$5:$A$8,0))&gt;0,MAX(-3,MIN(3,(BB153-INDEX('分群統計'!$R$5:$R$8,MATCH(X153,'分群統計'!$A$5:$A$8,0)))/INDEX('分群統計'!$S$5:$S$8,MATCH(X153,'分群統計'!$A$5:$A$8,0)))),0)),""))</f>
        <v/>
      </c>
      <c r="AQ153" s="31">
        <f>IF(Y153=1,(IF(ISNUMBER(AF153),AF153,0)*'參數'!$B$13+IF(ISNUMBER(AM153),AM153,0)*'參數'!$B$14+IF(ISNUMBER(AO153),AO153,0)*'參數'!$B$15+IF(ISNUMBER(AP153),AP153,0)*'參數'!$B$16)/('參數'!$B$13+'參數'!$B$14+'參數'!$B$15+'參數'!$B$16),"")</f>
        <v/>
      </c>
      <c r="AR153" s="35">
        <f>IF(Y153=1,(SUMPRODUCT(($X$5:$X$404=X153)*($Y$5:$Y$404=1)*($BD$5:$BD$404&gt;BD153))+1)/COUNTIFS($X$5:$X$404,X153,$Y$5:$Y$404,1),"")</f>
        <v/>
      </c>
      <c r="AS153" s="8">
        <f>IF(ISNUMBER(AR153),IF(AR153&lt;='參數'!$B$18,"加碼候選",IF(AR153&gt;'參數'!$B$19,"減碼候選","")),"")</f>
        <v/>
      </c>
      <c r="AT153" s="7">
        <f>IF(Y153=1,N153,0)</f>
        <v/>
      </c>
      <c r="AU153" s="7">
        <f>IF(Y153=1,LN(O153),0)</f>
        <v/>
      </c>
      <c r="AV153" s="36">
        <f>IF(Y153=1,IF(ISNUMBER(F153),F153,0),0)</f>
        <v/>
      </c>
      <c r="AW153" s="7">
        <f>IF(Y153=1,Z153,0)</f>
        <v/>
      </c>
      <c r="AX153" s="7">
        <f>IF(Y153=1,IF(ISNUMBER(AL153),AL153,0),0)</f>
        <v/>
      </c>
      <c r="AY153" s="7">
        <f>IF(Y153=1,IF(ISNUMBER(AL153),1,0),0)</f>
        <v/>
      </c>
      <c r="AZ153" s="7">
        <f>IF(Y153=1,IF(ISNUMBER(AN153),AN153,0),0)</f>
        <v/>
      </c>
      <c r="BA153" s="7">
        <f>IF(Y153=1,IF(ISNUMBER(AN153),1,0),0)</f>
        <v/>
      </c>
      <c r="BB153" s="7">
        <f>IF(Y153=1,IF(ISNUMBER(T153),T153,0),0)</f>
        <v/>
      </c>
      <c r="BC153" s="7">
        <f>IF(Y153=1,IF(ISNUMBER(T153),1,0),0)</f>
        <v/>
      </c>
      <c r="BD153" s="7">
        <f>IF(Y153=1,AQ153+ROW()/1E9,-1E9)</f>
        <v/>
      </c>
      <c r="BE153" s="7">
        <f>IF(Y153=1,AQ153+ROW()/1E9,1E9)</f>
        <v/>
      </c>
    </row>
    <row r="154">
      <c r="A154" s="16" t="n"/>
      <c r="B154" s="8">
        <f>IF($A154="","",BDP($A154,B$3))</f>
        <v/>
      </c>
      <c r="C154" s="8">
        <f>IF($A154="","",BDP($A154,C$3))</f>
        <v/>
      </c>
      <c r="D154" s="28">
        <f>IF($A154="","",BDP($A154,D$3))</f>
        <v/>
      </c>
      <c r="E154" s="29">
        <f>IF($A154="","",BDP($A154,E$3))</f>
        <v/>
      </c>
      <c r="F154" s="17">
        <f>IF($A154="","",BDP($A154,F$3))</f>
        <v/>
      </c>
      <c r="G154" s="8">
        <f>IF($A154="","",BDP($A154,G$3))</f>
        <v/>
      </c>
      <c r="H154" s="8">
        <f>IF($A154="","",BDP($A154,H$3))</f>
        <v/>
      </c>
      <c r="I154" s="8">
        <f>IF($A154="","",BDP($A154,I$3))</f>
        <v/>
      </c>
      <c r="J154" s="8">
        <f>IF($A154="","",BDP($A154,J$3))</f>
        <v/>
      </c>
      <c r="K154" s="8">
        <f>IF($A154="","",BDP($A154,K$3))</f>
        <v/>
      </c>
      <c r="L154" s="28">
        <f>IF($A154="","",BDP($A154,L$3))</f>
        <v/>
      </c>
      <c r="M154" s="28">
        <f>IF($A154="","",BDP($A154,M$3))</f>
        <v/>
      </c>
      <c r="N154" s="30">
        <f>IF($A154="","",BDP($A154,N$3))</f>
        <v/>
      </c>
      <c r="O154" s="31">
        <f>IF($A154="","",BDP($A154,O$3))</f>
        <v/>
      </c>
      <c r="P154" s="30">
        <f>IF($A154="","",BDH($A154,$N$3,'參數'!$B$5,'參數'!$B$5,"Days=A","Fill=P","Dates=H"))</f>
        <v/>
      </c>
      <c r="Q154" s="30">
        <f>IF($A154="","",BDH($A154,$N$3,'參數'!$B$6,'參數'!$B$6,"Days=A","Fill=P","Dates=H"))</f>
        <v/>
      </c>
      <c r="R154" s="30">
        <f>IF($A154="","",BDH($A154,$N$3,'參數'!$B$7,'參數'!$B$7,"Days=A","Fill=P","Dates=H"))</f>
        <v/>
      </c>
      <c r="S154" s="32">
        <f>IF($A154="","",IFERROR(INDEX('發行人'!$A$5:$A$44,MATCH(B154,'發行人'!$D$5:$D$44,0)),"未對應"))</f>
        <v/>
      </c>
      <c r="T154" s="24">
        <f>IF($A154="","",IFERROR(INDEX('發行人'!$G$5:$G$44,MATCH(B154,'發行人'!$D$5:$D$44,0))+0,""))</f>
        <v/>
      </c>
      <c r="U154" s="18">
        <f>IF(ISNUMBER(E154),YEARFRAC('參數'!$B$4,E154),"")</f>
        <v/>
      </c>
      <c r="V154" s="8">
        <f>IF(U154="","",IF(U154&lt;3,"1-3y",IF(U154&lt;5,"3-5y",IF(U154&lt;7,"5-7y",IF(U154&lt;10,"7-10y","10y+")))))</f>
        <v/>
      </c>
      <c r="W154" s="30">
        <f>IF($A154="","",IFERROR(INDEX('參數'!$B$24:$B$45,MATCH(G154,'參數'!$A$24:$A$45,0)),""))</f>
        <v/>
      </c>
      <c r="X154" s="8">
        <f>IF($A154="","",IFERROR(INDEX('參數'!$C$24:$C$45,MATCH(G154,'參數'!$A$24:$A$45,0)),""))</f>
        <v/>
      </c>
      <c r="Y154" s="30">
        <f>IF(AND(ISNUMBER(N154),ISNUMBER(O154),ISNUMBER(U154)),IF(AND(O154&gt;0,X154&lt;&gt;""),1,0),0)</f>
        <v/>
      </c>
      <c r="Z154" s="17">
        <f>IF(Y154=1,O154*N154,"")</f>
        <v/>
      </c>
      <c r="AA154" s="33">
        <f>IF(Y154=1,IF(ISNUMBER(Q154),N154-Q154,""),"")</f>
        <v/>
      </c>
      <c r="AB154" s="33">
        <f>IF(Y154=1,IF(AND(ISNUMBER(P154),ISNUMBER(R154)),R154*5/12-O154*(P154-R154),""),"")</f>
        <v/>
      </c>
      <c r="AC154" s="30">
        <f>IF(Y154=1,COUNTIFS($X$5:$X$404,X154,$V$5:$V$404,V154,$Y$5:$Y$404,1),"")</f>
        <v/>
      </c>
      <c r="AD154" s="30">
        <f>IF(Y154=1,IFERROR(IF(AC154&gt;='參數'!$B$9,INDEX('分群統計'!$G$13:$K$16,MATCH(X154,'分群統計'!$A$13:$A$16,0),MATCH(V154,'分群統計'!$G$12:$K$12,0)),INDEX('分群統計'!$I$5:$I$8,MATCH(X154,'分群統計'!$A$5:$A$8,0))),""),"")</f>
        <v/>
      </c>
      <c r="AE154" s="18">
        <f>IF(Y154=1,IFERROR(IF(AC154&gt;='參數'!$B$9,INDEX('分群統計'!$L$13:$P$16,MATCH(X154,'分群統計'!$A$13:$A$16,0),MATCH(V154,'分群統計'!$L$12:$P$12,0)),INDEX('分群統計'!$J$5:$J$8,MATCH(X154,'分群統計'!$A$5:$A$8,0))),""),"")</f>
        <v/>
      </c>
      <c r="AF154" s="31">
        <f>IF(ISNUMBER(AE154),IF(AE154&gt;0,MAX(-3,MIN(3,(N154-AD154)/AE154)),0),"")</f>
        <v/>
      </c>
      <c r="AG154" s="30">
        <f>IF(Y154=1,COUNTIFS($B$5:$B$404,B154,$Y$5:$Y$404,1),"")</f>
        <v/>
      </c>
      <c r="AH154" s="30">
        <f>IF(Y154=1,IFERROR(IF(ISNUMBER(INDEX('分群統計'!$G$20:$G$59,MATCH(B154,'分群統計'!$A$20:$A$59,0))),INDEX('分群統計'!$H$20:$H$59,MATCH(B154,'分群統計'!$A$20:$A$59,0))+INDEX('分群統計'!$G$20:$G$59,MATCH(B154,'分群統計'!$A$20:$A$59,0))*AU154,""),""),"")</f>
        <v/>
      </c>
      <c r="AI154" s="34">
        <f>IF(ISNUMBER(AH154),N154-AH154,"")</f>
        <v/>
      </c>
      <c r="AJ154" s="30">
        <f>IF(Y154=1,IFERROR(IF(ISNUMBER(INDEX('分群統計'!$G$5:$G$8,MATCH(X154,'分群統計'!$A$5:$A$8,0))),INDEX('分群統計'!$H$5:$H$8,MATCH(X154,'分群統計'!$A$5:$A$8,0))+INDEX('分群統計'!$G$5:$G$8,MATCH(X154,'分群統計'!$A$5:$A$8,0))*AU154,""),""),"")</f>
        <v/>
      </c>
      <c r="AK154" s="34">
        <f>IF(ISNUMBER(AJ154),N154-AJ154,"")</f>
        <v/>
      </c>
      <c r="AL154" s="21">
        <f>IF(ISNUMBER(AJ154),IF(AJ154&gt;0,AK154/AJ154,""),"")</f>
        <v/>
      </c>
      <c r="AM154" s="31">
        <f>IF(AY154&lt;&gt;1,"",IFERROR(IF(INDEX('分群統計'!$K$5:$K$8,MATCH(X154,'分群統計'!$A$5:$A$8,0))&lt;3,"",IF(INDEX('分群統計'!$M$5:$M$8,MATCH(X154,'分群統計'!$A$5:$A$8,0))&gt;0,MAX(-3,MIN(3,(AX154-INDEX('分群統計'!$L$5:$L$8,MATCH(X154,'分群統計'!$A$5:$A$8,0)))/INDEX('分群統計'!$M$5:$M$8,MATCH(X154,'分群統計'!$A$5:$A$8,0)))),0)),""))</f>
        <v/>
      </c>
      <c r="AN154" s="31">
        <f>IF(ISNUMBER(AB154),IF(Z154&gt;0,AB154/Z154*100,""),"")</f>
        <v/>
      </c>
      <c r="AO154" s="31">
        <f>IF(BA154&lt;&gt;1,"",IFERROR(IF(INDEX('分群統計'!$N$5:$N$8,MATCH(X154,'分群統計'!$A$5:$A$8,0))&lt;3,"",IF(INDEX('分群統計'!$P$5:$P$8,MATCH(X154,'分群統計'!$A$5:$A$8,0))&gt;0,MAX(-3,MIN(3,(AZ154-INDEX('分群統計'!$O$5:$O$8,MATCH(X154,'分群統計'!$A$5:$A$8,0)))/INDEX('分群統計'!$P$5:$P$8,MATCH(X154,'分群統計'!$A$5:$A$8,0)))),0)),""))</f>
        <v/>
      </c>
      <c r="AP154" s="31">
        <f>IF(BC154&lt;&gt;1,"",IFERROR(IF(INDEX('分群統計'!$Q$5:$Q$8,MATCH(X154,'分群統計'!$A$5:$A$8,0))&lt;3,"",IF(INDEX('分群統計'!$S$5:$S$8,MATCH(X154,'分群統計'!$A$5:$A$8,0))&gt;0,MAX(-3,MIN(3,(BB154-INDEX('分群統計'!$R$5:$R$8,MATCH(X154,'分群統計'!$A$5:$A$8,0)))/INDEX('分群統計'!$S$5:$S$8,MATCH(X154,'分群統計'!$A$5:$A$8,0)))),0)),""))</f>
        <v/>
      </c>
      <c r="AQ154" s="31">
        <f>IF(Y154=1,(IF(ISNUMBER(AF154),AF154,0)*'參數'!$B$13+IF(ISNUMBER(AM154),AM154,0)*'參數'!$B$14+IF(ISNUMBER(AO154),AO154,0)*'參數'!$B$15+IF(ISNUMBER(AP154),AP154,0)*'參數'!$B$16)/('參數'!$B$13+'參數'!$B$14+'參數'!$B$15+'參數'!$B$16),"")</f>
        <v/>
      </c>
      <c r="AR154" s="35">
        <f>IF(Y154=1,(SUMPRODUCT(($X$5:$X$404=X154)*($Y$5:$Y$404=1)*($BD$5:$BD$404&gt;BD154))+1)/COUNTIFS($X$5:$X$404,X154,$Y$5:$Y$404,1),"")</f>
        <v/>
      </c>
      <c r="AS154" s="8">
        <f>IF(ISNUMBER(AR154),IF(AR154&lt;='參數'!$B$18,"加碼候選",IF(AR154&gt;'參數'!$B$19,"減碼候選","")),"")</f>
        <v/>
      </c>
      <c r="AT154" s="7">
        <f>IF(Y154=1,N154,0)</f>
        <v/>
      </c>
      <c r="AU154" s="7">
        <f>IF(Y154=1,LN(O154),0)</f>
        <v/>
      </c>
      <c r="AV154" s="36">
        <f>IF(Y154=1,IF(ISNUMBER(F154),F154,0),0)</f>
        <v/>
      </c>
      <c r="AW154" s="7">
        <f>IF(Y154=1,Z154,0)</f>
        <v/>
      </c>
      <c r="AX154" s="7">
        <f>IF(Y154=1,IF(ISNUMBER(AL154),AL154,0),0)</f>
        <v/>
      </c>
      <c r="AY154" s="7">
        <f>IF(Y154=1,IF(ISNUMBER(AL154),1,0),0)</f>
        <v/>
      </c>
      <c r="AZ154" s="7">
        <f>IF(Y154=1,IF(ISNUMBER(AN154),AN154,0),0)</f>
        <v/>
      </c>
      <c r="BA154" s="7">
        <f>IF(Y154=1,IF(ISNUMBER(AN154),1,0),0)</f>
        <v/>
      </c>
      <c r="BB154" s="7">
        <f>IF(Y154=1,IF(ISNUMBER(T154),T154,0),0)</f>
        <v/>
      </c>
      <c r="BC154" s="7">
        <f>IF(Y154=1,IF(ISNUMBER(T154),1,0),0)</f>
        <v/>
      </c>
      <c r="BD154" s="7">
        <f>IF(Y154=1,AQ154+ROW()/1E9,-1E9)</f>
        <v/>
      </c>
      <c r="BE154" s="7">
        <f>IF(Y154=1,AQ154+ROW()/1E9,1E9)</f>
        <v/>
      </c>
    </row>
    <row r="155">
      <c r="A155" s="16" t="n"/>
      <c r="B155" s="8">
        <f>IF($A155="","",BDP($A155,B$3))</f>
        <v/>
      </c>
      <c r="C155" s="8">
        <f>IF($A155="","",BDP($A155,C$3))</f>
        <v/>
      </c>
      <c r="D155" s="28">
        <f>IF($A155="","",BDP($A155,D$3))</f>
        <v/>
      </c>
      <c r="E155" s="29">
        <f>IF($A155="","",BDP($A155,E$3))</f>
        <v/>
      </c>
      <c r="F155" s="17">
        <f>IF($A155="","",BDP($A155,F$3))</f>
        <v/>
      </c>
      <c r="G155" s="8">
        <f>IF($A155="","",BDP($A155,G$3))</f>
        <v/>
      </c>
      <c r="H155" s="8">
        <f>IF($A155="","",BDP($A155,H$3))</f>
        <v/>
      </c>
      <c r="I155" s="8">
        <f>IF($A155="","",BDP($A155,I$3))</f>
        <v/>
      </c>
      <c r="J155" s="8">
        <f>IF($A155="","",BDP($A155,J$3))</f>
        <v/>
      </c>
      <c r="K155" s="8">
        <f>IF($A155="","",BDP($A155,K$3))</f>
        <v/>
      </c>
      <c r="L155" s="28">
        <f>IF($A155="","",BDP($A155,L$3))</f>
        <v/>
      </c>
      <c r="M155" s="28">
        <f>IF($A155="","",BDP($A155,M$3))</f>
        <v/>
      </c>
      <c r="N155" s="30">
        <f>IF($A155="","",BDP($A155,N$3))</f>
        <v/>
      </c>
      <c r="O155" s="31">
        <f>IF($A155="","",BDP($A155,O$3))</f>
        <v/>
      </c>
      <c r="P155" s="30">
        <f>IF($A155="","",BDH($A155,$N$3,'參數'!$B$5,'參數'!$B$5,"Days=A","Fill=P","Dates=H"))</f>
        <v/>
      </c>
      <c r="Q155" s="30">
        <f>IF($A155="","",BDH($A155,$N$3,'參數'!$B$6,'參數'!$B$6,"Days=A","Fill=P","Dates=H"))</f>
        <v/>
      </c>
      <c r="R155" s="30">
        <f>IF($A155="","",BDH($A155,$N$3,'參數'!$B$7,'參數'!$B$7,"Days=A","Fill=P","Dates=H"))</f>
        <v/>
      </c>
      <c r="S155" s="32">
        <f>IF($A155="","",IFERROR(INDEX('發行人'!$A$5:$A$44,MATCH(B155,'發行人'!$D$5:$D$44,0)),"未對應"))</f>
        <v/>
      </c>
      <c r="T155" s="24">
        <f>IF($A155="","",IFERROR(INDEX('發行人'!$G$5:$G$44,MATCH(B155,'發行人'!$D$5:$D$44,0))+0,""))</f>
        <v/>
      </c>
      <c r="U155" s="18">
        <f>IF(ISNUMBER(E155),YEARFRAC('參數'!$B$4,E155),"")</f>
        <v/>
      </c>
      <c r="V155" s="8">
        <f>IF(U155="","",IF(U155&lt;3,"1-3y",IF(U155&lt;5,"3-5y",IF(U155&lt;7,"5-7y",IF(U155&lt;10,"7-10y","10y+")))))</f>
        <v/>
      </c>
      <c r="W155" s="30">
        <f>IF($A155="","",IFERROR(INDEX('參數'!$B$24:$B$45,MATCH(G155,'參數'!$A$24:$A$45,0)),""))</f>
        <v/>
      </c>
      <c r="X155" s="8">
        <f>IF($A155="","",IFERROR(INDEX('參數'!$C$24:$C$45,MATCH(G155,'參數'!$A$24:$A$45,0)),""))</f>
        <v/>
      </c>
      <c r="Y155" s="30">
        <f>IF(AND(ISNUMBER(N155),ISNUMBER(O155),ISNUMBER(U155)),IF(AND(O155&gt;0,X155&lt;&gt;""),1,0),0)</f>
        <v/>
      </c>
      <c r="Z155" s="17">
        <f>IF(Y155=1,O155*N155,"")</f>
        <v/>
      </c>
      <c r="AA155" s="33">
        <f>IF(Y155=1,IF(ISNUMBER(Q155),N155-Q155,""),"")</f>
        <v/>
      </c>
      <c r="AB155" s="33">
        <f>IF(Y155=1,IF(AND(ISNUMBER(P155),ISNUMBER(R155)),R155*5/12-O155*(P155-R155),""),"")</f>
        <v/>
      </c>
      <c r="AC155" s="30">
        <f>IF(Y155=1,COUNTIFS($X$5:$X$404,X155,$V$5:$V$404,V155,$Y$5:$Y$404,1),"")</f>
        <v/>
      </c>
      <c r="AD155" s="30">
        <f>IF(Y155=1,IFERROR(IF(AC155&gt;='參數'!$B$9,INDEX('分群統計'!$G$13:$K$16,MATCH(X155,'分群統計'!$A$13:$A$16,0),MATCH(V155,'分群統計'!$G$12:$K$12,0)),INDEX('分群統計'!$I$5:$I$8,MATCH(X155,'分群統計'!$A$5:$A$8,0))),""),"")</f>
        <v/>
      </c>
      <c r="AE155" s="18">
        <f>IF(Y155=1,IFERROR(IF(AC155&gt;='參數'!$B$9,INDEX('分群統計'!$L$13:$P$16,MATCH(X155,'分群統計'!$A$13:$A$16,0),MATCH(V155,'分群統計'!$L$12:$P$12,0)),INDEX('分群統計'!$J$5:$J$8,MATCH(X155,'分群統計'!$A$5:$A$8,0))),""),"")</f>
        <v/>
      </c>
      <c r="AF155" s="31">
        <f>IF(ISNUMBER(AE155),IF(AE155&gt;0,MAX(-3,MIN(3,(N155-AD155)/AE155)),0),"")</f>
        <v/>
      </c>
      <c r="AG155" s="30">
        <f>IF(Y155=1,COUNTIFS($B$5:$B$404,B155,$Y$5:$Y$404,1),"")</f>
        <v/>
      </c>
      <c r="AH155" s="30">
        <f>IF(Y155=1,IFERROR(IF(ISNUMBER(INDEX('分群統計'!$G$20:$G$59,MATCH(B155,'分群統計'!$A$20:$A$59,0))),INDEX('分群統計'!$H$20:$H$59,MATCH(B155,'分群統計'!$A$20:$A$59,0))+INDEX('分群統計'!$G$20:$G$59,MATCH(B155,'分群統計'!$A$20:$A$59,0))*AU155,""),""),"")</f>
        <v/>
      </c>
      <c r="AI155" s="34">
        <f>IF(ISNUMBER(AH155),N155-AH155,"")</f>
        <v/>
      </c>
      <c r="AJ155" s="30">
        <f>IF(Y155=1,IFERROR(IF(ISNUMBER(INDEX('分群統計'!$G$5:$G$8,MATCH(X155,'分群統計'!$A$5:$A$8,0))),INDEX('分群統計'!$H$5:$H$8,MATCH(X155,'分群統計'!$A$5:$A$8,0))+INDEX('分群統計'!$G$5:$G$8,MATCH(X155,'分群統計'!$A$5:$A$8,0))*AU155,""),""),"")</f>
        <v/>
      </c>
      <c r="AK155" s="34">
        <f>IF(ISNUMBER(AJ155),N155-AJ155,"")</f>
        <v/>
      </c>
      <c r="AL155" s="21">
        <f>IF(ISNUMBER(AJ155),IF(AJ155&gt;0,AK155/AJ155,""),"")</f>
        <v/>
      </c>
      <c r="AM155" s="31">
        <f>IF(AY155&lt;&gt;1,"",IFERROR(IF(INDEX('分群統計'!$K$5:$K$8,MATCH(X155,'分群統計'!$A$5:$A$8,0))&lt;3,"",IF(INDEX('分群統計'!$M$5:$M$8,MATCH(X155,'分群統計'!$A$5:$A$8,0))&gt;0,MAX(-3,MIN(3,(AX155-INDEX('分群統計'!$L$5:$L$8,MATCH(X155,'分群統計'!$A$5:$A$8,0)))/INDEX('分群統計'!$M$5:$M$8,MATCH(X155,'分群統計'!$A$5:$A$8,0)))),0)),""))</f>
        <v/>
      </c>
      <c r="AN155" s="31">
        <f>IF(ISNUMBER(AB155),IF(Z155&gt;0,AB155/Z155*100,""),"")</f>
        <v/>
      </c>
      <c r="AO155" s="31">
        <f>IF(BA155&lt;&gt;1,"",IFERROR(IF(INDEX('分群統計'!$N$5:$N$8,MATCH(X155,'分群統計'!$A$5:$A$8,0))&lt;3,"",IF(INDEX('分群統計'!$P$5:$P$8,MATCH(X155,'分群統計'!$A$5:$A$8,0))&gt;0,MAX(-3,MIN(3,(AZ155-INDEX('分群統計'!$O$5:$O$8,MATCH(X155,'分群統計'!$A$5:$A$8,0)))/INDEX('分群統計'!$P$5:$P$8,MATCH(X155,'分群統計'!$A$5:$A$8,0)))),0)),""))</f>
        <v/>
      </c>
      <c r="AP155" s="31">
        <f>IF(BC155&lt;&gt;1,"",IFERROR(IF(INDEX('分群統計'!$Q$5:$Q$8,MATCH(X155,'分群統計'!$A$5:$A$8,0))&lt;3,"",IF(INDEX('分群統計'!$S$5:$S$8,MATCH(X155,'分群統計'!$A$5:$A$8,0))&gt;0,MAX(-3,MIN(3,(BB155-INDEX('分群統計'!$R$5:$R$8,MATCH(X155,'分群統計'!$A$5:$A$8,0)))/INDEX('分群統計'!$S$5:$S$8,MATCH(X155,'分群統計'!$A$5:$A$8,0)))),0)),""))</f>
        <v/>
      </c>
      <c r="AQ155" s="31">
        <f>IF(Y155=1,(IF(ISNUMBER(AF155),AF155,0)*'參數'!$B$13+IF(ISNUMBER(AM155),AM155,0)*'參數'!$B$14+IF(ISNUMBER(AO155),AO155,0)*'參數'!$B$15+IF(ISNUMBER(AP155),AP155,0)*'參數'!$B$16)/('參數'!$B$13+'參數'!$B$14+'參數'!$B$15+'參數'!$B$16),"")</f>
        <v/>
      </c>
      <c r="AR155" s="35">
        <f>IF(Y155=1,(SUMPRODUCT(($X$5:$X$404=X155)*($Y$5:$Y$404=1)*($BD$5:$BD$404&gt;BD155))+1)/COUNTIFS($X$5:$X$404,X155,$Y$5:$Y$404,1),"")</f>
        <v/>
      </c>
      <c r="AS155" s="8">
        <f>IF(ISNUMBER(AR155),IF(AR155&lt;='參數'!$B$18,"加碼候選",IF(AR155&gt;'參數'!$B$19,"減碼候選","")),"")</f>
        <v/>
      </c>
      <c r="AT155" s="7">
        <f>IF(Y155=1,N155,0)</f>
        <v/>
      </c>
      <c r="AU155" s="7">
        <f>IF(Y155=1,LN(O155),0)</f>
        <v/>
      </c>
      <c r="AV155" s="36">
        <f>IF(Y155=1,IF(ISNUMBER(F155),F155,0),0)</f>
        <v/>
      </c>
      <c r="AW155" s="7">
        <f>IF(Y155=1,Z155,0)</f>
        <v/>
      </c>
      <c r="AX155" s="7">
        <f>IF(Y155=1,IF(ISNUMBER(AL155),AL155,0),0)</f>
        <v/>
      </c>
      <c r="AY155" s="7">
        <f>IF(Y155=1,IF(ISNUMBER(AL155),1,0),0)</f>
        <v/>
      </c>
      <c r="AZ155" s="7">
        <f>IF(Y155=1,IF(ISNUMBER(AN155),AN155,0),0)</f>
        <v/>
      </c>
      <c r="BA155" s="7">
        <f>IF(Y155=1,IF(ISNUMBER(AN155),1,0),0)</f>
        <v/>
      </c>
      <c r="BB155" s="7">
        <f>IF(Y155=1,IF(ISNUMBER(T155),T155,0),0)</f>
        <v/>
      </c>
      <c r="BC155" s="7">
        <f>IF(Y155=1,IF(ISNUMBER(T155),1,0),0)</f>
        <v/>
      </c>
      <c r="BD155" s="7">
        <f>IF(Y155=1,AQ155+ROW()/1E9,-1E9)</f>
        <v/>
      </c>
      <c r="BE155" s="7">
        <f>IF(Y155=1,AQ155+ROW()/1E9,1E9)</f>
        <v/>
      </c>
    </row>
    <row r="156">
      <c r="A156" s="16" t="n"/>
      <c r="B156" s="8">
        <f>IF($A156="","",BDP($A156,B$3))</f>
        <v/>
      </c>
      <c r="C156" s="8">
        <f>IF($A156="","",BDP($A156,C$3))</f>
        <v/>
      </c>
      <c r="D156" s="28">
        <f>IF($A156="","",BDP($A156,D$3))</f>
        <v/>
      </c>
      <c r="E156" s="29">
        <f>IF($A156="","",BDP($A156,E$3))</f>
        <v/>
      </c>
      <c r="F156" s="17">
        <f>IF($A156="","",BDP($A156,F$3))</f>
        <v/>
      </c>
      <c r="G156" s="8">
        <f>IF($A156="","",BDP($A156,G$3))</f>
        <v/>
      </c>
      <c r="H156" s="8">
        <f>IF($A156="","",BDP($A156,H$3))</f>
        <v/>
      </c>
      <c r="I156" s="8">
        <f>IF($A156="","",BDP($A156,I$3))</f>
        <v/>
      </c>
      <c r="J156" s="8">
        <f>IF($A156="","",BDP($A156,J$3))</f>
        <v/>
      </c>
      <c r="K156" s="8">
        <f>IF($A156="","",BDP($A156,K$3))</f>
        <v/>
      </c>
      <c r="L156" s="28">
        <f>IF($A156="","",BDP($A156,L$3))</f>
        <v/>
      </c>
      <c r="M156" s="28">
        <f>IF($A156="","",BDP($A156,M$3))</f>
        <v/>
      </c>
      <c r="N156" s="30">
        <f>IF($A156="","",BDP($A156,N$3))</f>
        <v/>
      </c>
      <c r="O156" s="31">
        <f>IF($A156="","",BDP($A156,O$3))</f>
        <v/>
      </c>
      <c r="P156" s="30">
        <f>IF($A156="","",BDH($A156,$N$3,'參數'!$B$5,'參數'!$B$5,"Days=A","Fill=P","Dates=H"))</f>
        <v/>
      </c>
      <c r="Q156" s="30">
        <f>IF($A156="","",BDH($A156,$N$3,'參數'!$B$6,'參數'!$B$6,"Days=A","Fill=P","Dates=H"))</f>
        <v/>
      </c>
      <c r="R156" s="30">
        <f>IF($A156="","",BDH($A156,$N$3,'參數'!$B$7,'參數'!$B$7,"Days=A","Fill=P","Dates=H"))</f>
        <v/>
      </c>
      <c r="S156" s="32">
        <f>IF($A156="","",IFERROR(INDEX('發行人'!$A$5:$A$44,MATCH(B156,'發行人'!$D$5:$D$44,0)),"未對應"))</f>
        <v/>
      </c>
      <c r="T156" s="24">
        <f>IF($A156="","",IFERROR(INDEX('發行人'!$G$5:$G$44,MATCH(B156,'發行人'!$D$5:$D$44,0))+0,""))</f>
        <v/>
      </c>
      <c r="U156" s="18">
        <f>IF(ISNUMBER(E156),YEARFRAC('參數'!$B$4,E156),"")</f>
        <v/>
      </c>
      <c r="V156" s="8">
        <f>IF(U156="","",IF(U156&lt;3,"1-3y",IF(U156&lt;5,"3-5y",IF(U156&lt;7,"5-7y",IF(U156&lt;10,"7-10y","10y+")))))</f>
        <v/>
      </c>
      <c r="W156" s="30">
        <f>IF($A156="","",IFERROR(INDEX('參數'!$B$24:$B$45,MATCH(G156,'參數'!$A$24:$A$45,0)),""))</f>
        <v/>
      </c>
      <c r="X156" s="8">
        <f>IF($A156="","",IFERROR(INDEX('參數'!$C$24:$C$45,MATCH(G156,'參數'!$A$24:$A$45,0)),""))</f>
        <v/>
      </c>
      <c r="Y156" s="30">
        <f>IF(AND(ISNUMBER(N156),ISNUMBER(O156),ISNUMBER(U156)),IF(AND(O156&gt;0,X156&lt;&gt;""),1,0),0)</f>
        <v/>
      </c>
      <c r="Z156" s="17">
        <f>IF(Y156=1,O156*N156,"")</f>
        <v/>
      </c>
      <c r="AA156" s="33">
        <f>IF(Y156=1,IF(ISNUMBER(Q156),N156-Q156,""),"")</f>
        <v/>
      </c>
      <c r="AB156" s="33">
        <f>IF(Y156=1,IF(AND(ISNUMBER(P156),ISNUMBER(R156)),R156*5/12-O156*(P156-R156),""),"")</f>
        <v/>
      </c>
      <c r="AC156" s="30">
        <f>IF(Y156=1,COUNTIFS($X$5:$X$404,X156,$V$5:$V$404,V156,$Y$5:$Y$404,1),"")</f>
        <v/>
      </c>
      <c r="AD156" s="30">
        <f>IF(Y156=1,IFERROR(IF(AC156&gt;='參數'!$B$9,INDEX('分群統計'!$G$13:$K$16,MATCH(X156,'分群統計'!$A$13:$A$16,0),MATCH(V156,'分群統計'!$G$12:$K$12,0)),INDEX('分群統計'!$I$5:$I$8,MATCH(X156,'分群統計'!$A$5:$A$8,0))),""),"")</f>
        <v/>
      </c>
      <c r="AE156" s="18">
        <f>IF(Y156=1,IFERROR(IF(AC156&gt;='參數'!$B$9,INDEX('分群統計'!$L$13:$P$16,MATCH(X156,'分群統計'!$A$13:$A$16,0),MATCH(V156,'分群統計'!$L$12:$P$12,0)),INDEX('分群統計'!$J$5:$J$8,MATCH(X156,'分群統計'!$A$5:$A$8,0))),""),"")</f>
        <v/>
      </c>
      <c r="AF156" s="31">
        <f>IF(ISNUMBER(AE156),IF(AE156&gt;0,MAX(-3,MIN(3,(N156-AD156)/AE156)),0),"")</f>
        <v/>
      </c>
      <c r="AG156" s="30">
        <f>IF(Y156=1,COUNTIFS($B$5:$B$404,B156,$Y$5:$Y$404,1),"")</f>
        <v/>
      </c>
      <c r="AH156" s="30">
        <f>IF(Y156=1,IFERROR(IF(ISNUMBER(INDEX('分群統計'!$G$20:$G$59,MATCH(B156,'分群統計'!$A$20:$A$59,0))),INDEX('分群統計'!$H$20:$H$59,MATCH(B156,'分群統計'!$A$20:$A$59,0))+INDEX('分群統計'!$G$20:$G$59,MATCH(B156,'分群統計'!$A$20:$A$59,0))*AU156,""),""),"")</f>
        <v/>
      </c>
      <c r="AI156" s="34">
        <f>IF(ISNUMBER(AH156),N156-AH156,"")</f>
        <v/>
      </c>
      <c r="AJ156" s="30">
        <f>IF(Y156=1,IFERROR(IF(ISNUMBER(INDEX('分群統計'!$G$5:$G$8,MATCH(X156,'分群統計'!$A$5:$A$8,0))),INDEX('分群統計'!$H$5:$H$8,MATCH(X156,'分群統計'!$A$5:$A$8,0))+INDEX('分群統計'!$G$5:$G$8,MATCH(X156,'分群統計'!$A$5:$A$8,0))*AU156,""),""),"")</f>
        <v/>
      </c>
      <c r="AK156" s="34">
        <f>IF(ISNUMBER(AJ156),N156-AJ156,"")</f>
        <v/>
      </c>
      <c r="AL156" s="21">
        <f>IF(ISNUMBER(AJ156),IF(AJ156&gt;0,AK156/AJ156,""),"")</f>
        <v/>
      </c>
      <c r="AM156" s="31">
        <f>IF(AY156&lt;&gt;1,"",IFERROR(IF(INDEX('分群統計'!$K$5:$K$8,MATCH(X156,'分群統計'!$A$5:$A$8,0))&lt;3,"",IF(INDEX('分群統計'!$M$5:$M$8,MATCH(X156,'分群統計'!$A$5:$A$8,0))&gt;0,MAX(-3,MIN(3,(AX156-INDEX('分群統計'!$L$5:$L$8,MATCH(X156,'分群統計'!$A$5:$A$8,0)))/INDEX('分群統計'!$M$5:$M$8,MATCH(X156,'分群統計'!$A$5:$A$8,0)))),0)),""))</f>
        <v/>
      </c>
      <c r="AN156" s="31">
        <f>IF(ISNUMBER(AB156),IF(Z156&gt;0,AB156/Z156*100,""),"")</f>
        <v/>
      </c>
      <c r="AO156" s="31">
        <f>IF(BA156&lt;&gt;1,"",IFERROR(IF(INDEX('分群統計'!$N$5:$N$8,MATCH(X156,'分群統計'!$A$5:$A$8,0))&lt;3,"",IF(INDEX('分群統計'!$P$5:$P$8,MATCH(X156,'分群統計'!$A$5:$A$8,0))&gt;0,MAX(-3,MIN(3,(AZ156-INDEX('分群統計'!$O$5:$O$8,MATCH(X156,'分群統計'!$A$5:$A$8,0)))/INDEX('分群統計'!$P$5:$P$8,MATCH(X156,'分群統計'!$A$5:$A$8,0)))),0)),""))</f>
        <v/>
      </c>
      <c r="AP156" s="31">
        <f>IF(BC156&lt;&gt;1,"",IFERROR(IF(INDEX('分群統計'!$Q$5:$Q$8,MATCH(X156,'分群統計'!$A$5:$A$8,0))&lt;3,"",IF(INDEX('分群統計'!$S$5:$S$8,MATCH(X156,'分群統計'!$A$5:$A$8,0))&gt;0,MAX(-3,MIN(3,(BB156-INDEX('分群統計'!$R$5:$R$8,MATCH(X156,'分群統計'!$A$5:$A$8,0)))/INDEX('分群統計'!$S$5:$S$8,MATCH(X156,'分群統計'!$A$5:$A$8,0)))),0)),""))</f>
        <v/>
      </c>
      <c r="AQ156" s="31">
        <f>IF(Y156=1,(IF(ISNUMBER(AF156),AF156,0)*'參數'!$B$13+IF(ISNUMBER(AM156),AM156,0)*'參數'!$B$14+IF(ISNUMBER(AO156),AO156,0)*'參數'!$B$15+IF(ISNUMBER(AP156),AP156,0)*'參數'!$B$16)/('參數'!$B$13+'參數'!$B$14+'參數'!$B$15+'參數'!$B$16),"")</f>
        <v/>
      </c>
      <c r="AR156" s="35">
        <f>IF(Y156=1,(SUMPRODUCT(($X$5:$X$404=X156)*($Y$5:$Y$404=1)*($BD$5:$BD$404&gt;BD156))+1)/COUNTIFS($X$5:$X$404,X156,$Y$5:$Y$404,1),"")</f>
        <v/>
      </c>
      <c r="AS156" s="8">
        <f>IF(ISNUMBER(AR156),IF(AR156&lt;='參數'!$B$18,"加碼候選",IF(AR156&gt;'參數'!$B$19,"減碼候選","")),"")</f>
        <v/>
      </c>
      <c r="AT156" s="7">
        <f>IF(Y156=1,N156,0)</f>
        <v/>
      </c>
      <c r="AU156" s="7">
        <f>IF(Y156=1,LN(O156),0)</f>
        <v/>
      </c>
      <c r="AV156" s="36">
        <f>IF(Y156=1,IF(ISNUMBER(F156),F156,0),0)</f>
        <v/>
      </c>
      <c r="AW156" s="7">
        <f>IF(Y156=1,Z156,0)</f>
        <v/>
      </c>
      <c r="AX156" s="7">
        <f>IF(Y156=1,IF(ISNUMBER(AL156),AL156,0),0)</f>
        <v/>
      </c>
      <c r="AY156" s="7">
        <f>IF(Y156=1,IF(ISNUMBER(AL156),1,0),0)</f>
        <v/>
      </c>
      <c r="AZ156" s="7">
        <f>IF(Y156=1,IF(ISNUMBER(AN156),AN156,0),0)</f>
        <v/>
      </c>
      <c r="BA156" s="7">
        <f>IF(Y156=1,IF(ISNUMBER(AN156),1,0),0)</f>
        <v/>
      </c>
      <c r="BB156" s="7">
        <f>IF(Y156=1,IF(ISNUMBER(T156),T156,0),0)</f>
        <v/>
      </c>
      <c r="BC156" s="7">
        <f>IF(Y156=1,IF(ISNUMBER(T156),1,0),0)</f>
        <v/>
      </c>
      <c r="BD156" s="7">
        <f>IF(Y156=1,AQ156+ROW()/1E9,-1E9)</f>
        <v/>
      </c>
      <c r="BE156" s="7">
        <f>IF(Y156=1,AQ156+ROW()/1E9,1E9)</f>
        <v/>
      </c>
    </row>
    <row r="157">
      <c r="A157" s="16" t="n"/>
      <c r="B157" s="8">
        <f>IF($A157="","",BDP($A157,B$3))</f>
        <v/>
      </c>
      <c r="C157" s="8">
        <f>IF($A157="","",BDP($A157,C$3))</f>
        <v/>
      </c>
      <c r="D157" s="28">
        <f>IF($A157="","",BDP($A157,D$3))</f>
        <v/>
      </c>
      <c r="E157" s="29">
        <f>IF($A157="","",BDP($A157,E$3))</f>
        <v/>
      </c>
      <c r="F157" s="17">
        <f>IF($A157="","",BDP($A157,F$3))</f>
        <v/>
      </c>
      <c r="G157" s="8">
        <f>IF($A157="","",BDP($A157,G$3))</f>
        <v/>
      </c>
      <c r="H157" s="8">
        <f>IF($A157="","",BDP($A157,H$3))</f>
        <v/>
      </c>
      <c r="I157" s="8">
        <f>IF($A157="","",BDP($A157,I$3))</f>
        <v/>
      </c>
      <c r="J157" s="8">
        <f>IF($A157="","",BDP($A157,J$3))</f>
        <v/>
      </c>
      <c r="K157" s="8">
        <f>IF($A157="","",BDP($A157,K$3))</f>
        <v/>
      </c>
      <c r="L157" s="28">
        <f>IF($A157="","",BDP($A157,L$3))</f>
        <v/>
      </c>
      <c r="M157" s="28">
        <f>IF($A157="","",BDP($A157,M$3))</f>
        <v/>
      </c>
      <c r="N157" s="30">
        <f>IF($A157="","",BDP($A157,N$3))</f>
        <v/>
      </c>
      <c r="O157" s="31">
        <f>IF($A157="","",BDP($A157,O$3))</f>
        <v/>
      </c>
      <c r="P157" s="30">
        <f>IF($A157="","",BDH($A157,$N$3,'參數'!$B$5,'參數'!$B$5,"Days=A","Fill=P","Dates=H"))</f>
        <v/>
      </c>
      <c r="Q157" s="30">
        <f>IF($A157="","",BDH($A157,$N$3,'參數'!$B$6,'參數'!$B$6,"Days=A","Fill=P","Dates=H"))</f>
        <v/>
      </c>
      <c r="R157" s="30">
        <f>IF($A157="","",BDH($A157,$N$3,'參數'!$B$7,'參數'!$B$7,"Days=A","Fill=P","Dates=H"))</f>
        <v/>
      </c>
      <c r="S157" s="32">
        <f>IF($A157="","",IFERROR(INDEX('發行人'!$A$5:$A$44,MATCH(B157,'發行人'!$D$5:$D$44,0)),"未對應"))</f>
        <v/>
      </c>
      <c r="T157" s="24">
        <f>IF($A157="","",IFERROR(INDEX('發行人'!$G$5:$G$44,MATCH(B157,'發行人'!$D$5:$D$44,0))+0,""))</f>
        <v/>
      </c>
      <c r="U157" s="18">
        <f>IF(ISNUMBER(E157),YEARFRAC('參數'!$B$4,E157),"")</f>
        <v/>
      </c>
      <c r="V157" s="8">
        <f>IF(U157="","",IF(U157&lt;3,"1-3y",IF(U157&lt;5,"3-5y",IF(U157&lt;7,"5-7y",IF(U157&lt;10,"7-10y","10y+")))))</f>
        <v/>
      </c>
      <c r="W157" s="30">
        <f>IF($A157="","",IFERROR(INDEX('參數'!$B$24:$B$45,MATCH(G157,'參數'!$A$24:$A$45,0)),""))</f>
        <v/>
      </c>
      <c r="X157" s="8">
        <f>IF($A157="","",IFERROR(INDEX('參數'!$C$24:$C$45,MATCH(G157,'參數'!$A$24:$A$45,0)),""))</f>
        <v/>
      </c>
      <c r="Y157" s="30">
        <f>IF(AND(ISNUMBER(N157),ISNUMBER(O157),ISNUMBER(U157)),IF(AND(O157&gt;0,X157&lt;&gt;""),1,0),0)</f>
        <v/>
      </c>
      <c r="Z157" s="17">
        <f>IF(Y157=1,O157*N157,"")</f>
        <v/>
      </c>
      <c r="AA157" s="33">
        <f>IF(Y157=1,IF(ISNUMBER(Q157),N157-Q157,""),"")</f>
        <v/>
      </c>
      <c r="AB157" s="33">
        <f>IF(Y157=1,IF(AND(ISNUMBER(P157),ISNUMBER(R157)),R157*5/12-O157*(P157-R157),""),"")</f>
        <v/>
      </c>
      <c r="AC157" s="30">
        <f>IF(Y157=1,COUNTIFS($X$5:$X$404,X157,$V$5:$V$404,V157,$Y$5:$Y$404,1),"")</f>
        <v/>
      </c>
      <c r="AD157" s="30">
        <f>IF(Y157=1,IFERROR(IF(AC157&gt;='參數'!$B$9,INDEX('分群統計'!$G$13:$K$16,MATCH(X157,'分群統計'!$A$13:$A$16,0),MATCH(V157,'分群統計'!$G$12:$K$12,0)),INDEX('分群統計'!$I$5:$I$8,MATCH(X157,'分群統計'!$A$5:$A$8,0))),""),"")</f>
        <v/>
      </c>
      <c r="AE157" s="18">
        <f>IF(Y157=1,IFERROR(IF(AC157&gt;='參數'!$B$9,INDEX('分群統計'!$L$13:$P$16,MATCH(X157,'分群統計'!$A$13:$A$16,0),MATCH(V157,'分群統計'!$L$12:$P$12,0)),INDEX('分群統計'!$J$5:$J$8,MATCH(X157,'分群統計'!$A$5:$A$8,0))),""),"")</f>
        <v/>
      </c>
      <c r="AF157" s="31">
        <f>IF(ISNUMBER(AE157),IF(AE157&gt;0,MAX(-3,MIN(3,(N157-AD157)/AE157)),0),"")</f>
        <v/>
      </c>
      <c r="AG157" s="30">
        <f>IF(Y157=1,COUNTIFS($B$5:$B$404,B157,$Y$5:$Y$404,1),"")</f>
        <v/>
      </c>
      <c r="AH157" s="30">
        <f>IF(Y157=1,IFERROR(IF(ISNUMBER(INDEX('分群統計'!$G$20:$G$59,MATCH(B157,'分群統計'!$A$20:$A$59,0))),INDEX('分群統計'!$H$20:$H$59,MATCH(B157,'分群統計'!$A$20:$A$59,0))+INDEX('分群統計'!$G$20:$G$59,MATCH(B157,'分群統計'!$A$20:$A$59,0))*AU157,""),""),"")</f>
        <v/>
      </c>
      <c r="AI157" s="34">
        <f>IF(ISNUMBER(AH157),N157-AH157,"")</f>
        <v/>
      </c>
      <c r="AJ157" s="30">
        <f>IF(Y157=1,IFERROR(IF(ISNUMBER(INDEX('分群統計'!$G$5:$G$8,MATCH(X157,'分群統計'!$A$5:$A$8,0))),INDEX('分群統計'!$H$5:$H$8,MATCH(X157,'分群統計'!$A$5:$A$8,0))+INDEX('分群統計'!$G$5:$G$8,MATCH(X157,'分群統計'!$A$5:$A$8,0))*AU157,""),""),"")</f>
        <v/>
      </c>
      <c r="AK157" s="34">
        <f>IF(ISNUMBER(AJ157),N157-AJ157,"")</f>
        <v/>
      </c>
      <c r="AL157" s="21">
        <f>IF(ISNUMBER(AJ157),IF(AJ157&gt;0,AK157/AJ157,""),"")</f>
        <v/>
      </c>
      <c r="AM157" s="31">
        <f>IF(AY157&lt;&gt;1,"",IFERROR(IF(INDEX('分群統計'!$K$5:$K$8,MATCH(X157,'分群統計'!$A$5:$A$8,0))&lt;3,"",IF(INDEX('分群統計'!$M$5:$M$8,MATCH(X157,'分群統計'!$A$5:$A$8,0))&gt;0,MAX(-3,MIN(3,(AX157-INDEX('分群統計'!$L$5:$L$8,MATCH(X157,'分群統計'!$A$5:$A$8,0)))/INDEX('分群統計'!$M$5:$M$8,MATCH(X157,'分群統計'!$A$5:$A$8,0)))),0)),""))</f>
        <v/>
      </c>
      <c r="AN157" s="31">
        <f>IF(ISNUMBER(AB157),IF(Z157&gt;0,AB157/Z157*100,""),"")</f>
        <v/>
      </c>
      <c r="AO157" s="31">
        <f>IF(BA157&lt;&gt;1,"",IFERROR(IF(INDEX('分群統計'!$N$5:$N$8,MATCH(X157,'分群統計'!$A$5:$A$8,0))&lt;3,"",IF(INDEX('分群統計'!$P$5:$P$8,MATCH(X157,'分群統計'!$A$5:$A$8,0))&gt;0,MAX(-3,MIN(3,(AZ157-INDEX('分群統計'!$O$5:$O$8,MATCH(X157,'分群統計'!$A$5:$A$8,0)))/INDEX('分群統計'!$P$5:$P$8,MATCH(X157,'分群統計'!$A$5:$A$8,0)))),0)),""))</f>
        <v/>
      </c>
      <c r="AP157" s="31">
        <f>IF(BC157&lt;&gt;1,"",IFERROR(IF(INDEX('分群統計'!$Q$5:$Q$8,MATCH(X157,'分群統計'!$A$5:$A$8,0))&lt;3,"",IF(INDEX('分群統計'!$S$5:$S$8,MATCH(X157,'分群統計'!$A$5:$A$8,0))&gt;0,MAX(-3,MIN(3,(BB157-INDEX('分群統計'!$R$5:$R$8,MATCH(X157,'分群統計'!$A$5:$A$8,0)))/INDEX('分群統計'!$S$5:$S$8,MATCH(X157,'分群統計'!$A$5:$A$8,0)))),0)),""))</f>
        <v/>
      </c>
      <c r="AQ157" s="31">
        <f>IF(Y157=1,(IF(ISNUMBER(AF157),AF157,0)*'參數'!$B$13+IF(ISNUMBER(AM157),AM157,0)*'參數'!$B$14+IF(ISNUMBER(AO157),AO157,0)*'參數'!$B$15+IF(ISNUMBER(AP157),AP157,0)*'參數'!$B$16)/('參數'!$B$13+'參數'!$B$14+'參數'!$B$15+'參數'!$B$16),"")</f>
        <v/>
      </c>
      <c r="AR157" s="35">
        <f>IF(Y157=1,(SUMPRODUCT(($X$5:$X$404=X157)*($Y$5:$Y$404=1)*($BD$5:$BD$404&gt;BD157))+1)/COUNTIFS($X$5:$X$404,X157,$Y$5:$Y$404,1),"")</f>
        <v/>
      </c>
      <c r="AS157" s="8">
        <f>IF(ISNUMBER(AR157),IF(AR157&lt;='參數'!$B$18,"加碼候選",IF(AR157&gt;'參數'!$B$19,"減碼候選","")),"")</f>
        <v/>
      </c>
      <c r="AT157" s="7">
        <f>IF(Y157=1,N157,0)</f>
        <v/>
      </c>
      <c r="AU157" s="7">
        <f>IF(Y157=1,LN(O157),0)</f>
        <v/>
      </c>
      <c r="AV157" s="36">
        <f>IF(Y157=1,IF(ISNUMBER(F157),F157,0),0)</f>
        <v/>
      </c>
      <c r="AW157" s="7">
        <f>IF(Y157=1,Z157,0)</f>
        <v/>
      </c>
      <c r="AX157" s="7">
        <f>IF(Y157=1,IF(ISNUMBER(AL157),AL157,0),0)</f>
        <v/>
      </c>
      <c r="AY157" s="7">
        <f>IF(Y157=1,IF(ISNUMBER(AL157),1,0),0)</f>
        <v/>
      </c>
      <c r="AZ157" s="7">
        <f>IF(Y157=1,IF(ISNUMBER(AN157),AN157,0),0)</f>
        <v/>
      </c>
      <c r="BA157" s="7">
        <f>IF(Y157=1,IF(ISNUMBER(AN157),1,0),0)</f>
        <v/>
      </c>
      <c r="BB157" s="7">
        <f>IF(Y157=1,IF(ISNUMBER(T157),T157,0),0)</f>
        <v/>
      </c>
      <c r="BC157" s="7">
        <f>IF(Y157=1,IF(ISNUMBER(T157),1,0),0)</f>
        <v/>
      </c>
      <c r="BD157" s="7">
        <f>IF(Y157=1,AQ157+ROW()/1E9,-1E9)</f>
        <v/>
      </c>
      <c r="BE157" s="7">
        <f>IF(Y157=1,AQ157+ROW()/1E9,1E9)</f>
        <v/>
      </c>
    </row>
    <row r="158">
      <c r="A158" s="16" t="n"/>
      <c r="B158" s="8">
        <f>IF($A158="","",BDP($A158,B$3))</f>
        <v/>
      </c>
      <c r="C158" s="8">
        <f>IF($A158="","",BDP($A158,C$3))</f>
        <v/>
      </c>
      <c r="D158" s="28">
        <f>IF($A158="","",BDP($A158,D$3))</f>
        <v/>
      </c>
      <c r="E158" s="29">
        <f>IF($A158="","",BDP($A158,E$3))</f>
        <v/>
      </c>
      <c r="F158" s="17">
        <f>IF($A158="","",BDP($A158,F$3))</f>
        <v/>
      </c>
      <c r="G158" s="8">
        <f>IF($A158="","",BDP($A158,G$3))</f>
        <v/>
      </c>
      <c r="H158" s="8">
        <f>IF($A158="","",BDP($A158,H$3))</f>
        <v/>
      </c>
      <c r="I158" s="8">
        <f>IF($A158="","",BDP($A158,I$3))</f>
        <v/>
      </c>
      <c r="J158" s="8">
        <f>IF($A158="","",BDP($A158,J$3))</f>
        <v/>
      </c>
      <c r="K158" s="8">
        <f>IF($A158="","",BDP($A158,K$3))</f>
        <v/>
      </c>
      <c r="L158" s="28">
        <f>IF($A158="","",BDP($A158,L$3))</f>
        <v/>
      </c>
      <c r="M158" s="28">
        <f>IF($A158="","",BDP($A158,M$3))</f>
        <v/>
      </c>
      <c r="N158" s="30">
        <f>IF($A158="","",BDP($A158,N$3))</f>
        <v/>
      </c>
      <c r="O158" s="31">
        <f>IF($A158="","",BDP($A158,O$3))</f>
        <v/>
      </c>
      <c r="P158" s="30">
        <f>IF($A158="","",BDH($A158,$N$3,'參數'!$B$5,'參數'!$B$5,"Days=A","Fill=P","Dates=H"))</f>
        <v/>
      </c>
      <c r="Q158" s="30">
        <f>IF($A158="","",BDH($A158,$N$3,'參數'!$B$6,'參數'!$B$6,"Days=A","Fill=P","Dates=H"))</f>
        <v/>
      </c>
      <c r="R158" s="30">
        <f>IF($A158="","",BDH($A158,$N$3,'參數'!$B$7,'參數'!$B$7,"Days=A","Fill=P","Dates=H"))</f>
        <v/>
      </c>
      <c r="S158" s="32">
        <f>IF($A158="","",IFERROR(INDEX('發行人'!$A$5:$A$44,MATCH(B158,'發行人'!$D$5:$D$44,0)),"未對應"))</f>
        <v/>
      </c>
      <c r="T158" s="24">
        <f>IF($A158="","",IFERROR(INDEX('發行人'!$G$5:$G$44,MATCH(B158,'發行人'!$D$5:$D$44,0))+0,""))</f>
        <v/>
      </c>
      <c r="U158" s="18">
        <f>IF(ISNUMBER(E158),YEARFRAC('參數'!$B$4,E158),"")</f>
        <v/>
      </c>
      <c r="V158" s="8">
        <f>IF(U158="","",IF(U158&lt;3,"1-3y",IF(U158&lt;5,"3-5y",IF(U158&lt;7,"5-7y",IF(U158&lt;10,"7-10y","10y+")))))</f>
        <v/>
      </c>
      <c r="W158" s="30">
        <f>IF($A158="","",IFERROR(INDEX('參數'!$B$24:$B$45,MATCH(G158,'參數'!$A$24:$A$45,0)),""))</f>
        <v/>
      </c>
      <c r="X158" s="8">
        <f>IF($A158="","",IFERROR(INDEX('參數'!$C$24:$C$45,MATCH(G158,'參數'!$A$24:$A$45,0)),""))</f>
        <v/>
      </c>
      <c r="Y158" s="30">
        <f>IF(AND(ISNUMBER(N158),ISNUMBER(O158),ISNUMBER(U158)),IF(AND(O158&gt;0,X158&lt;&gt;""),1,0),0)</f>
        <v/>
      </c>
      <c r="Z158" s="17">
        <f>IF(Y158=1,O158*N158,"")</f>
        <v/>
      </c>
      <c r="AA158" s="33">
        <f>IF(Y158=1,IF(ISNUMBER(Q158),N158-Q158,""),"")</f>
        <v/>
      </c>
      <c r="AB158" s="33">
        <f>IF(Y158=1,IF(AND(ISNUMBER(P158),ISNUMBER(R158)),R158*5/12-O158*(P158-R158),""),"")</f>
        <v/>
      </c>
      <c r="AC158" s="30">
        <f>IF(Y158=1,COUNTIFS($X$5:$X$404,X158,$V$5:$V$404,V158,$Y$5:$Y$404,1),"")</f>
        <v/>
      </c>
      <c r="AD158" s="30">
        <f>IF(Y158=1,IFERROR(IF(AC158&gt;='參數'!$B$9,INDEX('分群統計'!$G$13:$K$16,MATCH(X158,'分群統計'!$A$13:$A$16,0),MATCH(V158,'分群統計'!$G$12:$K$12,0)),INDEX('分群統計'!$I$5:$I$8,MATCH(X158,'分群統計'!$A$5:$A$8,0))),""),"")</f>
        <v/>
      </c>
      <c r="AE158" s="18">
        <f>IF(Y158=1,IFERROR(IF(AC158&gt;='參數'!$B$9,INDEX('分群統計'!$L$13:$P$16,MATCH(X158,'分群統計'!$A$13:$A$16,0),MATCH(V158,'分群統計'!$L$12:$P$12,0)),INDEX('分群統計'!$J$5:$J$8,MATCH(X158,'分群統計'!$A$5:$A$8,0))),""),"")</f>
        <v/>
      </c>
      <c r="AF158" s="31">
        <f>IF(ISNUMBER(AE158),IF(AE158&gt;0,MAX(-3,MIN(3,(N158-AD158)/AE158)),0),"")</f>
        <v/>
      </c>
      <c r="AG158" s="30">
        <f>IF(Y158=1,COUNTIFS($B$5:$B$404,B158,$Y$5:$Y$404,1),"")</f>
        <v/>
      </c>
      <c r="AH158" s="30">
        <f>IF(Y158=1,IFERROR(IF(ISNUMBER(INDEX('分群統計'!$G$20:$G$59,MATCH(B158,'分群統計'!$A$20:$A$59,0))),INDEX('分群統計'!$H$20:$H$59,MATCH(B158,'分群統計'!$A$20:$A$59,0))+INDEX('分群統計'!$G$20:$G$59,MATCH(B158,'分群統計'!$A$20:$A$59,0))*AU158,""),""),"")</f>
        <v/>
      </c>
      <c r="AI158" s="34">
        <f>IF(ISNUMBER(AH158),N158-AH158,"")</f>
        <v/>
      </c>
      <c r="AJ158" s="30">
        <f>IF(Y158=1,IFERROR(IF(ISNUMBER(INDEX('分群統計'!$G$5:$G$8,MATCH(X158,'分群統計'!$A$5:$A$8,0))),INDEX('分群統計'!$H$5:$H$8,MATCH(X158,'分群統計'!$A$5:$A$8,0))+INDEX('分群統計'!$G$5:$G$8,MATCH(X158,'分群統計'!$A$5:$A$8,0))*AU158,""),""),"")</f>
        <v/>
      </c>
      <c r="AK158" s="34">
        <f>IF(ISNUMBER(AJ158),N158-AJ158,"")</f>
        <v/>
      </c>
      <c r="AL158" s="21">
        <f>IF(ISNUMBER(AJ158),IF(AJ158&gt;0,AK158/AJ158,""),"")</f>
        <v/>
      </c>
      <c r="AM158" s="31">
        <f>IF(AY158&lt;&gt;1,"",IFERROR(IF(INDEX('分群統計'!$K$5:$K$8,MATCH(X158,'分群統計'!$A$5:$A$8,0))&lt;3,"",IF(INDEX('分群統計'!$M$5:$M$8,MATCH(X158,'分群統計'!$A$5:$A$8,0))&gt;0,MAX(-3,MIN(3,(AX158-INDEX('分群統計'!$L$5:$L$8,MATCH(X158,'分群統計'!$A$5:$A$8,0)))/INDEX('分群統計'!$M$5:$M$8,MATCH(X158,'分群統計'!$A$5:$A$8,0)))),0)),""))</f>
        <v/>
      </c>
      <c r="AN158" s="31">
        <f>IF(ISNUMBER(AB158),IF(Z158&gt;0,AB158/Z158*100,""),"")</f>
        <v/>
      </c>
      <c r="AO158" s="31">
        <f>IF(BA158&lt;&gt;1,"",IFERROR(IF(INDEX('分群統計'!$N$5:$N$8,MATCH(X158,'分群統計'!$A$5:$A$8,0))&lt;3,"",IF(INDEX('分群統計'!$P$5:$P$8,MATCH(X158,'分群統計'!$A$5:$A$8,0))&gt;0,MAX(-3,MIN(3,(AZ158-INDEX('分群統計'!$O$5:$O$8,MATCH(X158,'分群統計'!$A$5:$A$8,0)))/INDEX('分群統計'!$P$5:$P$8,MATCH(X158,'分群統計'!$A$5:$A$8,0)))),0)),""))</f>
        <v/>
      </c>
      <c r="AP158" s="31">
        <f>IF(BC158&lt;&gt;1,"",IFERROR(IF(INDEX('分群統計'!$Q$5:$Q$8,MATCH(X158,'分群統計'!$A$5:$A$8,0))&lt;3,"",IF(INDEX('分群統計'!$S$5:$S$8,MATCH(X158,'分群統計'!$A$5:$A$8,0))&gt;0,MAX(-3,MIN(3,(BB158-INDEX('分群統計'!$R$5:$R$8,MATCH(X158,'分群統計'!$A$5:$A$8,0)))/INDEX('分群統計'!$S$5:$S$8,MATCH(X158,'分群統計'!$A$5:$A$8,0)))),0)),""))</f>
        <v/>
      </c>
      <c r="AQ158" s="31">
        <f>IF(Y158=1,(IF(ISNUMBER(AF158),AF158,0)*'參數'!$B$13+IF(ISNUMBER(AM158),AM158,0)*'參數'!$B$14+IF(ISNUMBER(AO158),AO158,0)*'參數'!$B$15+IF(ISNUMBER(AP158),AP158,0)*'參數'!$B$16)/('參數'!$B$13+'參數'!$B$14+'參數'!$B$15+'參數'!$B$16),"")</f>
        <v/>
      </c>
      <c r="AR158" s="35">
        <f>IF(Y158=1,(SUMPRODUCT(($X$5:$X$404=X158)*($Y$5:$Y$404=1)*($BD$5:$BD$404&gt;BD158))+1)/COUNTIFS($X$5:$X$404,X158,$Y$5:$Y$404,1),"")</f>
        <v/>
      </c>
      <c r="AS158" s="8">
        <f>IF(ISNUMBER(AR158),IF(AR158&lt;='參數'!$B$18,"加碼候選",IF(AR158&gt;'參數'!$B$19,"減碼候選","")),"")</f>
        <v/>
      </c>
      <c r="AT158" s="7">
        <f>IF(Y158=1,N158,0)</f>
        <v/>
      </c>
      <c r="AU158" s="7">
        <f>IF(Y158=1,LN(O158),0)</f>
        <v/>
      </c>
      <c r="AV158" s="36">
        <f>IF(Y158=1,IF(ISNUMBER(F158),F158,0),0)</f>
        <v/>
      </c>
      <c r="AW158" s="7">
        <f>IF(Y158=1,Z158,0)</f>
        <v/>
      </c>
      <c r="AX158" s="7">
        <f>IF(Y158=1,IF(ISNUMBER(AL158),AL158,0),0)</f>
        <v/>
      </c>
      <c r="AY158" s="7">
        <f>IF(Y158=1,IF(ISNUMBER(AL158),1,0),0)</f>
        <v/>
      </c>
      <c r="AZ158" s="7">
        <f>IF(Y158=1,IF(ISNUMBER(AN158),AN158,0),0)</f>
        <v/>
      </c>
      <c r="BA158" s="7">
        <f>IF(Y158=1,IF(ISNUMBER(AN158),1,0),0)</f>
        <v/>
      </c>
      <c r="BB158" s="7">
        <f>IF(Y158=1,IF(ISNUMBER(T158),T158,0),0)</f>
        <v/>
      </c>
      <c r="BC158" s="7">
        <f>IF(Y158=1,IF(ISNUMBER(T158),1,0),0)</f>
        <v/>
      </c>
      <c r="BD158" s="7">
        <f>IF(Y158=1,AQ158+ROW()/1E9,-1E9)</f>
        <v/>
      </c>
      <c r="BE158" s="7">
        <f>IF(Y158=1,AQ158+ROW()/1E9,1E9)</f>
        <v/>
      </c>
    </row>
    <row r="159">
      <c r="A159" s="16" t="n"/>
      <c r="B159" s="8">
        <f>IF($A159="","",BDP($A159,B$3))</f>
        <v/>
      </c>
      <c r="C159" s="8">
        <f>IF($A159="","",BDP($A159,C$3))</f>
        <v/>
      </c>
      <c r="D159" s="28">
        <f>IF($A159="","",BDP($A159,D$3))</f>
        <v/>
      </c>
      <c r="E159" s="29">
        <f>IF($A159="","",BDP($A159,E$3))</f>
        <v/>
      </c>
      <c r="F159" s="17">
        <f>IF($A159="","",BDP($A159,F$3))</f>
        <v/>
      </c>
      <c r="G159" s="8">
        <f>IF($A159="","",BDP($A159,G$3))</f>
        <v/>
      </c>
      <c r="H159" s="8">
        <f>IF($A159="","",BDP($A159,H$3))</f>
        <v/>
      </c>
      <c r="I159" s="8">
        <f>IF($A159="","",BDP($A159,I$3))</f>
        <v/>
      </c>
      <c r="J159" s="8">
        <f>IF($A159="","",BDP($A159,J$3))</f>
        <v/>
      </c>
      <c r="K159" s="8">
        <f>IF($A159="","",BDP($A159,K$3))</f>
        <v/>
      </c>
      <c r="L159" s="28">
        <f>IF($A159="","",BDP($A159,L$3))</f>
        <v/>
      </c>
      <c r="M159" s="28">
        <f>IF($A159="","",BDP($A159,M$3))</f>
        <v/>
      </c>
      <c r="N159" s="30">
        <f>IF($A159="","",BDP($A159,N$3))</f>
        <v/>
      </c>
      <c r="O159" s="31">
        <f>IF($A159="","",BDP($A159,O$3))</f>
        <v/>
      </c>
      <c r="P159" s="30">
        <f>IF($A159="","",BDH($A159,$N$3,'參數'!$B$5,'參數'!$B$5,"Days=A","Fill=P","Dates=H"))</f>
        <v/>
      </c>
      <c r="Q159" s="30">
        <f>IF($A159="","",BDH($A159,$N$3,'參數'!$B$6,'參數'!$B$6,"Days=A","Fill=P","Dates=H"))</f>
        <v/>
      </c>
      <c r="R159" s="30">
        <f>IF($A159="","",BDH($A159,$N$3,'參數'!$B$7,'參數'!$B$7,"Days=A","Fill=P","Dates=H"))</f>
        <v/>
      </c>
      <c r="S159" s="32">
        <f>IF($A159="","",IFERROR(INDEX('發行人'!$A$5:$A$44,MATCH(B159,'發行人'!$D$5:$D$44,0)),"未對應"))</f>
        <v/>
      </c>
      <c r="T159" s="24">
        <f>IF($A159="","",IFERROR(INDEX('發行人'!$G$5:$G$44,MATCH(B159,'發行人'!$D$5:$D$44,0))+0,""))</f>
        <v/>
      </c>
      <c r="U159" s="18">
        <f>IF(ISNUMBER(E159),YEARFRAC('參數'!$B$4,E159),"")</f>
        <v/>
      </c>
      <c r="V159" s="8">
        <f>IF(U159="","",IF(U159&lt;3,"1-3y",IF(U159&lt;5,"3-5y",IF(U159&lt;7,"5-7y",IF(U159&lt;10,"7-10y","10y+")))))</f>
        <v/>
      </c>
      <c r="W159" s="30">
        <f>IF($A159="","",IFERROR(INDEX('參數'!$B$24:$B$45,MATCH(G159,'參數'!$A$24:$A$45,0)),""))</f>
        <v/>
      </c>
      <c r="X159" s="8">
        <f>IF($A159="","",IFERROR(INDEX('參數'!$C$24:$C$45,MATCH(G159,'參數'!$A$24:$A$45,0)),""))</f>
        <v/>
      </c>
      <c r="Y159" s="30">
        <f>IF(AND(ISNUMBER(N159),ISNUMBER(O159),ISNUMBER(U159)),IF(AND(O159&gt;0,X159&lt;&gt;""),1,0),0)</f>
        <v/>
      </c>
      <c r="Z159" s="17">
        <f>IF(Y159=1,O159*N159,"")</f>
        <v/>
      </c>
      <c r="AA159" s="33">
        <f>IF(Y159=1,IF(ISNUMBER(Q159),N159-Q159,""),"")</f>
        <v/>
      </c>
      <c r="AB159" s="33">
        <f>IF(Y159=1,IF(AND(ISNUMBER(P159),ISNUMBER(R159)),R159*5/12-O159*(P159-R159),""),"")</f>
        <v/>
      </c>
      <c r="AC159" s="30">
        <f>IF(Y159=1,COUNTIFS($X$5:$X$404,X159,$V$5:$V$404,V159,$Y$5:$Y$404,1),"")</f>
        <v/>
      </c>
      <c r="AD159" s="30">
        <f>IF(Y159=1,IFERROR(IF(AC159&gt;='參數'!$B$9,INDEX('分群統計'!$G$13:$K$16,MATCH(X159,'分群統計'!$A$13:$A$16,0),MATCH(V159,'分群統計'!$G$12:$K$12,0)),INDEX('分群統計'!$I$5:$I$8,MATCH(X159,'分群統計'!$A$5:$A$8,0))),""),"")</f>
        <v/>
      </c>
      <c r="AE159" s="18">
        <f>IF(Y159=1,IFERROR(IF(AC159&gt;='參數'!$B$9,INDEX('分群統計'!$L$13:$P$16,MATCH(X159,'分群統計'!$A$13:$A$16,0),MATCH(V159,'分群統計'!$L$12:$P$12,0)),INDEX('分群統計'!$J$5:$J$8,MATCH(X159,'分群統計'!$A$5:$A$8,0))),""),"")</f>
        <v/>
      </c>
      <c r="AF159" s="31">
        <f>IF(ISNUMBER(AE159),IF(AE159&gt;0,MAX(-3,MIN(3,(N159-AD159)/AE159)),0),"")</f>
        <v/>
      </c>
      <c r="AG159" s="30">
        <f>IF(Y159=1,COUNTIFS($B$5:$B$404,B159,$Y$5:$Y$404,1),"")</f>
        <v/>
      </c>
      <c r="AH159" s="30">
        <f>IF(Y159=1,IFERROR(IF(ISNUMBER(INDEX('分群統計'!$G$20:$G$59,MATCH(B159,'分群統計'!$A$20:$A$59,0))),INDEX('分群統計'!$H$20:$H$59,MATCH(B159,'分群統計'!$A$20:$A$59,0))+INDEX('分群統計'!$G$20:$G$59,MATCH(B159,'分群統計'!$A$20:$A$59,0))*AU159,""),""),"")</f>
        <v/>
      </c>
      <c r="AI159" s="34">
        <f>IF(ISNUMBER(AH159),N159-AH159,"")</f>
        <v/>
      </c>
      <c r="AJ159" s="30">
        <f>IF(Y159=1,IFERROR(IF(ISNUMBER(INDEX('分群統計'!$G$5:$G$8,MATCH(X159,'分群統計'!$A$5:$A$8,0))),INDEX('分群統計'!$H$5:$H$8,MATCH(X159,'分群統計'!$A$5:$A$8,0))+INDEX('分群統計'!$G$5:$G$8,MATCH(X159,'分群統計'!$A$5:$A$8,0))*AU159,""),""),"")</f>
        <v/>
      </c>
      <c r="AK159" s="34">
        <f>IF(ISNUMBER(AJ159),N159-AJ159,"")</f>
        <v/>
      </c>
      <c r="AL159" s="21">
        <f>IF(ISNUMBER(AJ159),IF(AJ159&gt;0,AK159/AJ159,""),"")</f>
        <v/>
      </c>
      <c r="AM159" s="31">
        <f>IF(AY159&lt;&gt;1,"",IFERROR(IF(INDEX('分群統計'!$K$5:$K$8,MATCH(X159,'分群統計'!$A$5:$A$8,0))&lt;3,"",IF(INDEX('分群統計'!$M$5:$M$8,MATCH(X159,'分群統計'!$A$5:$A$8,0))&gt;0,MAX(-3,MIN(3,(AX159-INDEX('分群統計'!$L$5:$L$8,MATCH(X159,'分群統計'!$A$5:$A$8,0)))/INDEX('分群統計'!$M$5:$M$8,MATCH(X159,'分群統計'!$A$5:$A$8,0)))),0)),""))</f>
        <v/>
      </c>
      <c r="AN159" s="31">
        <f>IF(ISNUMBER(AB159),IF(Z159&gt;0,AB159/Z159*100,""),"")</f>
        <v/>
      </c>
      <c r="AO159" s="31">
        <f>IF(BA159&lt;&gt;1,"",IFERROR(IF(INDEX('分群統計'!$N$5:$N$8,MATCH(X159,'分群統計'!$A$5:$A$8,0))&lt;3,"",IF(INDEX('分群統計'!$P$5:$P$8,MATCH(X159,'分群統計'!$A$5:$A$8,0))&gt;0,MAX(-3,MIN(3,(AZ159-INDEX('分群統計'!$O$5:$O$8,MATCH(X159,'分群統計'!$A$5:$A$8,0)))/INDEX('分群統計'!$P$5:$P$8,MATCH(X159,'分群統計'!$A$5:$A$8,0)))),0)),""))</f>
        <v/>
      </c>
      <c r="AP159" s="31">
        <f>IF(BC159&lt;&gt;1,"",IFERROR(IF(INDEX('分群統計'!$Q$5:$Q$8,MATCH(X159,'分群統計'!$A$5:$A$8,0))&lt;3,"",IF(INDEX('分群統計'!$S$5:$S$8,MATCH(X159,'分群統計'!$A$5:$A$8,0))&gt;0,MAX(-3,MIN(3,(BB159-INDEX('分群統計'!$R$5:$R$8,MATCH(X159,'分群統計'!$A$5:$A$8,0)))/INDEX('分群統計'!$S$5:$S$8,MATCH(X159,'分群統計'!$A$5:$A$8,0)))),0)),""))</f>
        <v/>
      </c>
      <c r="AQ159" s="31">
        <f>IF(Y159=1,(IF(ISNUMBER(AF159),AF159,0)*'參數'!$B$13+IF(ISNUMBER(AM159),AM159,0)*'參數'!$B$14+IF(ISNUMBER(AO159),AO159,0)*'參數'!$B$15+IF(ISNUMBER(AP159),AP159,0)*'參數'!$B$16)/('參數'!$B$13+'參數'!$B$14+'參數'!$B$15+'參數'!$B$16),"")</f>
        <v/>
      </c>
      <c r="AR159" s="35">
        <f>IF(Y159=1,(SUMPRODUCT(($X$5:$X$404=X159)*($Y$5:$Y$404=1)*($BD$5:$BD$404&gt;BD159))+1)/COUNTIFS($X$5:$X$404,X159,$Y$5:$Y$404,1),"")</f>
        <v/>
      </c>
      <c r="AS159" s="8">
        <f>IF(ISNUMBER(AR159),IF(AR159&lt;='參數'!$B$18,"加碼候選",IF(AR159&gt;'參數'!$B$19,"減碼候選","")),"")</f>
        <v/>
      </c>
      <c r="AT159" s="7">
        <f>IF(Y159=1,N159,0)</f>
        <v/>
      </c>
      <c r="AU159" s="7">
        <f>IF(Y159=1,LN(O159),0)</f>
        <v/>
      </c>
      <c r="AV159" s="36">
        <f>IF(Y159=1,IF(ISNUMBER(F159),F159,0),0)</f>
        <v/>
      </c>
      <c r="AW159" s="7">
        <f>IF(Y159=1,Z159,0)</f>
        <v/>
      </c>
      <c r="AX159" s="7">
        <f>IF(Y159=1,IF(ISNUMBER(AL159),AL159,0),0)</f>
        <v/>
      </c>
      <c r="AY159" s="7">
        <f>IF(Y159=1,IF(ISNUMBER(AL159),1,0),0)</f>
        <v/>
      </c>
      <c r="AZ159" s="7">
        <f>IF(Y159=1,IF(ISNUMBER(AN159),AN159,0),0)</f>
        <v/>
      </c>
      <c r="BA159" s="7">
        <f>IF(Y159=1,IF(ISNUMBER(AN159),1,0),0)</f>
        <v/>
      </c>
      <c r="BB159" s="7">
        <f>IF(Y159=1,IF(ISNUMBER(T159),T159,0),0)</f>
        <v/>
      </c>
      <c r="BC159" s="7">
        <f>IF(Y159=1,IF(ISNUMBER(T159),1,0),0)</f>
        <v/>
      </c>
      <c r="BD159" s="7">
        <f>IF(Y159=1,AQ159+ROW()/1E9,-1E9)</f>
        <v/>
      </c>
      <c r="BE159" s="7">
        <f>IF(Y159=1,AQ159+ROW()/1E9,1E9)</f>
        <v/>
      </c>
    </row>
    <row r="160">
      <c r="A160" s="16" t="n"/>
      <c r="B160" s="8">
        <f>IF($A160="","",BDP($A160,B$3))</f>
        <v/>
      </c>
      <c r="C160" s="8">
        <f>IF($A160="","",BDP($A160,C$3))</f>
        <v/>
      </c>
      <c r="D160" s="28">
        <f>IF($A160="","",BDP($A160,D$3))</f>
        <v/>
      </c>
      <c r="E160" s="29">
        <f>IF($A160="","",BDP($A160,E$3))</f>
        <v/>
      </c>
      <c r="F160" s="17">
        <f>IF($A160="","",BDP($A160,F$3))</f>
        <v/>
      </c>
      <c r="G160" s="8">
        <f>IF($A160="","",BDP($A160,G$3))</f>
        <v/>
      </c>
      <c r="H160" s="8">
        <f>IF($A160="","",BDP($A160,H$3))</f>
        <v/>
      </c>
      <c r="I160" s="8">
        <f>IF($A160="","",BDP($A160,I$3))</f>
        <v/>
      </c>
      <c r="J160" s="8">
        <f>IF($A160="","",BDP($A160,J$3))</f>
        <v/>
      </c>
      <c r="K160" s="8">
        <f>IF($A160="","",BDP($A160,K$3))</f>
        <v/>
      </c>
      <c r="L160" s="28">
        <f>IF($A160="","",BDP($A160,L$3))</f>
        <v/>
      </c>
      <c r="M160" s="28">
        <f>IF($A160="","",BDP($A160,M$3))</f>
        <v/>
      </c>
      <c r="N160" s="30">
        <f>IF($A160="","",BDP($A160,N$3))</f>
        <v/>
      </c>
      <c r="O160" s="31">
        <f>IF($A160="","",BDP($A160,O$3))</f>
        <v/>
      </c>
      <c r="P160" s="30">
        <f>IF($A160="","",BDH($A160,$N$3,'參數'!$B$5,'參數'!$B$5,"Days=A","Fill=P","Dates=H"))</f>
        <v/>
      </c>
      <c r="Q160" s="30">
        <f>IF($A160="","",BDH($A160,$N$3,'參數'!$B$6,'參數'!$B$6,"Days=A","Fill=P","Dates=H"))</f>
        <v/>
      </c>
      <c r="R160" s="30">
        <f>IF($A160="","",BDH($A160,$N$3,'參數'!$B$7,'參數'!$B$7,"Days=A","Fill=P","Dates=H"))</f>
        <v/>
      </c>
      <c r="S160" s="32">
        <f>IF($A160="","",IFERROR(INDEX('發行人'!$A$5:$A$44,MATCH(B160,'發行人'!$D$5:$D$44,0)),"未對應"))</f>
        <v/>
      </c>
      <c r="T160" s="24">
        <f>IF($A160="","",IFERROR(INDEX('發行人'!$G$5:$G$44,MATCH(B160,'發行人'!$D$5:$D$44,0))+0,""))</f>
        <v/>
      </c>
      <c r="U160" s="18">
        <f>IF(ISNUMBER(E160),YEARFRAC('參數'!$B$4,E160),"")</f>
        <v/>
      </c>
      <c r="V160" s="8">
        <f>IF(U160="","",IF(U160&lt;3,"1-3y",IF(U160&lt;5,"3-5y",IF(U160&lt;7,"5-7y",IF(U160&lt;10,"7-10y","10y+")))))</f>
        <v/>
      </c>
      <c r="W160" s="30">
        <f>IF($A160="","",IFERROR(INDEX('參數'!$B$24:$B$45,MATCH(G160,'參數'!$A$24:$A$45,0)),""))</f>
        <v/>
      </c>
      <c r="X160" s="8">
        <f>IF($A160="","",IFERROR(INDEX('參數'!$C$24:$C$45,MATCH(G160,'參數'!$A$24:$A$45,0)),""))</f>
        <v/>
      </c>
      <c r="Y160" s="30">
        <f>IF(AND(ISNUMBER(N160),ISNUMBER(O160),ISNUMBER(U160)),IF(AND(O160&gt;0,X160&lt;&gt;""),1,0),0)</f>
        <v/>
      </c>
      <c r="Z160" s="17">
        <f>IF(Y160=1,O160*N160,"")</f>
        <v/>
      </c>
      <c r="AA160" s="33">
        <f>IF(Y160=1,IF(ISNUMBER(Q160),N160-Q160,""),"")</f>
        <v/>
      </c>
      <c r="AB160" s="33">
        <f>IF(Y160=1,IF(AND(ISNUMBER(P160),ISNUMBER(R160)),R160*5/12-O160*(P160-R160),""),"")</f>
        <v/>
      </c>
      <c r="AC160" s="30">
        <f>IF(Y160=1,COUNTIFS($X$5:$X$404,X160,$V$5:$V$404,V160,$Y$5:$Y$404,1),"")</f>
        <v/>
      </c>
      <c r="AD160" s="30">
        <f>IF(Y160=1,IFERROR(IF(AC160&gt;='參數'!$B$9,INDEX('分群統計'!$G$13:$K$16,MATCH(X160,'分群統計'!$A$13:$A$16,0),MATCH(V160,'分群統計'!$G$12:$K$12,0)),INDEX('分群統計'!$I$5:$I$8,MATCH(X160,'分群統計'!$A$5:$A$8,0))),""),"")</f>
        <v/>
      </c>
      <c r="AE160" s="18">
        <f>IF(Y160=1,IFERROR(IF(AC160&gt;='參數'!$B$9,INDEX('分群統計'!$L$13:$P$16,MATCH(X160,'分群統計'!$A$13:$A$16,0),MATCH(V160,'分群統計'!$L$12:$P$12,0)),INDEX('分群統計'!$J$5:$J$8,MATCH(X160,'分群統計'!$A$5:$A$8,0))),""),"")</f>
        <v/>
      </c>
      <c r="AF160" s="31">
        <f>IF(ISNUMBER(AE160),IF(AE160&gt;0,MAX(-3,MIN(3,(N160-AD160)/AE160)),0),"")</f>
        <v/>
      </c>
      <c r="AG160" s="30">
        <f>IF(Y160=1,COUNTIFS($B$5:$B$404,B160,$Y$5:$Y$404,1),"")</f>
        <v/>
      </c>
      <c r="AH160" s="30">
        <f>IF(Y160=1,IFERROR(IF(ISNUMBER(INDEX('分群統計'!$G$20:$G$59,MATCH(B160,'分群統計'!$A$20:$A$59,0))),INDEX('分群統計'!$H$20:$H$59,MATCH(B160,'分群統計'!$A$20:$A$59,0))+INDEX('分群統計'!$G$20:$G$59,MATCH(B160,'分群統計'!$A$20:$A$59,0))*AU160,""),""),"")</f>
        <v/>
      </c>
      <c r="AI160" s="34">
        <f>IF(ISNUMBER(AH160),N160-AH160,"")</f>
        <v/>
      </c>
      <c r="AJ160" s="30">
        <f>IF(Y160=1,IFERROR(IF(ISNUMBER(INDEX('分群統計'!$G$5:$G$8,MATCH(X160,'分群統計'!$A$5:$A$8,0))),INDEX('分群統計'!$H$5:$H$8,MATCH(X160,'分群統計'!$A$5:$A$8,0))+INDEX('分群統計'!$G$5:$G$8,MATCH(X160,'分群統計'!$A$5:$A$8,0))*AU160,""),""),"")</f>
        <v/>
      </c>
      <c r="AK160" s="34">
        <f>IF(ISNUMBER(AJ160),N160-AJ160,"")</f>
        <v/>
      </c>
      <c r="AL160" s="21">
        <f>IF(ISNUMBER(AJ160),IF(AJ160&gt;0,AK160/AJ160,""),"")</f>
        <v/>
      </c>
      <c r="AM160" s="31">
        <f>IF(AY160&lt;&gt;1,"",IFERROR(IF(INDEX('分群統計'!$K$5:$K$8,MATCH(X160,'分群統計'!$A$5:$A$8,0))&lt;3,"",IF(INDEX('分群統計'!$M$5:$M$8,MATCH(X160,'分群統計'!$A$5:$A$8,0))&gt;0,MAX(-3,MIN(3,(AX160-INDEX('分群統計'!$L$5:$L$8,MATCH(X160,'分群統計'!$A$5:$A$8,0)))/INDEX('分群統計'!$M$5:$M$8,MATCH(X160,'分群統計'!$A$5:$A$8,0)))),0)),""))</f>
        <v/>
      </c>
      <c r="AN160" s="31">
        <f>IF(ISNUMBER(AB160),IF(Z160&gt;0,AB160/Z160*100,""),"")</f>
        <v/>
      </c>
      <c r="AO160" s="31">
        <f>IF(BA160&lt;&gt;1,"",IFERROR(IF(INDEX('分群統計'!$N$5:$N$8,MATCH(X160,'分群統計'!$A$5:$A$8,0))&lt;3,"",IF(INDEX('分群統計'!$P$5:$P$8,MATCH(X160,'分群統計'!$A$5:$A$8,0))&gt;0,MAX(-3,MIN(3,(AZ160-INDEX('分群統計'!$O$5:$O$8,MATCH(X160,'分群統計'!$A$5:$A$8,0)))/INDEX('分群統計'!$P$5:$P$8,MATCH(X160,'分群統計'!$A$5:$A$8,0)))),0)),""))</f>
        <v/>
      </c>
      <c r="AP160" s="31">
        <f>IF(BC160&lt;&gt;1,"",IFERROR(IF(INDEX('分群統計'!$Q$5:$Q$8,MATCH(X160,'分群統計'!$A$5:$A$8,0))&lt;3,"",IF(INDEX('分群統計'!$S$5:$S$8,MATCH(X160,'分群統計'!$A$5:$A$8,0))&gt;0,MAX(-3,MIN(3,(BB160-INDEX('分群統計'!$R$5:$R$8,MATCH(X160,'分群統計'!$A$5:$A$8,0)))/INDEX('分群統計'!$S$5:$S$8,MATCH(X160,'分群統計'!$A$5:$A$8,0)))),0)),""))</f>
        <v/>
      </c>
      <c r="AQ160" s="31">
        <f>IF(Y160=1,(IF(ISNUMBER(AF160),AF160,0)*'參數'!$B$13+IF(ISNUMBER(AM160),AM160,0)*'參數'!$B$14+IF(ISNUMBER(AO160),AO160,0)*'參數'!$B$15+IF(ISNUMBER(AP160),AP160,0)*'參數'!$B$16)/('參數'!$B$13+'參數'!$B$14+'參數'!$B$15+'參數'!$B$16),"")</f>
        <v/>
      </c>
      <c r="AR160" s="35">
        <f>IF(Y160=1,(SUMPRODUCT(($X$5:$X$404=X160)*($Y$5:$Y$404=1)*($BD$5:$BD$404&gt;BD160))+1)/COUNTIFS($X$5:$X$404,X160,$Y$5:$Y$404,1),"")</f>
        <v/>
      </c>
      <c r="AS160" s="8">
        <f>IF(ISNUMBER(AR160),IF(AR160&lt;='參數'!$B$18,"加碼候選",IF(AR160&gt;'參數'!$B$19,"減碼候選","")),"")</f>
        <v/>
      </c>
      <c r="AT160" s="7">
        <f>IF(Y160=1,N160,0)</f>
        <v/>
      </c>
      <c r="AU160" s="7">
        <f>IF(Y160=1,LN(O160),0)</f>
        <v/>
      </c>
      <c r="AV160" s="36">
        <f>IF(Y160=1,IF(ISNUMBER(F160),F160,0),0)</f>
        <v/>
      </c>
      <c r="AW160" s="7">
        <f>IF(Y160=1,Z160,0)</f>
        <v/>
      </c>
      <c r="AX160" s="7">
        <f>IF(Y160=1,IF(ISNUMBER(AL160),AL160,0),0)</f>
        <v/>
      </c>
      <c r="AY160" s="7">
        <f>IF(Y160=1,IF(ISNUMBER(AL160),1,0),0)</f>
        <v/>
      </c>
      <c r="AZ160" s="7">
        <f>IF(Y160=1,IF(ISNUMBER(AN160),AN160,0),0)</f>
        <v/>
      </c>
      <c r="BA160" s="7">
        <f>IF(Y160=1,IF(ISNUMBER(AN160),1,0),0)</f>
        <v/>
      </c>
      <c r="BB160" s="7">
        <f>IF(Y160=1,IF(ISNUMBER(T160),T160,0),0)</f>
        <v/>
      </c>
      <c r="BC160" s="7">
        <f>IF(Y160=1,IF(ISNUMBER(T160),1,0),0)</f>
        <v/>
      </c>
      <c r="BD160" s="7">
        <f>IF(Y160=1,AQ160+ROW()/1E9,-1E9)</f>
        <v/>
      </c>
      <c r="BE160" s="7">
        <f>IF(Y160=1,AQ160+ROW()/1E9,1E9)</f>
        <v/>
      </c>
    </row>
    <row r="161">
      <c r="A161" s="16" t="n"/>
      <c r="B161" s="8">
        <f>IF($A161="","",BDP($A161,B$3))</f>
        <v/>
      </c>
      <c r="C161" s="8">
        <f>IF($A161="","",BDP($A161,C$3))</f>
        <v/>
      </c>
      <c r="D161" s="28">
        <f>IF($A161="","",BDP($A161,D$3))</f>
        <v/>
      </c>
      <c r="E161" s="29">
        <f>IF($A161="","",BDP($A161,E$3))</f>
        <v/>
      </c>
      <c r="F161" s="17">
        <f>IF($A161="","",BDP($A161,F$3))</f>
        <v/>
      </c>
      <c r="G161" s="8">
        <f>IF($A161="","",BDP($A161,G$3))</f>
        <v/>
      </c>
      <c r="H161" s="8">
        <f>IF($A161="","",BDP($A161,H$3))</f>
        <v/>
      </c>
      <c r="I161" s="8">
        <f>IF($A161="","",BDP($A161,I$3))</f>
        <v/>
      </c>
      <c r="J161" s="8">
        <f>IF($A161="","",BDP($A161,J$3))</f>
        <v/>
      </c>
      <c r="K161" s="8">
        <f>IF($A161="","",BDP($A161,K$3))</f>
        <v/>
      </c>
      <c r="L161" s="28">
        <f>IF($A161="","",BDP($A161,L$3))</f>
        <v/>
      </c>
      <c r="M161" s="28">
        <f>IF($A161="","",BDP($A161,M$3))</f>
        <v/>
      </c>
      <c r="N161" s="30">
        <f>IF($A161="","",BDP($A161,N$3))</f>
        <v/>
      </c>
      <c r="O161" s="31">
        <f>IF($A161="","",BDP($A161,O$3))</f>
        <v/>
      </c>
      <c r="P161" s="30">
        <f>IF($A161="","",BDH($A161,$N$3,'參數'!$B$5,'參數'!$B$5,"Days=A","Fill=P","Dates=H"))</f>
        <v/>
      </c>
      <c r="Q161" s="30">
        <f>IF($A161="","",BDH($A161,$N$3,'參數'!$B$6,'參數'!$B$6,"Days=A","Fill=P","Dates=H"))</f>
        <v/>
      </c>
      <c r="R161" s="30">
        <f>IF($A161="","",BDH($A161,$N$3,'參數'!$B$7,'參數'!$B$7,"Days=A","Fill=P","Dates=H"))</f>
        <v/>
      </c>
      <c r="S161" s="32">
        <f>IF($A161="","",IFERROR(INDEX('發行人'!$A$5:$A$44,MATCH(B161,'發行人'!$D$5:$D$44,0)),"未對應"))</f>
        <v/>
      </c>
      <c r="T161" s="24">
        <f>IF($A161="","",IFERROR(INDEX('發行人'!$G$5:$G$44,MATCH(B161,'發行人'!$D$5:$D$44,0))+0,""))</f>
        <v/>
      </c>
      <c r="U161" s="18">
        <f>IF(ISNUMBER(E161),YEARFRAC('參數'!$B$4,E161),"")</f>
        <v/>
      </c>
      <c r="V161" s="8">
        <f>IF(U161="","",IF(U161&lt;3,"1-3y",IF(U161&lt;5,"3-5y",IF(U161&lt;7,"5-7y",IF(U161&lt;10,"7-10y","10y+")))))</f>
        <v/>
      </c>
      <c r="W161" s="30">
        <f>IF($A161="","",IFERROR(INDEX('參數'!$B$24:$B$45,MATCH(G161,'參數'!$A$24:$A$45,0)),""))</f>
        <v/>
      </c>
      <c r="X161" s="8">
        <f>IF($A161="","",IFERROR(INDEX('參數'!$C$24:$C$45,MATCH(G161,'參數'!$A$24:$A$45,0)),""))</f>
        <v/>
      </c>
      <c r="Y161" s="30">
        <f>IF(AND(ISNUMBER(N161),ISNUMBER(O161),ISNUMBER(U161)),IF(AND(O161&gt;0,X161&lt;&gt;""),1,0),0)</f>
        <v/>
      </c>
      <c r="Z161" s="17">
        <f>IF(Y161=1,O161*N161,"")</f>
        <v/>
      </c>
      <c r="AA161" s="33">
        <f>IF(Y161=1,IF(ISNUMBER(Q161),N161-Q161,""),"")</f>
        <v/>
      </c>
      <c r="AB161" s="33">
        <f>IF(Y161=1,IF(AND(ISNUMBER(P161),ISNUMBER(R161)),R161*5/12-O161*(P161-R161),""),"")</f>
        <v/>
      </c>
      <c r="AC161" s="30">
        <f>IF(Y161=1,COUNTIFS($X$5:$X$404,X161,$V$5:$V$404,V161,$Y$5:$Y$404,1),"")</f>
        <v/>
      </c>
      <c r="AD161" s="30">
        <f>IF(Y161=1,IFERROR(IF(AC161&gt;='參數'!$B$9,INDEX('分群統計'!$G$13:$K$16,MATCH(X161,'分群統計'!$A$13:$A$16,0),MATCH(V161,'分群統計'!$G$12:$K$12,0)),INDEX('分群統計'!$I$5:$I$8,MATCH(X161,'分群統計'!$A$5:$A$8,0))),""),"")</f>
        <v/>
      </c>
      <c r="AE161" s="18">
        <f>IF(Y161=1,IFERROR(IF(AC161&gt;='參數'!$B$9,INDEX('分群統計'!$L$13:$P$16,MATCH(X161,'分群統計'!$A$13:$A$16,0),MATCH(V161,'分群統計'!$L$12:$P$12,0)),INDEX('分群統計'!$J$5:$J$8,MATCH(X161,'分群統計'!$A$5:$A$8,0))),""),"")</f>
        <v/>
      </c>
      <c r="AF161" s="31">
        <f>IF(ISNUMBER(AE161),IF(AE161&gt;0,MAX(-3,MIN(3,(N161-AD161)/AE161)),0),"")</f>
        <v/>
      </c>
      <c r="AG161" s="30">
        <f>IF(Y161=1,COUNTIFS($B$5:$B$404,B161,$Y$5:$Y$404,1),"")</f>
        <v/>
      </c>
      <c r="AH161" s="30">
        <f>IF(Y161=1,IFERROR(IF(ISNUMBER(INDEX('分群統計'!$G$20:$G$59,MATCH(B161,'分群統計'!$A$20:$A$59,0))),INDEX('分群統計'!$H$20:$H$59,MATCH(B161,'分群統計'!$A$20:$A$59,0))+INDEX('分群統計'!$G$20:$G$59,MATCH(B161,'分群統計'!$A$20:$A$59,0))*AU161,""),""),"")</f>
        <v/>
      </c>
      <c r="AI161" s="34">
        <f>IF(ISNUMBER(AH161),N161-AH161,"")</f>
        <v/>
      </c>
      <c r="AJ161" s="30">
        <f>IF(Y161=1,IFERROR(IF(ISNUMBER(INDEX('分群統計'!$G$5:$G$8,MATCH(X161,'分群統計'!$A$5:$A$8,0))),INDEX('分群統計'!$H$5:$H$8,MATCH(X161,'分群統計'!$A$5:$A$8,0))+INDEX('分群統計'!$G$5:$G$8,MATCH(X161,'分群統計'!$A$5:$A$8,0))*AU161,""),""),"")</f>
        <v/>
      </c>
      <c r="AK161" s="34">
        <f>IF(ISNUMBER(AJ161),N161-AJ161,"")</f>
        <v/>
      </c>
      <c r="AL161" s="21">
        <f>IF(ISNUMBER(AJ161),IF(AJ161&gt;0,AK161/AJ161,""),"")</f>
        <v/>
      </c>
      <c r="AM161" s="31">
        <f>IF(AY161&lt;&gt;1,"",IFERROR(IF(INDEX('分群統計'!$K$5:$K$8,MATCH(X161,'分群統計'!$A$5:$A$8,0))&lt;3,"",IF(INDEX('分群統計'!$M$5:$M$8,MATCH(X161,'分群統計'!$A$5:$A$8,0))&gt;0,MAX(-3,MIN(3,(AX161-INDEX('分群統計'!$L$5:$L$8,MATCH(X161,'分群統計'!$A$5:$A$8,0)))/INDEX('分群統計'!$M$5:$M$8,MATCH(X161,'分群統計'!$A$5:$A$8,0)))),0)),""))</f>
        <v/>
      </c>
      <c r="AN161" s="31">
        <f>IF(ISNUMBER(AB161),IF(Z161&gt;0,AB161/Z161*100,""),"")</f>
        <v/>
      </c>
      <c r="AO161" s="31">
        <f>IF(BA161&lt;&gt;1,"",IFERROR(IF(INDEX('分群統計'!$N$5:$N$8,MATCH(X161,'分群統計'!$A$5:$A$8,0))&lt;3,"",IF(INDEX('分群統計'!$P$5:$P$8,MATCH(X161,'分群統計'!$A$5:$A$8,0))&gt;0,MAX(-3,MIN(3,(AZ161-INDEX('分群統計'!$O$5:$O$8,MATCH(X161,'分群統計'!$A$5:$A$8,0)))/INDEX('分群統計'!$P$5:$P$8,MATCH(X161,'分群統計'!$A$5:$A$8,0)))),0)),""))</f>
        <v/>
      </c>
      <c r="AP161" s="31">
        <f>IF(BC161&lt;&gt;1,"",IFERROR(IF(INDEX('分群統計'!$Q$5:$Q$8,MATCH(X161,'分群統計'!$A$5:$A$8,0))&lt;3,"",IF(INDEX('分群統計'!$S$5:$S$8,MATCH(X161,'分群統計'!$A$5:$A$8,0))&gt;0,MAX(-3,MIN(3,(BB161-INDEX('分群統計'!$R$5:$R$8,MATCH(X161,'分群統計'!$A$5:$A$8,0)))/INDEX('分群統計'!$S$5:$S$8,MATCH(X161,'分群統計'!$A$5:$A$8,0)))),0)),""))</f>
        <v/>
      </c>
      <c r="AQ161" s="31">
        <f>IF(Y161=1,(IF(ISNUMBER(AF161),AF161,0)*'參數'!$B$13+IF(ISNUMBER(AM161),AM161,0)*'參數'!$B$14+IF(ISNUMBER(AO161),AO161,0)*'參數'!$B$15+IF(ISNUMBER(AP161),AP161,0)*'參數'!$B$16)/('參數'!$B$13+'參數'!$B$14+'參數'!$B$15+'參數'!$B$16),"")</f>
        <v/>
      </c>
      <c r="AR161" s="35">
        <f>IF(Y161=1,(SUMPRODUCT(($X$5:$X$404=X161)*($Y$5:$Y$404=1)*($BD$5:$BD$404&gt;BD161))+1)/COUNTIFS($X$5:$X$404,X161,$Y$5:$Y$404,1),"")</f>
        <v/>
      </c>
      <c r="AS161" s="8">
        <f>IF(ISNUMBER(AR161),IF(AR161&lt;='參數'!$B$18,"加碼候選",IF(AR161&gt;'參數'!$B$19,"減碼候選","")),"")</f>
        <v/>
      </c>
      <c r="AT161" s="7">
        <f>IF(Y161=1,N161,0)</f>
        <v/>
      </c>
      <c r="AU161" s="7">
        <f>IF(Y161=1,LN(O161),0)</f>
        <v/>
      </c>
      <c r="AV161" s="36">
        <f>IF(Y161=1,IF(ISNUMBER(F161),F161,0),0)</f>
        <v/>
      </c>
      <c r="AW161" s="7">
        <f>IF(Y161=1,Z161,0)</f>
        <v/>
      </c>
      <c r="AX161" s="7">
        <f>IF(Y161=1,IF(ISNUMBER(AL161),AL161,0),0)</f>
        <v/>
      </c>
      <c r="AY161" s="7">
        <f>IF(Y161=1,IF(ISNUMBER(AL161),1,0),0)</f>
        <v/>
      </c>
      <c r="AZ161" s="7">
        <f>IF(Y161=1,IF(ISNUMBER(AN161),AN161,0),0)</f>
        <v/>
      </c>
      <c r="BA161" s="7">
        <f>IF(Y161=1,IF(ISNUMBER(AN161),1,0),0)</f>
        <v/>
      </c>
      <c r="BB161" s="7">
        <f>IF(Y161=1,IF(ISNUMBER(T161),T161,0),0)</f>
        <v/>
      </c>
      <c r="BC161" s="7">
        <f>IF(Y161=1,IF(ISNUMBER(T161),1,0),0)</f>
        <v/>
      </c>
      <c r="BD161" s="7">
        <f>IF(Y161=1,AQ161+ROW()/1E9,-1E9)</f>
        <v/>
      </c>
      <c r="BE161" s="7">
        <f>IF(Y161=1,AQ161+ROW()/1E9,1E9)</f>
        <v/>
      </c>
    </row>
    <row r="162">
      <c r="A162" s="16" t="n"/>
      <c r="B162" s="8">
        <f>IF($A162="","",BDP($A162,B$3))</f>
        <v/>
      </c>
      <c r="C162" s="8">
        <f>IF($A162="","",BDP($A162,C$3))</f>
        <v/>
      </c>
      <c r="D162" s="28">
        <f>IF($A162="","",BDP($A162,D$3))</f>
        <v/>
      </c>
      <c r="E162" s="29">
        <f>IF($A162="","",BDP($A162,E$3))</f>
        <v/>
      </c>
      <c r="F162" s="17">
        <f>IF($A162="","",BDP($A162,F$3))</f>
        <v/>
      </c>
      <c r="G162" s="8">
        <f>IF($A162="","",BDP($A162,G$3))</f>
        <v/>
      </c>
      <c r="H162" s="8">
        <f>IF($A162="","",BDP($A162,H$3))</f>
        <v/>
      </c>
      <c r="I162" s="8">
        <f>IF($A162="","",BDP($A162,I$3))</f>
        <v/>
      </c>
      <c r="J162" s="8">
        <f>IF($A162="","",BDP($A162,J$3))</f>
        <v/>
      </c>
      <c r="K162" s="8">
        <f>IF($A162="","",BDP($A162,K$3))</f>
        <v/>
      </c>
      <c r="L162" s="28">
        <f>IF($A162="","",BDP($A162,L$3))</f>
        <v/>
      </c>
      <c r="M162" s="28">
        <f>IF($A162="","",BDP($A162,M$3))</f>
        <v/>
      </c>
      <c r="N162" s="30">
        <f>IF($A162="","",BDP($A162,N$3))</f>
        <v/>
      </c>
      <c r="O162" s="31">
        <f>IF($A162="","",BDP($A162,O$3))</f>
        <v/>
      </c>
      <c r="P162" s="30">
        <f>IF($A162="","",BDH($A162,$N$3,'參數'!$B$5,'參數'!$B$5,"Days=A","Fill=P","Dates=H"))</f>
        <v/>
      </c>
      <c r="Q162" s="30">
        <f>IF($A162="","",BDH($A162,$N$3,'參數'!$B$6,'參數'!$B$6,"Days=A","Fill=P","Dates=H"))</f>
        <v/>
      </c>
      <c r="R162" s="30">
        <f>IF($A162="","",BDH($A162,$N$3,'參數'!$B$7,'參數'!$B$7,"Days=A","Fill=P","Dates=H"))</f>
        <v/>
      </c>
      <c r="S162" s="32">
        <f>IF($A162="","",IFERROR(INDEX('發行人'!$A$5:$A$44,MATCH(B162,'發行人'!$D$5:$D$44,0)),"未對應"))</f>
        <v/>
      </c>
      <c r="T162" s="24">
        <f>IF($A162="","",IFERROR(INDEX('發行人'!$G$5:$G$44,MATCH(B162,'發行人'!$D$5:$D$44,0))+0,""))</f>
        <v/>
      </c>
      <c r="U162" s="18">
        <f>IF(ISNUMBER(E162),YEARFRAC('參數'!$B$4,E162),"")</f>
        <v/>
      </c>
      <c r="V162" s="8">
        <f>IF(U162="","",IF(U162&lt;3,"1-3y",IF(U162&lt;5,"3-5y",IF(U162&lt;7,"5-7y",IF(U162&lt;10,"7-10y","10y+")))))</f>
        <v/>
      </c>
      <c r="W162" s="30">
        <f>IF($A162="","",IFERROR(INDEX('參數'!$B$24:$B$45,MATCH(G162,'參數'!$A$24:$A$45,0)),""))</f>
        <v/>
      </c>
      <c r="X162" s="8">
        <f>IF($A162="","",IFERROR(INDEX('參數'!$C$24:$C$45,MATCH(G162,'參數'!$A$24:$A$45,0)),""))</f>
        <v/>
      </c>
      <c r="Y162" s="30">
        <f>IF(AND(ISNUMBER(N162),ISNUMBER(O162),ISNUMBER(U162)),IF(AND(O162&gt;0,X162&lt;&gt;""),1,0),0)</f>
        <v/>
      </c>
      <c r="Z162" s="17">
        <f>IF(Y162=1,O162*N162,"")</f>
        <v/>
      </c>
      <c r="AA162" s="33">
        <f>IF(Y162=1,IF(ISNUMBER(Q162),N162-Q162,""),"")</f>
        <v/>
      </c>
      <c r="AB162" s="33">
        <f>IF(Y162=1,IF(AND(ISNUMBER(P162),ISNUMBER(R162)),R162*5/12-O162*(P162-R162),""),"")</f>
        <v/>
      </c>
      <c r="AC162" s="30">
        <f>IF(Y162=1,COUNTIFS($X$5:$X$404,X162,$V$5:$V$404,V162,$Y$5:$Y$404,1),"")</f>
        <v/>
      </c>
      <c r="AD162" s="30">
        <f>IF(Y162=1,IFERROR(IF(AC162&gt;='參數'!$B$9,INDEX('分群統計'!$G$13:$K$16,MATCH(X162,'分群統計'!$A$13:$A$16,0),MATCH(V162,'分群統計'!$G$12:$K$12,0)),INDEX('分群統計'!$I$5:$I$8,MATCH(X162,'分群統計'!$A$5:$A$8,0))),""),"")</f>
        <v/>
      </c>
      <c r="AE162" s="18">
        <f>IF(Y162=1,IFERROR(IF(AC162&gt;='參數'!$B$9,INDEX('分群統計'!$L$13:$P$16,MATCH(X162,'分群統計'!$A$13:$A$16,0),MATCH(V162,'分群統計'!$L$12:$P$12,0)),INDEX('分群統計'!$J$5:$J$8,MATCH(X162,'分群統計'!$A$5:$A$8,0))),""),"")</f>
        <v/>
      </c>
      <c r="AF162" s="31">
        <f>IF(ISNUMBER(AE162),IF(AE162&gt;0,MAX(-3,MIN(3,(N162-AD162)/AE162)),0),"")</f>
        <v/>
      </c>
      <c r="AG162" s="30">
        <f>IF(Y162=1,COUNTIFS($B$5:$B$404,B162,$Y$5:$Y$404,1),"")</f>
        <v/>
      </c>
      <c r="AH162" s="30">
        <f>IF(Y162=1,IFERROR(IF(ISNUMBER(INDEX('分群統計'!$G$20:$G$59,MATCH(B162,'分群統計'!$A$20:$A$59,0))),INDEX('分群統計'!$H$20:$H$59,MATCH(B162,'分群統計'!$A$20:$A$59,0))+INDEX('分群統計'!$G$20:$G$59,MATCH(B162,'分群統計'!$A$20:$A$59,0))*AU162,""),""),"")</f>
        <v/>
      </c>
      <c r="AI162" s="34">
        <f>IF(ISNUMBER(AH162),N162-AH162,"")</f>
        <v/>
      </c>
      <c r="AJ162" s="30">
        <f>IF(Y162=1,IFERROR(IF(ISNUMBER(INDEX('分群統計'!$G$5:$G$8,MATCH(X162,'分群統計'!$A$5:$A$8,0))),INDEX('分群統計'!$H$5:$H$8,MATCH(X162,'分群統計'!$A$5:$A$8,0))+INDEX('分群統計'!$G$5:$G$8,MATCH(X162,'分群統計'!$A$5:$A$8,0))*AU162,""),""),"")</f>
        <v/>
      </c>
      <c r="AK162" s="34">
        <f>IF(ISNUMBER(AJ162),N162-AJ162,"")</f>
        <v/>
      </c>
      <c r="AL162" s="21">
        <f>IF(ISNUMBER(AJ162),IF(AJ162&gt;0,AK162/AJ162,""),"")</f>
        <v/>
      </c>
      <c r="AM162" s="31">
        <f>IF(AY162&lt;&gt;1,"",IFERROR(IF(INDEX('分群統計'!$K$5:$K$8,MATCH(X162,'分群統計'!$A$5:$A$8,0))&lt;3,"",IF(INDEX('分群統計'!$M$5:$M$8,MATCH(X162,'分群統計'!$A$5:$A$8,0))&gt;0,MAX(-3,MIN(3,(AX162-INDEX('分群統計'!$L$5:$L$8,MATCH(X162,'分群統計'!$A$5:$A$8,0)))/INDEX('分群統計'!$M$5:$M$8,MATCH(X162,'分群統計'!$A$5:$A$8,0)))),0)),""))</f>
        <v/>
      </c>
      <c r="AN162" s="31">
        <f>IF(ISNUMBER(AB162),IF(Z162&gt;0,AB162/Z162*100,""),"")</f>
        <v/>
      </c>
      <c r="AO162" s="31">
        <f>IF(BA162&lt;&gt;1,"",IFERROR(IF(INDEX('分群統計'!$N$5:$N$8,MATCH(X162,'分群統計'!$A$5:$A$8,0))&lt;3,"",IF(INDEX('分群統計'!$P$5:$P$8,MATCH(X162,'分群統計'!$A$5:$A$8,0))&gt;0,MAX(-3,MIN(3,(AZ162-INDEX('分群統計'!$O$5:$O$8,MATCH(X162,'分群統計'!$A$5:$A$8,0)))/INDEX('分群統計'!$P$5:$P$8,MATCH(X162,'分群統計'!$A$5:$A$8,0)))),0)),""))</f>
        <v/>
      </c>
      <c r="AP162" s="31">
        <f>IF(BC162&lt;&gt;1,"",IFERROR(IF(INDEX('分群統計'!$Q$5:$Q$8,MATCH(X162,'分群統計'!$A$5:$A$8,0))&lt;3,"",IF(INDEX('分群統計'!$S$5:$S$8,MATCH(X162,'分群統計'!$A$5:$A$8,0))&gt;0,MAX(-3,MIN(3,(BB162-INDEX('分群統計'!$R$5:$R$8,MATCH(X162,'分群統計'!$A$5:$A$8,0)))/INDEX('分群統計'!$S$5:$S$8,MATCH(X162,'分群統計'!$A$5:$A$8,0)))),0)),""))</f>
        <v/>
      </c>
      <c r="AQ162" s="31">
        <f>IF(Y162=1,(IF(ISNUMBER(AF162),AF162,0)*'參數'!$B$13+IF(ISNUMBER(AM162),AM162,0)*'參數'!$B$14+IF(ISNUMBER(AO162),AO162,0)*'參數'!$B$15+IF(ISNUMBER(AP162),AP162,0)*'參數'!$B$16)/('參數'!$B$13+'參數'!$B$14+'參數'!$B$15+'參數'!$B$16),"")</f>
        <v/>
      </c>
      <c r="AR162" s="35">
        <f>IF(Y162=1,(SUMPRODUCT(($X$5:$X$404=X162)*($Y$5:$Y$404=1)*($BD$5:$BD$404&gt;BD162))+1)/COUNTIFS($X$5:$X$404,X162,$Y$5:$Y$404,1),"")</f>
        <v/>
      </c>
      <c r="AS162" s="8">
        <f>IF(ISNUMBER(AR162),IF(AR162&lt;='參數'!$B$18,"加碼候選",IF(AR162&gt;'參數'!$B$19,"減碼候選","")),"")</f>
        <v/>
      </c>
      <c r="AT162" s="7">
        <f>IF(Y162=1,N162,0)</f>
        <v/>
      </c>
      <c r="AU162" s="7">
        <f>IF(Y162=1,LN(O162),0)</f>
        <v/>
      </c>
      <c r="AV162" s="36">
        <f>IF(Y162=1,IF(ISNUMBER(F162),F162,0),0)</f>
        <v/>
      </c>
      <c r="AW162" s="7">
        <f>IF(Y162=1,Z162,0)</f>
        <v/>
      </c>
      <c r="AX162" s="7">
        <f>IF(Y162=1,IF(ISNUMBER(AL162),AL162,0),0)</f>
        <v/>
      </c>
      <c r="AY162" s="7">
        <f>IF(Y162=1,IF(ISNUMBER(AL162),1,0),0)</f>
        <v/>
      </c>
      <c r="AZ162" s="7">
        <f>IF(Y162=1,IF(ISNUMBER(AN162),AN162,0),0)</f>
        <v/>
      </c>
      <c r="BA162" s="7">
        <f>IF(Y162=1,IF(ISNUMBER(AN162),1,0),0)</f>
        <v/>
      </c>
      <c r="BB162" s="7">
        <f>IF(Y162=1,IF(ISNUMBER(T162),T162,0),0)</f>
        <v/>
      </c>
      <c r="BC162" s="7">
        <f>IF(Y162=1,IF(ISNUMBER(T162),1,0),0)</f>
        <v/>
      </c>
      <c r="BD162" s="7">
        <f>IF(Y162=1,AQ162+ROW()/1E9,-1E9)</f>
        <v/>
      </c>
      <c r="BE162" s="7">
        <f>IF(Y162=1,AQ162+ROW()/1E9,1E9)</f>
        <v/>
      </c>
    </row>
    <row r="163">
      <c r="A163" s="16" t="n"/>
      <c r="B163" s="8">
        <f>IF($A163="","",BDP($A163,B$3))</f>
        <v/>
      </c>
      <c r="C163" s="8">
        <f>IF($A163="","",BDP($A163,C$3))</f>
        <v/>
      </c>
      <c r="D163" s="28">
        <f>IF($A163="","",BDP($A163,D$3))</f>
        <v/>
      </c>
      <c r="E163" s="29">
        <f>IF($A163="","",BDP($A163,E$3))</f>
        <v/>
      </c>
      <c r="F163" s="17">
        <f>IF($A163="","",BDP($A163,F$3))</f>
        <v/>
      </c>
      <c r="G163" s="8">
        <f>IF($A163="","",BDP($A163,G$3))</f>
        <v/>
      </c>
      <c r="H163" s="8">
        <f>IF($A163="","",BDP($A163,H$3))</f>
        <v/>
      </c>
      <c r="I163" s="8">
        <f>IF($A163="","",BDP($A163,I$3))</f>
        <v/>
      </c>
      <c r="J163" s="8">
        <f>IF($A163="","",BDP($A163,J$3))</f>
        <v/>
      </c>
      <c r="K163" s="8">
        <f>IF($A163="","",BDP($A163,K$3))</f>
        <v/>
      </c>
      <c r="L163" s="28">
        <f>IF($A163="","",BDP($A163,L$3))</f>
        <v/>
      </c>
      <c r="M163" s="28">
        <f>IF($A163="","",BDP($A163,M$3))</f>
        <v/>
      </c>
      <c r="N163" s="30">
        <f>IF($A163="","",BDP($A163,N$3))</f>
        <v/>
      </c>
      <c r="O163" s="31">
        <f>IF($A163="","",BDP($A163,O$3))</f>
        <v/>
      </c>
      <c r="P163" s="30">
        <f>IF($A163="","",BDH($A163,$N$3,'參數'!$B$5,'參數'!$B$5,"Days=A","Fill=P","Dates=H"))</f>
        <v/>
      </c>
      <c r="Q163" s="30">
        <f>IF($A163="","",BDH($A163,$N$3,'參數'!$B$6,'參數'!$B$6,"Days=A","Fill=P","Dates=H"))</f>
        <v/>
      </c>
      <c r="R163" s="30">
        <f>IF($A163="","",BDH($A163,$N$3,'參數'!$B$7,'參數'!$B$7,"Days=A","Fill=P","Dates=H"))</f>
        <v/>
      </c>
      <c r="S163" s="32">
        <f>IF($A163="","",IFERROR(INDEX('發行人'!$A$5:$A$44,MATCH(B163,'發行人'!$D$5:$D$44,0)),"未對應"))</f>
        <v/>
      </c>
      <c r="T163" s="24">
        <f>IF($A163="","",IFERROR(INDEX('發行人'!$G$5:$G$44,MATCH(B163,'發行人'!$D$5:$D$44,0))+0,""))</f>
        <v/>
      </c>
      <c r="U163" s="18">
        <f>IF(ISNUMBER(E163),YEARFRAC('參數'!$B$4,E163),"")</f>
        <v/>
      </c>
      <c r="V163" s="8">
        <f>IF(U163="","",IF(U163&lt;3,"1-3y",IF(U163&lt;5,"3-5y",IF(U163&lt;7,"5-7y",IF(U163&lt;10,"7-10y","10y+")))))</f>
        <v/>
      </c>
      <c r="W163" s="30">
        <f>IF($A163="","",IFERROR(INDEX('參數'!$B$24:$B$45,MATCH(G163,'參數'!$A$24:$A$45,0)),""))</f>
        <v/>
      </c>
      <c r="X163" s="8">
        <f>IF($A163="","",IFERROR(INDEX('參數'!$C$24:$C$45,MATCH(G163,'參數'!$A$24:$A$45,0)),""))</f>
        <v/>
      </c>
      <c r="Y163" s="30">
        <f>IF(AND(ISNUMBER(N163),ISNUMBER(O163),ISNUMBER(U163)),IF(AND(O163&gt;0,X163&lt;&gt;""),1,0),0)</f>
        <v/>
      </c>
      <c r="Z163" s="17">
        <f>IF(Y163=1,O163*N163,"")</f>
        <v/>
      </c>
      <c r="AA163" s="33">
        <f>IF(Y163=1,IF(ISNUMBER(Q163),N163-Q163,""),"")</f>
        <v/>
      </c>
      <c r="AB163" s="33">
        <f>IF(Y163=1,IF(AND(ISNUMBER(P163),ISNUMBER(R163)),R163*5/12-O163*(P163-R163),""),"")</f>
        <v/>
      </c>
      <c r="AC163" s="30">
        <f>IF(Y163=1,COUNTIFS($X$5:$X$404,X163,$V$5:$V$404,V163,$Y$5:$Y$404,1),"")</f>
        <v/>
      </c>
      <c r="AD163" s="30">
        <f>IF(Y163=1,IFERROR(IF(AC163&gt;='參數'!$B$9,INDEX('分群統計'!$G$13:$K$16,MATCH(X163,'分群統計'!$A$13:$A$16,0),MATCH(V163,'分群統計'!$G$12:$K$12,0)),INDEX('分群統計'!$I$5:$I$8,MATCH(X163,'分群統計'!$A$5:$A$8,0))),""),"")</f>
        <v/>
      </c>
      <c r="AE163" s="18">
        <f>IF(Y163=1,IFERROR(IF(AC163&gt;='參數'!$B$9,INDEX('分群統計'!$L$13:$P$16,MATCH(X163,'分群統計'!$A$13:$A$16,0),MATCH(V163,'分群統計'!$L$12:$P$12,0)),INDEX('分群統計'!$J$5:$J$8,MATCH(X163,'分群統計'!$A$5:$A$8,0))),""),"")</f>
        <v/>
      </c>
      <c r="AF163" s="31">
        <f>IF(ISNUMBER(AE163),IF(AE163&gt;0,MAX(-3,MIN(3,(N163-AD163)/AE163)),0),"")</f>
        <v/>
      </c>
      <c r="AG163" s="30">
        <f>IF(Y163=1,COUNTIFS($B$5:$B$404,B163,$Y$5:$Y$404,1),"")</f>
        <v/>
      </c>
      <c r="AH163" s="30">
        <f>IF(Y163=1,IFERROR(IF(ISNUMBER(INDEX('分群統計'!$G$20:$G$59,MATCH(B163,'分群統計'!$A$20:$A$59,0))),INDEX('分群統計'!$H$20:$H$59,MATCH(B163,'分群統計'!$A$20:$A$59,0))+INDEX('分群統計'!$G$20:$G$59,MATCH(B163,'分群統計'!$A$20:$A$59,0))*AU163,""),""),"")</f>
        <v/>
      </c>
      <c r="AI163" s="34">
        <f>IF(ISNUMBER(AH163),N163-AH163,"")</f>
        <v/>
      </c>
      <c r="AJ163" s="30">
        <f>IF(Y163=1,IFERROR(IF(ISNUMBER(INDEX('分群統計'!$G$5:$G$8,MATCH(X163,'分群統計'!$A$5:$A$8,0))),INDEX('分群統計'!$H$5:$H$8,MATCH(X163,'分群統計'!$A$5:$A$8,0))+INDEX('分群統計'!$G$5:$G$8,MATCH(X163,'分群統計'!$A$5:$A$8,0))*AU163,""),""),"")</f>
        <v/>
      </c>
      <c r="AK163" s="34">
        <f>IF(ISNUMBER(AJ163),N163-AJ163,"")</f>
        <v/>
      </c>
      <c r="AL163" s="21">
        <f>IF(ISNUMBER(AJ163),IF(AJ163&gt;0,AK163/AJ163,""),"")</f>
        <v/>
      </c>
      <c r="AM163" s="31">
        <f>IF(AY163&lt;&gt;1,"",IFERROR(IF(INDEX('分群統計'!$K$5:$K$8,MATCH(X163,'分群統計'!$A$5:$A$8,0))&lt;3,"",IF(INDEX('分群統計'!$M$5:$M$8,MATCH(X163,'分群統計'!$A$5:$A$8,0))&gt;0,MAX(-3,MIN(3,(AX163-INDEX('分群統計'!$L$5:$L$8,MATCH(X163,'分群統計'!$A$5:$A$8,0)))/INDEX('分群統計'!$M$5:$M$8,MATCH(X163,'分群統計'!$A$5:$A$8,0)))),0)),""))</f>
        <v/>
      </c>
      <c r="AN163" s="31">
        <f>IF(ISNUMBER(AB163),IF(Z163&gt;0,AB163/Z163*100,""),"")</f>
        <v/>
      </c>
      <c r="AO163" s="31">
        <f>IF(BA163&lt;&gt;1,"",IFERROR(IF(INDEX('分群統計'!$N$5:$N$8,MATCH(X163,'分群統計'!$A$5:$A$8,0))&lt;3,"",IF(INDEX('分群統計'!$P$5:$P$8,MATCH(X163,'分群統計'!$A$5:$A$8,0))&gt;0,MAX(-3,MIN(3,(AZ163-INDEX('分群統計'!$O$5:$O$8,MATCH(X163,'分群統計'!$A$5:$A$8,0)))/INDEX('分群統計'!$P$5:$P$8,MATCH(X163,'分群統計'!$A$5:$A$8,0)))),0)),""))</f>
        <v/>
      </c>
      <c r="AP163" s="31">
        <f>IF(BC163&lt;&gt;1,"",IFERROR(IF(INDEX('分群統計'!$Q$5:$Q$8,MATCH(X163,'分群統計'!$A$5:$A$8,0))&lt;3,"",IF(INDEX('分群統計'!$S$5:$S$8,MATCH(X163,'分群統計'!$A$5:$A$8,0))&gt;0,MAX(-3,MIN(3,(BB163-INDEX('分群統計'!$R$5:$R$8,MATCH(X163,'分群統計'!$A$5:$A$8,0)))/INDEX('分群統計'!$S$5:$S$8,MATCH(X163,'分群統計'!$A$5:$A$8,0)))),0)),""))</f>
        <v/>
      </c>
      <c r="AQ163" s="31">
        <f>IF(Y163=1,(IF(ISNUMBER(AF163),AF163,0)*'參數'!$B$13+IF(ISNUMBER(AM163),AM163,0)*'參數'!$B$14+IF(ISNUMBER(AO163),AO163,0)*'參數'!$B$15+IF(ISNUMBER(AP163),AP163,0)*'參數'!$B$16)/('參數'!$B$13+'參數'!$B$14+'參數'!$B$15+'參數'!$B$16),"")</f>
        <v/>
      </c>
      <c r="AR163" s="35">
        <f>IF(Y163=1,(SUMPRODUCT(($X$5:$X$404=X163)*($Y$5:$Y$404=1)*($BD$5:$BD$404&gt;BD163))+1)/COUNTIFS($X$5:$X$404,X163,$Y$5:$Y$404,1),"")</f>
        <v/>
      </c>
      <c r="AS163" s="8">
        <f>IF(ISNUMBER(AR163),IF(AR163&lt;='參數'!$B$18,"加碼候選",IF(AR163&gt;'參數'!$B$19,"減碼候選","")),"")</f>
        <v/>
      </c>
      <c r="AT163" s="7">
        <f>IF(Y163=1,N163,0)</f>
        <v/>
      </c>
      <c r="AU163" s="7">
        <f>IF(Y163=1,LN(O163),0)</f>
        <v/>
      </c>
      <c r="AV163" s="36">
        <f>IF(Y163=1,IF(ISNUMBER(F163),F163,0),0)</f>
        <v/>
      </c>
      <c r="AW163" s="7">
        <f>IF(Y163=1,Z163,0)</f>
        <v/>
      </c>
      <c r="AX163" s="7">
        <f>IF(Y163=1,IF(ISNUMBER(AL163),AL163,0),0)</f>
        <v/>
      </c>
      <c r="AY163" s="7">
        <f>IF(Y163=1,IF(ISNUMBER(AL163),1,0),0)</f>
        <v/>
      </c>
      <c r="AZ163" s="7">
        <f>IF(Y163=1,IF(ISNUMBER(AN163),AN163,0),0)</f>
        <v/>
      </c>
      <c r="BA163" s="7">
        <f>IF(Y163=1,IF(ISNUMBER(AN163),1,0),0)</f>
        <v/>
      </c>
      <c r="BB163" s="7">
        <f>IF(Y163=1,IF(ISNUMBER(T163),T163,0),0)</f>
        <v/>
      </c>
      <c r="BC163" s="7">
        <f>IF(Y163=1,IF(ISNUMBER(T163),1,0),0)</f>
        <v/>
      </c>
      <c r="BD163" s="7">
        <f>IF(Y163=1,AQ163+ROW()/1E9,-1E9)</f>
        <v/>
      </c>
      <c r="BE163" s="7">
        <f>IF(Y163=1,AQ163+ROW()/1E9,1E9)</f>
        <v/>
      </c>
    </row>
    <row r="164">
      <c r="A164" s="16" t="n"/>
      <c r="B164" s="8">
        <f>IF($A164="","",BDP($A164,B$3))</f>
        <v/>
      </c>
      <c r="C164" s="8">
        <f>IF($A164="","",BDP($A164,C$3))</f>
        <v/>
      </c>
      <c r="D164" s="28">
        <f>IF($A164="","",BDP($A164,D$3))</f>
        <v/>
      </c>
      <c r="E164" s="29">
        <f>IF($A164="","",BDP($A164,E$3))</f>
        <v/>
      </c>
      <c r="F164" s="17">
        <f>IF($A164="","",BDP($A164,F$3))</f>
        <v/>
      </c>
      <c r="G164" s="8">
        <f>IF($A164="","",BDP($A164,G$3))</f>
        <v/>
      </c>
      <c r="H164" s="8">
        <f>IF($A164="","",BDP($A164,H$3))</f>
        <v/>
      </c>
      <c r="I164" s="8">
        <f>IF($A164="","",BDP($A164,I$3))</f>
        <v/>
      </c>
      <c r="J164" s="8">
        <f>IF($A164="","",BDP($A164,J$3))</f>
        <v/>
      </c>
      <c r="K164" s="8">
        <f>IF($A164="","",BDP($A164,K$3))</f>
        <v/>
      </c>
      <c r="L164" s="28">
        <f>IF($A164="","",BDP($A164,L$3))</f>
        <v/>
      </c>
      <c r="M164" s="28">
        <f>IF($A164="","",BDP($A164,M$3))</f>
        <v/>
      </c>
      <c r="N164" s="30">
        <f>IF($A164="","",BDP($A164,N$3))</f>
        <v/>
      </c>
      <c r="O164" s="31">
        <f>IF($A164="","",BDP($A164,O$3))</f>
        <v/>
      </c>
      <c r="P164" s="30">
        <f>IF($A164="","",BDH($A164,$N$3,'參數'!$B$5,'參數'!$B$5,"Days=A","Fill=P","Dates=H"))</f>
        <v/>
      </c>
      <c r="Q164" s="30">
        <f>IF($A164="","",BDH($A164,$N$3,'參數'!$B$6,'參數'!$B$6,"Days=A","Fill=P","Dates=H"))</f>
        <v/>
      </c>
      <c r="R164" s="30">
        <f>IF($A164="","",BDH($A164,$N$3,'參數'!$B$7,'參數'!$B$7,"Days=A","Fill=P","Dates=H"))</f>
        <v/>
      </c>
      <c r="S164" s="32">
        <f>IF($A164="","",IFERROR(INDEX('發行人'!$A$5:$A$44,MATCH(B164,'發行人'!$D$5:$D$44,0)),"未對應"))</f>
        <v/>
      </c>
      <c r="T164" s="24">
        <f>IF($A164="","",IFERROR(INDEX('發行人'!$G$5:$G$44,MATCH(B164,'發行人'!$D$5:$D$44,0))+0,""))</f>
        <v/>
      </c>
      <c r="U164" s="18">
        <f>IF(ISNUMBER(E164),YEARFRAC('參數'!$B$4,E164),"")</f>
        <v/>
      </c>
      <c r="V164" s="8">
        <f>IF(U164="","",IF(U164&lt;3,"1-3y",IF(U164&lt;5,"3-5y",IF(U164&lt;7,"5-7y",IF(U164&lt;10,"7-10y","10y+")))))</f>
        <v/>
      </c>
      <c r="W164" s="30">
        <f>IF($A164="","",IFERROR(INDEX('參數'!$B$24:$B$45,MATCH(G164,'參數'!$A$24:$A$45,0)),""))</f>
        <v/>
      </c>
      <c r="X164" s="8">
        <f>IF($A164="","",IFERROR(INDEX('參數'!$C$24:$C$45,MATCH(G164,'參數'!$A$24:$A$45,0)),""))</f>
        <v/>
      </c>
      <c r="Y164" s="30">
        <f>IF(AND(ISNUMBER(N164),ISNUMBER(O164),ISNUMBER(U164)),IF(AND(O164&gt;0,X164&lt;&gt;""),1,0),0)</f>
        <v/>
      </c>
      <c r="Z164" s="17">
        <f>IF(Y164=1,O164*N164,"")</f>
        <v/>
      </c>
      <c r="AA164" s="33">
        <f>IF(Y164=1,IF(ISNUMBER(Q164),N164-Q164,""),"")</f>
        <v/>
      </c>
      <c r="AB164" s="33">
        <f>IF(Y164=1,IF(AND(ISNUMBER(P164),ISNUMBER(R164)),R164*5/12-O164*(P164-R164),""),"")</f>
        <v/>
      </c>
      <c r="AC164" s="30">
        <f>IF(Y164=1,COUNTIFS($X$5:$X$404,X164,$V$5:$V$404,V164,$Y$5:$Y$404,1),"")</f>
        <v/>
      </c>
      <c r="AD164" s="30">
        <f>IF(Y164=1,IFERROR(IF(AC164&gt;='參數'!$B$9,INDEX('分群統計'!$G$13:$K$16,MATCH(X164,'分群統計'!$A$13:$A$16,0),MATCH(V164,'分群統計'!$G$12:$K$12,0)),INDEX('分群統計'!$I$5:$I$8,MATCH(X164,'分群統計'!$A$5:$A$8,0))),""),"")</f>
        <v/>
      </c>
      <c r="AE164" s="18">
        <f>IF(Y164=1,IFERROR(IF(AC164&gt;='參數'!$B$9,INDEX('分群統計'!$L$13:$P$16,MATCH(X164,'分群統計'!$A$13:$A$16,0),MATCH(V164,'分群統計'!$L$12:$P$12,0)),INDEX('分群統計'!$J$5:$J$8,MATCH(X164,'分群統計'!$A$5:$A$8,0))),""),"")</f>
        <v/>
      </c>
      <c r="AF164" s="31">
        <f>IF(ISNUMBER(AE164),IF(AE164&gt;0,MAX(-3,MIN(3,(N164-AD164)/AE164)),0),"")</f>
        <v/>
      </c>
      <c r="AG164" s="30">
        <f>IF(Y164=1,COUNTIFS($B$5:$B$404,B164,$Y$5:$Y$404,1),"")</f>
        <v/>
      </c>
      <c r="AH164" s="30">
        <f>IF(Y164=1,IFERROR(IF(ISNUMBER(INDEX('分群統計'!$G$20:$G$59,MATCH(B164,'分群統計'!$A$20:$A$59,0))),INDEX('分群統計'!$H$20:$H$59,MATCH(B164,'分群統計'!$A$20:$A$59,0))+INDEX('分群統計'!$G$20:$G$59,MATCH(B164,'分群統計'!$A$20:$A$59,0))*AU164,""),""),"")</f>
        <v/>
      </c>
      <c r="AI164" s="34">
        <f>IF(ISNUMBER(AH164),N164-AH164,"")</f>
        <v/>
      </c>
      <c r="AJ164" s="30">
        <f>IF(Y164=1,IFERROR(IF(ISNUMBER(INDEX('分群統計'!$G$5:$G$8,MATCH(X164,'分群統計'!$A$5:$A$8,0))),INDEX('分群統計'!$H$5:$H$8,MATCH(X164,'分群統計'!$A$5:$A$8,0))+INDEX('分群統計'!$G$5:$G$8,MATCH(X164,'分群統計'!$A$5:$A$8,0))*AU164,""),""),"")</f>
        <v/>
      </c>
      <c r="AK164" s="34">
        <f>IF(ISNUMBER(AJ164),N164-AJ164,"")</f>
        <v/>
      </c>
      <c r="AL164" s="21">
        <f>IF(ISNUMBER(AJ164),IF(AJ164&gt;0,AK164/AJ164,""),"")</f>
        <v/>
      </c>
      <c r="AM164" s="31">
        <f>IF(AY164&lt;&gt;1,"",IFERROR(IF(INDEX('分群統計'!$K$5:$K$8,MATCH(X164,'分群統計'!$A$5:$A$8,0))&lt;3,"",IF(INDEX('分群統計'!$M$5:$M$8,MATCH(X164,'分群統計'!$A$5:$A$8,0))&gt;0,MAX(-3,MIN(3,(AX164-INDEX('分群統計'!$L$5:$L$8,MATCH(X164,'分群統計'!$A$5:$A$8,0)))/INDEX('分群統計'!$M$5:$M$8,MATCH(X164,'分群統計'!$A$5:$A$8,0)))),0)),""))</f>
        <v/>
      </c>
      <c r="AN164" s="31">
        <f>IF(ISNUMBER(AB164),IF(Z164&gt;0,AB164/Z164*100,""),"")</f>
        <v/>
      </c>
      <c r="AO164" s="31">
        <f>IF(BA164&lt;&gt;1,"",IFERROR(IF(INDEX('分群統計'!$N$5:$N$8,MATCH(X164,'分群統計'!$A$5:$A$8,0))&lt;3,"",IF(INDEX('分群統計'!$P$5:$P$8,MATCH(X164,'分群統計'!$A$5:$A$8,0))&gt;0,MAX(-3,MIN(3,(AZ164-INDEX('分群統計'!$O$5:$O$8,MATCH(X164,'分群統計'!$A$5:$A$8,0)))/INDEX('分群統計'!$P$5:$P$8,MATCH(X164,'分群統計'!$A$5:$A$8,0)))),0)),""))</f>
        <v/>
      </c>
      <c r="AP164" s="31">
        <f>IF(BC164&lt;&gt;1,"",IFERROR(IF(INDEX('分群統計'!$Q$5:$Q$8,MATCH(X164,'分群統計'!$A$5:$A$8,0))&lt;3,"",IF(INDEX('分群統計'!$S$5:$S$8,MATCH(X164,'分群統計'!$A$5:$A$8,0))&gt;0,MAX(-3,MIN(3,(BB164-INDEX('分群統計'!$R$5:$R$8,MATCH(X164,'分群統計'!$A$5:$A$8,0)))/INDEX('分群統計'!$S$5:$S$8,MATCH(X164,'分群統計'!$A$5:$A$8,0)))),0)),""))</f>
        <v/>
      </c>
      <c r="AQ164" s="31">
        <f>IF(Y164=1,(IF(ISNUMBER(AF164),AF164,0)*'參數'!$B$13+IF(ISNUMBER(AM164),AM164,0)*'參數'!$B$14+IF(ISNUMBER(AO164),AO164,0)*'參數'!$B$15+IF(ISNUMBER(AP164),AP164,0)*'參數'!$B$16)/('參數'!$B$13+'參數'!$B$14+'參數'!$B$15+'參數'!$B$16),"")</f>
        <v/>
      </c>
      <c r="AR164" s="35">
        <f>IF(Y164=1,(SUMPRODUCT(($X$5:$X$404=X164)*($Y$5:$Y$404=1)*($BD$5:$BD$404&gt;BD164))+1)/COUNTIFS($X$5:$X$404,X164,$Y$5:$Y$404,1),"")</f>
        <v/>
      </c>
      <c r="AS164" s="8">
        <f>IF(ISNUMBER(AR164),IF(AR164&lt;='參數'!$B$18,"加碼候選",IF(AR164&gt;'參數'!$B$19,"減碼候選","")),"")</f>
        <v/>
      </c>
      <c r="AT164" s="7">
        <f>IF(Y164=1,N164,0)</f>
        <v/>
      </c>
      <c r="AU164" s="7">
        <f>IF(Y164=1,LN(O164),0)</f>
        <v/>
      </c>
      <c r="AV164" s="36">
        <f>IF(Y164=1,IF(ISNUMBER(F164),F164,0),0)</f>
        <v/>
      </c>
      <c r="AW164" s="7">
        <f>IF(Y164=1,Z164,0)</f>
        <v/>
      </c>
      <c r="AX164" s="7">
        <f>IF(Y164=1,IF(ISNUMBER(AL164),AL164,0),0)</f>
        <v/>
      </c>
      <c r="AY164" s="7">
        <f>IF(Y164=1,IF(ISNUMBER(AL164),1,0),0)</f>
        <v/>
      </c>
      <c r="AZ164" s="7">
        <f>IF(Y164=1,IF(ISNUMBER(AN164),AN164,0),0)</f>
        <v/>
      </c>
      <c r="BA164" s="7">
        <f>IF(Y164=1,IF(ISNUMBER(AN164),1,0),0)</f>
        <v/>
      </c>
      <c r="BB164" s="7">
        <f>IF(Y164=1,IF(ISNUMBER(T164),T164,0),0)</f>
        <v/>
      </c>
      <c r="BC164" s="7">
        <f>IF(Y164=1,IF(ISNUMBER(T164),1,0),0)</f>
        <v/>
      </c>
      <c r="BD164" s="7">
        <f>IF(Y164=1,AQ164+ROW()/1E9,-1E9)</f>
        <v/>
      </c>
      <c r="BE164" s="7">
        <f>IF(Y164=1,AQ164+ROW()/1E9,1E9)</f>
        <v/>
      </c>
    </row>
    <row r="165">
      <c r="A165" s="16" t="n"/>
      <c r="B165" s="8">
        <f>IF($A165="","",BDP($A165,B$3))</f>
        <v/>
      </c>
      <c r="C165" s="8">
        <f>IF($A165="","",BDP($A165,C$3))</f>
        <v/>
      </c>
      <c r="D165" s="28">
        <f>IF($A165="","",BDP($A165,D$3))</f>
        <v/>
      </c>
      <c r="E165" s="29">
        <f>IF($A165="","",BDP($A165,E$3))</f>
        <v/>
      </c>
      <c r="F165" s="17">
        <f>IF($A165="","",BDP($A165,F$3))</f>
        <v/>
      </c>
      <c r="G165" s="8">
        <f>IF($A165="","",BDP($A165,G$3))</f>
        <v/>
      </c>
      <c r="H165" s="8">
        <f>IF($A165="","",BDP($A165,H$3))</f>
        <v/>
      </c>
      <c r="I165" s="8">
        <f>IF($A165="","",BDP($A165,I$3))</f>
        <v/>
      </c>
      <c r="J165" s="8">
        <f>IF($A165="","",BDP($A165,J$3))</f>
        <v/>
      </c>
      <c r="K165" s="8">
        <f>IF($A165="","",BDP($A165,K$3))</f>
        <v/>
      </c>
      <c r="L165" s="28">
        <f>IF($A165="","",BDP($A165,L$3))</f>
        <v/>
      </c>
      <c r="M165" s="28">
        <f>IF($A165="","",BDP($A165,M$3))</f>
        <v/>
      </c>
      <c r="N165" s="30">
        <f>IF($A165="","",BDP($A165,N$3))</f>
        <v/>
      </c>
      <c r="O165" s="31">
        <f>IF($A165="","",BDP($A165,O$3))</f>
        <v/>
      </c>
      <c r="P165" s="30">
        <f>IF($A165="","",BDH($A165,$N$3,'參數'!$B$5,'參數'!$B$5,"Days=A","Fill=P","Dates=H"))</f>
        <v/>
      </c>
      <c r="Q165" s="30">
        <f>IF($A165="","",BDH($A165,$N$3,'參數'!$B$6,'參數'!$B$6,"Days=A","Fill=P","Dates=H"))</f>
        <v/>
      </c>
      <c r="R165" s="30">
        <f>IF($A165="","",BDH($A165,$N$3,'參數'!$B$7,'參數'!$B$7,"Days=A","Fill=P","Dates=H"))</f>
        <v/>
      </c>
      <c r="S165" s="32">
        <f>IF($A165="","",IFERROR(INDEX('發行人'!$A$5:$A$44,MATCH(B165,'發行人'!$D$5:$D$44,0)),"未對應"))</f>
        <v/>
      </c>
      <c r="T165" s="24">
        <f>IF($A165="","",IFERROR(INDEX('發行人'!$G$5:$G$44,MATCH(B165,'發行人'!$D$5:$D$44,0))+0,""))</f>
        <v/>
      </c>
      <c r="U165" s="18">
        <f>IF(ISNUMBER(E165),YEARFRAC('參數'!$B$4,E165),"")</f>
        <v/>
      </c>
      <c r="V165" s="8">
        <f>IF(U165="","",IF(U165&lt;3,"1-3y",IF(U165&lt;5,"3-5y",IF(U165&lt;7,"5-7y",IF(U165&lt;10,"7-10y","10y+")))))</f>
        <v/>
      </c>
      <c r="W165" s="30">
        <f>IF($A165="","",IFERROR(INDEX('參數'!$B$24:$B$45,MATCH(G165,'參數'!$A$24:$A$45,0)),""))</f>
        <v/>
      </c>
      <c r="X165" s="8">
        <f>IF($A165="","",IFERROR(INDEX('參數'!$C$24:$C$45,MATCH(G165,'參數'!$A$24:$A$45,0)),""))</f>
        <v/>
      </c>
      <c r="Y165" s="30">
        <f>IF(AND(ISNUMBER(N165),ISNUMBER(O165),ISNUMBER(U165)),IF(AND(O165&gt;0,X165&lt;&gt;""),1,0),0)</f>
        <v/>
      </c>
      <c r="Z165" s="17">
        <f>IF(Y165=1,O165*N165,"")</f>
        <v/>
      </c>
      <c r="AA165" s="33">
        <f>IF(Y165=1,IF(ISNUMBER(Q165),N165-Q165,""),"")</f>
        <v/>
      </c>
      <c r="AB165" s="33">
        <f>IF(Y165=1,IF(AND(ISNUMBER(P165),ISNUMBER(R165)),R165*5/12-O165*(P165-R165),""),"")</f>
        <v/>
      </c>
      <c r="AC165" s="30">
        <f>IF(Y165=1,COUNTIFS($X$5:$X$404,X165,$V$5:$V$404,V165,$Y$5:$Y$404,1),"")</f>
        <v/>
      </c>
      <c r="AD165" s="30">
        <f>IF(Y165=1,IFERROR(IF(AC165&gt;='參數'!$B$9,INDEX('分群統計'!$G$13:$K$16,MATCH(X165,'分群統計'!$A$13:$A$16,0),MATCH(V165,'分群統計'!$G$12:$K$12,0)),INDEX('分群統計'!$I$5:$I$8,MATCH(X165,'分群統計'!$A$5:$A$8,0))),""),"")</f>
        <v/>
      </c>
      <c r="AE165" s="18">
        <f>IF(Y165=1,IFERROR(IF(AC165&gt;='參數'!$B$9,INDEX('分群統計'!$L$13:$P$16,MATCH(X165,'分群統計'!$A$13:$A$16,0),MATCH(V165,'分群統計'!$L$12:$P$12,0)),INDEX('分群統計'!$J$5:$J$8,MATCH(X165,'分群統計'!$A$5:$A$8,0))),""),"")</f>
        <v/>
      </c>
      <c r="AF165" s="31">
        <f>IF(ISNUMBER(AE165),IF(AE165&gt;0,MAX(-3,MIN(3,(N165-AD165)/AE165)),0),"")</f>
        <v/>
      </c>
      <c r="AG165" s="30">
        <f>IF(Y165=1,COUNTIFS($B$5:$B$404,B165,$Y$5:$Y$404,1),"")</f>
        <v/>
      </c>
      <c r="AH165" s="30">
        <f>IF(Y165=1,IFERROR(IF(ISNUMBER(INDEX('分群統計'!$G$20:$G$59,MATCH(B165,'分群統計'!$A$20:$A$59,0))),INDEX('分群統計'!$H$20:$H$59,MATCH(B165,'分群統計'!$A$20:$A$59,0))+INDEX('分群統計'!$G$20:$G$59,MATCH(B165,'分群統計'!$A$20:$A$59,0))*AU165,""),""),"")</f>
        <v/>
      </c>
      <c r="AI165" s="34">
        <f>IF(ISNUMBER(AH165),N165-AH165,"")</f>
        <v/>
      </c>
      <c r="AJ165" s="30">
        <f>IF(Y165=1,IFERROR(IF(ISNUMBER(INDEX('分群統計'!$G$5:$G$8,MATCH(X165,'分群統計'!$A$5:$A$8,0))),INDEX('分群統計'!$H$5:$H$8,MATCH(X165,'分群統計'!$A$5:$A$8,0))+INDEX('分群統計'!$G$5:$G$8,MATCH(X165,'分群統計'!$A$5:$A$8,0))*AU165,""),""),"")</f>
        <v/>
      </c>
      <c r="AK165" s="34">
        <f>IF(ISNUMBER(AJ165),N165-AJ165,"")</f>
        <v/>
      </c>
      <c r="AL165" s="21">
        <f>IF(ISNUMBER(AJ165),IF(AJ165&gt;0,AK165/AJ165,""),"")</f>
        <v/>
      </c>
      <c r="AM165" s="31">
        <f>IF(AY165&lt;&gt;1,"",IFERROR(IF(INDEX('分群統計'!$K$5:$K$8,MATCH(X165,'分群統計'!$A$5:$A$8,0))&lt;3,"",IF(INDEX('分群統計'!$M$5:$M$8,MATCH(X165,'分群統計'!$A$5:$A$8,0))&gt;0,MAX(-3,MIN(3,(AX165-INDEX('分群統計'!$L$5:$L$8,MATCH(X165,'分群統計'!$A$5:$A$8,0)))/INDEX('分群統計'!$M$5:$M$8,MATCH(X165,'分群統計'!$A$5:$A$8,0)))),0)),""))</f>
        <v/>
      </c>
      <c r="AN165" s="31">
        <f>IF(ISNUMBER(AB165),IF(Z165&gt;0,AB165/Z165*100,""),"")</f>
        <v/>
      </c>
      <c r="AO165" s="31">
        <f>IF(BA165&lt;&gt;1,"",IFERROR(IF(INDEX('分群統計'!$N$5:$N$8,MATCH(X165,'分群統計'!$A$5:$A$8,0))&lt;3,"",IF(INDEX('分群統計'!$P$5:$P$8,MATCH(X165,'分群統計'!$A$5:$A$8,0))&gt;0,MAX(-3,MIN(3,(AZ165-INDEX('分群統計'!$O$5:$O$8,MATCH(X165,'分群統計'!$A$5:$A$8,0)))/INDEX('分群統計'!$P$5:$P$8,MATCH(X165,'分群統計'!$A$5:$A$8,0)))),0)),""))</f>
        <v/>
      </c>
      <c r="AP165" s="31">
        <f>IF(BC165&lt;&gt;1,"",IFERROR(IF(INDEX('分群統計'!$Q$5:$Q$8,MATCH(X165,'分群統計'!$A$5:$A$8,0))&lt;3,"",IF(INDEX('分群統計'!$S$5:$S$8,MATCH(X165,'分群統計'!$A$5:$A$8,0))&gt;0,MAX(-3,MIN(3,(BB165-INDEX('分群統計'!$R$5:$R$8,MATCH(X165,'分群統計'!$A$5:$A$8,0)))/INDEX('分群統計'!$S$5:$S$8,MATCH(X165,'分群統計'!$A$5:$A$8,0)))),0)),""))</f>
        <v/>
      </c>
      <c r="AQ165" s="31">
        <f>IF(Y165=1,(IF(ISNUMBER(AF165),AF165,0)*'參數'!$B$13+IF(ISNUMBER(AM165),AM165,0)*'參數'!$B$14+IF(ISNUMBER(AO165),AO165,0)*'參數'!$B$15+IF(ISNUMBER(AP165),AP165,0)*'參數'!$B$16)/('參數'!$B$13+'參數'!$B$14+'參數'!$B$15+'參數'!$B$16),"")</f>
        <v/>
      </c>
      <c r="AR165" s="35">
        <f>IF(Y165=1,(SUMPRODUCT(($X$5:$X$404=X165)*($Y$5:$Y$404=1)*($BD$5:$BD$404&gt;BD165))+1)/COUNTIFS($X$5:$X$404,X165,$Y$5:$Y$404,1),"")</f>
        <v/>
      </c>
      <c r="AS165" s="8">
        <f>IF(ISNUMBER(AR165),IF(AR165&lt;='參數'!$B$18,"加碼候選",IF(AR165&gt;'參數'!$B$19,"減碼候選","")),"")</f>
        <v/>
      </c>
      <c r="AT165" s="7">
        <f>IF(Y165=1,N165,0)</f>
        <v/>
      </c>
      <c r="AU165" s="7">
        <f>IF(Y165=1,LN(O165),0)</f>
        <v/>
      </c>
      <c r="AV165" s="36">
        <f>IF(Y165=1,IF(ISNUMBER(F165),F165,0),0)</f>
        <v/>
      </c>
      <c r="AW165" s="7">
        <f>IF(Y165=1,Z165,0)</f>
        <v/>
      </c>
      <c r="AX165" s="7">
        <f>IF(Y165=1,IF(ISNUMBER(AL165),AL165,0),0)</f>
        <v/>
      </c>
      <c r="AY165" s="7">
        <f>IF(Y165=1,IF(ISNUMBER(AL165),1,0),0)</f>
        <v/>
      </c>
      <c r="AZ165" s="7">
        <f>IF(Y165=1,IF(ISNUMBER(AN165),AN165,0),0)</f>
        <v/>
      </c>
      <c r="BA165" s="7">
        <f>IF(Y165=1,IF(ISNUMBER(AN165),1,0),0)</f>
        <v/>
      </c>
      <c r="BB165" s="7">
        <f>IF(Y165=1,IF(ISNUMBER(T165),T165,0),0)</f>
        <v/>
      </c>
      <c r="BC165" s="7">
        <f>IF(Y165=1,IF(ISNUMBER(T165),1,0),0)</f>
        <v/>
      </c>
      <c r="BD165" s="7">
        <f>IF(Y165=1,AQ165+ROW()/1E9,-1E9)</f>
        <v/>
      </c>
      <c r="BE165" s="7">
        <f>IF(Y165=1,AQ165+ROW()/1E9,1E9)</f>
        <v/>
      </c>
    </row>
    <row r="166">
      <c r="A166" s="16" t="n"/>
      <c r="B166" s="8">
        <f>IF($A166="","",BDP($A166,B$3))</f>
        <v/>
      </c>
      <c r="C166" s="8">
        <f>IF($A166="","",BDP($A166,C$3))</f>
        <v/>
      </c>
      <c r="D166" s="28">
        <f>IF($A166="","",BDP($A166,D$3))</f>
        <v/>
      </c>
      <c r="E166" s="29">
        <f>IF($A166="","",BDP($A166,E$3))</f>
        <v/>
      </c>
      <c r="F166" s="17">
        <f>IF($A166="","",BDP($A166,F$3))</f>
        <v/>
      </c>
      <c r="G166" s="8">
        <f>IF($A166="","",BDP($A166,G$3))</f>
        <v/>
      </c>
      <c r="H166" s="8">
        <f>IF($A166="","",BDP($A166,H$3))</f>
        <v/>
      </c>
      <c r="I166" s="8">
        <f>IF($A166="","",BDP($A166,I$3))</f>
        <v/>
      </c>
      <c r="J166" s="8">
        <f>IF($A166="","",BDP($A166,J$3))</f>
        <v/>
      </c>
      <c r="K166" s="8">
        <f>IF($A166="","",BDP($A166,K$3))</f>
        <v/>
      </c>
      <c r="L166" s="28">
        <f>IF($A166="","",BDP($A166,L$3))</f>
        <v/>
      </c>
      <c r="M166" s="28">
        <f>IF($A166="","",BDP($A166,M$3))</f>
        <v/>
      </c>
      <c r="N166" s="30">
        <f>IF($A166="","",BDP($A166,N$3))</f>
        <v/>
      </c>
      <c r="O166" s="31">
        <f>IF($A166="","",BDP($A166,O$3))</f>
        <v/>
      </c>
      <c r="P166" s="30">
        <f>IF($A166="","",BDH($A166,$N$3,'參數'!$B$5,'參數'!$B$5,"Days=A","Fill=P","Dates=H"))</f>
        <v/>
      </c>
      <c r="Q166" s="30">
        <f>IF($A166="","",BDH($A166,$N$3,'參數'!$B$6,'參數'!$B$6,"Days=A","Fill=P","Dates=H"))</f>
        <v/>
      </c>
      <c r="R166" s="30">
        <f>IF($A166="","",BDH($A166,$N$3,'參數'!$B$7,'參數'!$B$7,"Days=A","Fill=P","Dates=H"))</f>
        <v/>
      </c>
      <c r="S166" s="32">
        <f>IF($A166="","",IFERROR(INDEX('發行人'!$A$5:$A$44,MATCH(B166,'發行人'!$D$5:$D$44,0)),"未對應"))</f>
        <v/>
      </c>
      <c r="T166" s="24">
        <f>IF($A166="","",IFERROR(INDEX('發行人'!$G$5:$G$44,MATCH(B166,'發行人'!$D$5:$D$44,0))+0,""))</f>
        <v/>
      </c>
      <c r="U166" s="18">
        <f>IF(ISNUMBER(E166),YEARFRAC('參數'!$B$4,E166),"")</f>
        <v/>
      </c>
      <c r="V166" s="8">
        <f>IF(U166="","",IF(U166&lt;3,"1-3y",IF(U166&lt;5,"3-5y",IF(U166&lt;7,"5-7y",IF(U166&lt;10,"7-10y","10y+")))))</f>
        <v/>
      </c>
      <c r="W166" s="30">
        <f>IF($A166="","",IFERROR(INDEX('參數'!$B$24:$B$45,MATCH(G166,'參數'!$A$24:$A$45,0)),""))</f>
        <v/>
      </c>
      <c r="X166" s="8">
        <f>IF($A166="","",IFERROR(INDEX('參數'!$C$24:$C$45,MATCH(G166,'參數'!$A$24:$A$45,0)),""))</f>
        <v/>
      </c>
      <c r="Y166" s="30">
        <f>IF(AND(ISNUMBER(N166),ISNUMBER(O166),ISNUMBER(U166)),IF(AND(O166&gt;0,X166&lt;&gt;""),1,0),0)</f>
        <v/>
      </c>
      <c r="Z166" s="17">
        <f>IF(Y166=1,O166*N166,"")</f>
        <v/>
      </c>
      <c r="AA166" s="33">
        <f>IF(Y166=1,IF(ISNUMBER(Q166),N166-Q166,""),"")</f>
        <v/>
      </c>
      <c r="AB166" s="33">
        <f>IF(Y166=1,IF(AND(ISNUMBER(P166),ISNUMBER(R166)),R166*5/12-O166*(P166-R166),""),"")</f>
        <v/>
      </c>
      <c r="AC166" s="30">
        <f>IF(Y166=1,COUNTIFS($X$5:$X$404,X166,$V$5:$V$404,V166,$Y$5:$Y$404,1),"")</f>
        <v/>
      </c>
      <c r="AD166" s="30">
        <f>IF(Y166=1,IFERROR(IF(AC166&gt;='參數'!$B$9,INDEX('分群統計'!$G$13:$K$16,MATCH(X166,'分群統計'!$A$13:$A$16,0),MATCH(V166,'分群統計'!$G$12:$K$12,0)),INDEX('分群統計'!$I$5:$I$8,MATCH(X166,'分群統計'!$A$5:$A$8,0))),""),"")</f>
        <v/>
      </c>
      <c r="AE166" s="18">
        <f>IF(Y166=1,IFERROR(IF(AC166&gt;='參數'!$B$9,INDEX('分群統計'!$L$13:$P$16,MATCH(X166,'分群統計'!$A$13:$A$16,0),MATCH(V166,'分群統計'!$L$12:$P$12,0)),INDEX('分群統計'!$J$5:$J$8,MATCH(X166,'分群統計'!$A$5:$A$8,0))),""),"")</f>
        <v/>
      </c>
      <c r="AF166" s="31">
        <f>IF(ISNUMBER(AE166),IF(AE166&gt;0,MAX(-3,MIN(3,(N166-AD166)/AE166)),0),"")</f>
        <v/>
      </c>
      <c r="AG166" s="30">
        <f>IF(Y166=1,COUNTIFS($B$5:$B$404,B166,$Y$5:$Y$404,1),"")</f>
        <v/>
      </c>
      <c r="AH166" s="30">
        <f>IF(Y166=1,IFERROR(IF(ISNUMBER(INDEX('分群統計'!$G$20:$G$59,MATCH(B166,'分群統計'!$A$20:$A$59,0))),INDEX('分群統計'!$H$20:$H$59,MATCH(B166,'分群統計'!$A$20:$A$59,0))+INDEX('分群統計'!$G$20:$G$59,MATCH(B166,'分群統計'!$A$20:$A$59,0))*AU166,""),""),"")</f>
        <v/>
      </c>
      <c r="AI166" s="34">
        <f>IF(ISNUMBER(AH166),N166-AH166,"")</f>
        <v/>
      </c>
      <c r="AJ166" s="30">
        <f>IF(Y166=1,IFERROR(IF(ISNUMBER(INDEX('分群統計'!$G$5:$G$8,MATCH(X166,'分群統計'!$A$5:$A$8,0))),INDEX('分群統計'!$H$5:$H$8,MATCH(X166,'分群統計'!$A$5:$A$8,0))+INDEX('分群統計'!$G$5:$G$8,MATCH(X166,'分群統計'!$A$5:$A$8,0))*AU166,""),""),"")</f>
        <v/>
      </c>
      <c r="AK166" s="34">
        <f>IF(ISNUMBER(AJ166),N166-AJ166,"")</f>
        <v/>
      </c>
      <c r="AL166" s="21">
        <f>IF(ISNUMBER(AJ166),IF(AJ166&gt;0,AK166/AJ166,""),"")</f>
        <v/>
      </c>
      <c r="AM166" s="31">
        <f>IF(AY166&lt;&gt;1,"",IFERROR(IF(INDEX('分群統計'!$K$5:$K$8,MATCH(X166,'分群統計'!$A$5:$A$8,0))&lt;3,"",IF(INDEX('分群統計'!$M$5:$M$8,MATCH(X166,'分群統計'!$A$5:$A$8,0))&gt;0,MAX(-3,MIN(3,(AX166-INDEX('分群統計'!$L$5:$L$8,MATCH(X166,'分群統計'!$A$5:$A$8,0)))/INDEX('分群統計'!$M$5:$M$8,MATCH(X166,'分群統計'!$A$5:$A$8,0)))),0)),""))</f>
        <v/>
      </c>
      <c r="AN166" s="31">
        <f>IF(ISNUMBER(AB166),IF(Z166&gt;0,AB166/Z166*100,""),"")</f>
        <v/>
      </c>
      <c r="AO166" s="31">
        <f>IF(BA166&lt;&gt;1,"",IFERROR(IF(INDEX('分群統計'!$N$5:$N$8,MATCH(X166,'分群統計'!$A$5:$A$8,0))&lt;3,"",IF(INDEX('分群統計'!$P$5:$P$8,MATCH(X166,'分群統計'!$A$5:$A$8,0))&gt;0,MAX(-3,MIN(3,(AZ166-INDEX('分群統計'!$O$5:$O$8,MATCH(X166,'分群統計'!$A$5:$A$8,0)))/INDEX('分群統計'!$P$5:$P$8,MATCH(X166,'分群統計'!$A$5:$A$8,0)))),0)),""))</f>
        <v/>
      </c>
      <c r="AP166" s="31">
        <f>IF(BC166&lt;&gt;1,"",IFERROR(IF(INDEX('分群統計'!$Q$5:$Q$8,MATCH(X166,'分群統計'!$A$5:$A$8,0))&lt;3,"",IF(INDEX('分群統計'!$S$5:$S$8,MATCH(X166,'分群統計'!$A$5:$A$8,0))&gt;0,MAX(-3,MIN(3,(BB166-INDEX('分群統計'!$R$5:$R$8,MATCH(X166,'分群統計'!$A$5:$A$8,0)))/INDEX('分群統計'!$S$5:$S$8,MATCH(X166,'分群統計'!$A$5:$A$8,0)))),0)),""))</f>
        <v/>
      </c>
      <c r="AQ166" s="31">
        <f>IF(Y166=1,(IF(ISNUMBER(AF166),AF166,0)*'參數'!$B$13+IF(ISNUMBER(AM166),AM166,0)*'參數'!$B$14+IF(ISNUMBER(AO166),AO166,0)*'參數'!$B$15+IF(ISNUMBER(AP166),AP166,0)*'參數'!$B$16)/('參數'!$B$13+'參數'!$B$14+'參數'!$B$15+'參數'!$B$16),"")</f>
        <v/>
      </c>
      <c r="AR166" s="35">
        <f>IF(Y166=1,(SUMPRODUCT(($X$5:$X$404=X166)*($Y$5:$Y$404=1)*($BD$5:$BD$404&gt;BD166))+1)/COUNTIFS($X$5:$X$404,X166,$Y$5:$Y$404,1),"")</f>
        <v/>
      </c>
      <c r="AS166" s="8">
        <f>IF(ISNUMBER(AR166),IF(AR166&lt;='參數'!$B$18,"加碼候選",IF(AR166&gt;'參數'!$B$19,"減碼候選","")),"")</f>
        <v/>
      </c>
      <c r="AT166" s="7">
        <f>IF(Y166=1,N166,0)</f>
        <v/>
      </c>
      <c r="AU166" s="7">
        <f>IF(Y166=1,LN(O166),0)</f>
        <v/>
      </c>
      <c r="AV166" s="36">
        <f>IF(Y166=1,IF(ISNUMBER(F166),F166,0),0)</f>
        <v/>
      </c>
      <c r="AW166" s="7">
        <f>IF(Y166=1,Z166,0)</f>
        <v/>
      </c>
      <c r="AX166" s="7">
        <f>IF(Y166=1,IF(ISNUMBER(AL166),AL166,0),0)</f>
        <v/>
      </c>
      <c r="AY166" s="7">
        <f>IF(Y166=1,IF(ISNUMBER(AL166),1,0),0)</f>
        <v/>
      </c>
      <c r="AZ166" s="7">
        <f>IF(Y166=1,IF(ISNUMBER(AN166),AN166,0),0)</f>
        <v/>
      </c>
      <c r="BA166" s="7">
        <f>IF(Y166=1,IF(ISNUMBER(AN166),1,0),0)</f>
        <v/>
      </c>
      <c r="BB166" s="7">
        <f>IF(Y166=1,IF(ISNUMBER(T166),T166,0),0)</f>
        <v/>
      </c>
      <c r="BC166" s="7">
        <f>IF(Y166=1,IF(ISNUMBER(T166),1,0),0)</f>
        <v/>
      </c>
      <c r="BD166" s="7">
        <f>IF(Y166=1,AQ166+ROW()/1E9,-1E9)</f>
        <v/>
      </c>
      <c r="BE166" s="7">
        <f>IF(Y166=1,AQ166+ROW()/1E9,1E9)</f>
        <v/>
      </c>
    </row>
    <row r="167">
      <c r="A167" s="16" t="n"/>
      <c r="B167" s="8">
        <f>IF($A167="","",BDP($A167,B$3))</f>
        <v/>
      </c>
      <c r="C167" s="8">
        <f>IF($A167="","",BDP($A167,C$3))</f>
        <v/>
      </c>
      <c r="D167" s="28">
        <f>IF($A167="","",BDP($A167,D$3))</f>
        <v/>
      </c>
      <c r="E167" s="29">
        <f>IF($A167="","",BDP($A167,E$3))</f>
        <v/>
      </c>
      <c r="F167" s="17">
        <f>IF($A167="","",BDP($A167,F$3))</f>
        <v/>
      </c>
      <c r="G167" s="8">
        <f>IF($A167="","",BDP($A167,G$3))</f>
        <v/>
      </c>
      <c r="H167" s="8">
        <f>IF($A167="","",BDP($A167,H$3))</f>
        <v/>
      </c>
      <c r="I167" s="8">
        <f>IF($A167="","",BDP($A167,I$3))</f>
        <v/>
      </c>
      <c r="J167" s="8">
        <f>IF($A167="","",BDP($A167,J$3))</f>
        <v/>
      </c>
      <c r="K167" s="8">
        <f>IF($A167="","",BDP($A167,K$3))</f>
        <v/>
      </c>
      <c r="L167" s="28">
        <f>IF($A167="","",BDP($A167,L$3))</f>
        <v/>
      </c>
      <c r="M167" s="28">
        <f>IF($A167="","",BDP($A167,M$3))</f>
        <v/>
      </c>
      <c r="N167" s="30">
        <f>IF($A167="","",BDP($A167,N$3))</f>
        <v/>
      </c>
      <c r="O167" s="31">
        <f>IF($A167="","",BDP($A167,O$3))</f>
        <v/>
      </c>
      <c r="P167" s="30">
        <f>IF($A167="","",BDH($A167,$N$3,'參數'!$B$5,'參數'!$B$5,"Days=A","Fill=P","Dates=H"))</f>
        <v/>
      </c>
      <c r="Q167" s="30">
        <f>IF($A167="","",BDH($A167,$N$3,'參數'!$B$6,'參數'!$B$6,"Days=A","Fill=P","Dates=H"))</f>
        <v/>
      </c>
      <c r="R167" s="30">
        <f>IF($A167="","",BDH($A167,$N$3,'參數'!$B$7,'參數'!$B$7,"Days=A","Fill=P","Dates=H"))</f>
        <v/>
      </c>
      <c r="S167" s="32">
        <f>IF($A167="","",IFERROR(INDEX('發行人'!$A$5:$A$44,MATCH(B167,'發行人'!$D$5:$D$44,0)),"未對應"))</f>
        <v/>
      </c>
      <c r="T167" s="24">
        <f>IF($A167="","",IFERROR(INDEX('發行人'!$G$5:$G$44,MATCH(B167,'發行人'!$D$5:$D$44,0))+0,""))</f>
        <v/>
      </c>
      <c r="U167" s="18">
        <f>IF(ISNUMBER(E167),YEARFRAC('參數'!$B$4,E167),"")</f>
        <v/>
      </c>
      <c r="V167" s="8">
        <f>IF(U167="","",IF(U167&lt;3,"1-3y",IF(U167&lt;5,"3-5y",IF(U167&lt;7,"5-7y",IF(U167&lt;10,"7-10y","10y+")))))</f>
        <v/>
      </c>
      <c r="W167" s="30">
        <f>IF($A167="","",IFERROR(INDEX('參數'!$B$24:$B$45,MATCH(G167,'參數'!$A$24:$A$45,0)),""))</f>
        <v/>
      </c>
      <c r="X167" s="8">
        <f>IF($A167="","",IFERROR(INDEX('參數'!$C$24:$C$45,MATCH(G167,'參數'!$A$24:$A$45,0)),""))</f>
        <v/>
      </c>
      <c r="Y167" s="30">
        <f>IF(AND(ISNUMBER(N167),ISNUMBER(O167),ISNUMBER(U167)),IF(AND(O167&gt;0,X167&lt;&gt;""),1,0),0)</f>
        <v/>
      </c>
      <c r="Z167" s="17">
        <f>IF(Y167=1,O167*N167,"")</f>
        <v/>
      </c>
      <c r="AA167" s="33">
        <f>IF(Y167=1,IF(ISNUMBER(Q167),N167-Q167,""),"")</f>
        <v/>
      </c>
      <c r="AB167" s="33">
        <f>IF(Y167=1,IF(AND(ISNUMBER(P167),ISNUMBER(R167)),R167*5/12-O167*(P167-R167),""),"")</f>
        <v/>
      </c>
      <c r="AC167" s="30">
        <f>IF(Y167=1,COUNTIFS($X$5:$X$404,X167,$V$5:$V$404,V167,$Y$5:$Y$404,1),"")</f>
        <v/>
      </c>
      <c r="AD167" s="30">
        <f>IF(Y167=1,IFERROR(IF(AC167&gt;='參數'!$B$9,INDEX('分群統計'!$G$13:$K$16,MATCH(X167,'分群統計'!$A$13:$A$16,0),MATCH(V167,'分群統計'!$G$12:$K$12,0)),INDEX('分群統計'!$I$5:$I$8,MATCH(X167,'分群統計'!$A$5:$A$8,0))),""),"")</f>
        <v/>
      </c>
      <c r="AE167" s="18">
        <f>IF(Y167=1,IFERROR(IF(AC167&gt;='參數'!$B$9,INDEX('分群統計'!$L$13:$P$16,MATCH(X167,'分群統計'!$A$13:$A$16,0),MATCH(V167,'分群統計'!$L$12:$P$12,0)),INDEX('分群統計'!$J$5:$J$8,MATCH(X167,'分群統計'!$A$5:$A$8,0))),""),"")</f>
        <v/>
      </c>
      <c r="AF167" s="31">
        <f>IF(ISNUMBER(AE167),IF(AE167&gt;0,MAX(-3,MIN(3,(N167-AD167)/AE167)),0),"")</f>
        <v/>
      </c>
      <c r="AG167" s="30">
        <f>IF(Y167=1,COUNTIFS($B$5:$B$404,B167,$Y$5:$Y$404,1),"")</f>
        <v/>
      </c>
      <c r="AH167" s="30">
        <f>IF(Y167=1,IFERROR(IF(ISNUMBER(INDEX('分群統計'!$G$20:$G$59,MATCH(B167,'分群統計'!$A$20:$A$59,0))),INDEX('分群統計'!$H$20:$H$59,MATCH(B167,'分群統計'!$A$20:$A$59,0))+INDEX('分群統計'!$G$20:$G$59,MATCH(B167,'分群統計'!$A$20:$A$59,0))*AU167,""),""),"")</f>
        <v/>
      </c>
      <c r="AI167" s="34">
        <f>IF(ISNUMBER(AH167),N167-AH167,"")</f>
        <v/>
      </c>
      <c r="AJ167" s="30">
        <f>IF(Y167=1,IFERROR(IF(ISNUMBER(INDEX('分群統計'!$G$5:$G$8,MATCH(X167,'分群統計'!$A$5:$A$8,0))),INDEX('分群統計'!$H$5:$H$8,MATCH(X167,'分群統計'!$A$5:$A$8,0))+INDEX('分群統計'!$G$5:$G$8,MATCH(X167,'分群統計'!$A$5:$A$8,0))*AU167,""),""),"")</f>
        <v/>
      </c>
      <c r="AK167" s="34">
        <f>IF(ISNUMBER(AJ167),N167-AJ167,"")</f>
        <v/>
      </c>
      <c r="AL167" s="21">
        <f>IF(ISNUMBER(AJ167),IF(AJ167&gt;0,AK167/AJ167,""),"")</f>
        <v/>
      </c>
      <c r="AM167" s="31">
        <f>IF(AY167&lt;&gt;1,"",IFERROR(IF(INDEX('分群統計'!$K$5:$K$8,MATCH(X167,'分群統計'!$A$5:$A$8,0))&lt;3,"",IF(INDEX('分群統計'!$M$5:$M$8,MATCH(X167,'分群統計'!$A$5:$A$8,0))&gt;0,MAX(-3,MIN(3,(AX167-INDEX('分群統計'!$L$5:$L$8,MATCH(X167,'分群統計'!$A$5:$A$8,0)))/INDEX('分群統計'!$M$5:$M$8,MATCH(X167,'分群統計'!$A$5:$A$8,0)))),0)),""))</f>
        <v/>
      </c>
      <c r="AN167" s="31">
        <f>IF(ISNUMBER(AB167),IF(Z167&gt;0,AB167/Z167*100,""),"")</f>
        <v/>
      </c>
      <c r="AO167" s="31">
        <f>IF(BA167&lt;&gt;1,"",IFERROR(IF(INDEX('分群統計'!$N$5:$N$8,MATCH(X167,'分群統計'!$A$5:$A$8,0))&lt;3,"",IF(INDEX('分群統計'!$P$5:$P$8,MATCH(X167,'分群統計'!$A$5:$A$8,0))&gt;0,MAX(-3,MIN(3,(AZ167-INDEX('分群統計'!$O$5:$O$8,MATCH(X167,'分群統計'!$A$5:$A$8,0)))/INDEX('分群統計'!$P$5:$P$8,MATCH(X167,'分群統計'!$A$5:$A$8,0)))),0)),""))</f>
        <v/>
      </c>
      <c r="AP167" s="31">
        <f>IF(BC167&lt;&gt;1,"",IFERROR(IF(INDEX('分群統計'!$Q$5:$Q$8,MATCH(X167,'分群統計'!$A$5:$A$8,0))&lt;3,"",IF(INDEX('分群統計'!$S$5:$S$8,MATCH(X167,'分群統計'!$A$5:$A$8,0))&gt;0,MAX(-3,MIN(3,(BB167-INDEX('分群統計'!$R$5:$R$8,MATCH(X167,'分群統計'!$A$5:$A$8,0)))/INDEX('分群統計'!$S$5:$S$8,MATCH(X167,'分群統計'!$A$5:$A$8,0)))),0)),""))</f>
        <v/>
      </c>
      <c r="AQ167" s="31">
        <f>IF(Y167=1,(IF(ISNUMBER(AF167),AF167,0)*'參數'!$B$13+IF(ISNUMBER(AM167),AM167,0)*'參數'!$B$14+IF(ISNUMBER(AO167),AO167,0)*'參數'!$B$15+IF(ISNUMBER(AP167),AP167,0)*'參數'!$B$16)/('參數'!$B$13+'參數'!$B$14+'參數'!$B$15+'參數'!$B$16),"")</f>
        <v/>
      </c>
      <c r="AR167" s="35">
        <f>IF(Y167=1,(SUMPRODUCT(($X$5:$X$404=X167)*($Y$5:$Y$404=1)*($BD$5:$BD$404&gt;BD167))+1)/COUNTIFS($X$5:$X$404,X167,$Y$5:$Y$404,1),"")</f>
        <v/>
      </c>
      <c r="AS167" s="8">
        <f>IF(ISNUMBER(AR167),IF(AR167&lt;='參數'!$B$18,"加碼候選",IF(AR167&gt;'參數'!$B$19,"減碼候選","")),"")</f>
        <v/>
      </c>
      <c r="AT167" s="7">
        <f>IF(Y167=1,N167,0)</f>
        <v/>
      </c>
      <c r="AU167" s="7">
        <f>IF(Y167=1,LN(O167),0)</f>
        <v/>
      </c>
      <c r="AV167" s="36">
        <f>IF(Y167=1,IF(ISNUMBER(F167),F167,0),0)</f>
        <v/>
      </c>
      <c r="AW167" s="7">
        <f>IF(Y167=1,Z167,0)</f>
        <v/>
      </c>
      <c r="AX167" s="7">
        <f>IF(Y167=1,IF(ISNUMBER(AL167),AL167,0),0)</f>
        <v/>
      </c>
      <c r="AY167" s="7">
        <f>IF(Y167=1,IF(ISNUMBER(AL167),1,0),0)</f>
        <v/>
      </c>
      <c r="AZ167" s="7">
        <f>IF(Y167=1,IF(ISNUMBER(AN167),AN167,0),0)</f>
        <v/>
      </c>
      <c r="BA167" s="7">
        <f>IF(Y167=1,IF(ISNUMBER(AN167),1,0),0)</f>
        <v/>
      </c>
      <c r="BB167" s="7">
        <f>IF(Y167=1,IF(ISNUMBER(T167),T167,0),0)</f>
        <v/>
      </c>
      <c r="BC167" s="7">
        <f>IF(Y167=1,IF(ISNUMBER(T167),1,0),0)</f>
        <v/>
      </c>
      <c r="BD167" s="7">
        <f>IF(Y167=1,AQ167+ROW()/1E9,-1E9)</f>
        <v/>
      </c>
      <c r="BE167" s="7">
        <f>IF(Y167=1,AQ167+ROW()/1E9,1E9)</f>
        <v/>
      </c>
    </row>
    <row r="168">
      <c r="A168" s="16" t="n"/>
      <c r="B168" s="8">
        <f>IF($A168="","",BDP($A168,B$3))</f>
        <v/>
      </c>
      <c r="C168" s="8">
        <f>IF($A168="","",BDP($A168,C$3))</f>
        <v/>
      </c>
      <c r="D168" s="28">
        <f>IF($A168="","",BDP($A168,D$3))</f>
        <v/>
      </c>
      <c r="E168" s="29">
        <f>IF($A168="","",BDP($A168,E$3))</f>
        <v/>
      </c>
      <c r="F168" s="17">
        <f>IF($A168="","",BDP($A168,F$3))</f>
        <v/>
      </c>
      <c r="G168" s="8">
        <f>IF($A168="","",BDP($A168,G$3))</f>
        <v/>
      </c>
      <c r="H168" s="8">
        <f>IF($A168="","",BDP($A168,H$3))</f>
        <v/>
      </c>
      <c r="I168" s="8">
        <f>IF($A168="","",BDP($A168,I$3))</f>
        <v/>
      </c>
      <c r="J168" s="8">
        <f>IF($A168="","",BDP($A168,J$3))</f>
        <v/>
      </c>
      <c r="K168" s="8">
        <f>IF($A168="","",BDP($A168,K$3))</f>
        <v/>
      </c>
      <c r="L168" s="28">
        <f>IF($A168="","",BDP($A168,L$3))</f>
        <v/>
      </c>
      <c r="M168" s="28">
        <f>IF($A168="","",BDP($A168,M$3))</f>
        <v/>
      </c>
      <c r="N168" s="30">
        <f>IF($A168="","",BDP($A168,N$3))</f>
        <v/>
      </c>
      <c r="O168" s="31">
        <f>IF($A168="","",BDP($A168,O$3))</f>
        <v/>
      </c>
      <c r="P168" s="30">
        <f>IF($A168="","",BDH($A168,$N$3,'參數'!$B$5,'參數'!$B$5,"Days=A","Fill=P","Dates=H"))</f>
        <v/>
      </c>
      <c r="Q168" s="30">
        <f>IF($A168="","",BDH($A168,$N$3,'參數'!$B$6,'參數'!$B$6,"Days=A","Fill=P","Dates=H"))</f>
        <v/>
      </c>
      <c r="R168" s="30">
        <f>IF($A168="","",BDH($A168,$N$3,'參數'!$B$7,'參數'!$B$7,"Days=A","Fill=P","Dates=H"))</f>
        <v/>
      </c>
      <c r="S168" s="32">
        <f>IF($A168="","",IFERROR(INDEX('發行人'!$A$5:$A$44,MATCH(B168,'發行人'!$D$5:$D$44,0)),"未對應"))</f>
        <v/>
      </c>
      <c r="T168" s="24">
        <f>IF($A168="","",IFERROR(INDEX('發行人'!$G$5:$G$44,MATCH(B168,'發行人'!$D$5:$D$44,0))+0,""))</f>
        <v/>
      </c>
      <c r="U168" s="18">
        <f>IF(ISNUMBER(E168),YEARFRAC('參數'!$B$4,E168),"")</f>
        <v/>
      </c>
      <c r="V168" s="8">
        <f>IF(U168="","",IF(U168&lt;3,"1-3y",IF(U168&lt;5,"3-5y",IF(U168&lt;7,"5-7y",IF(U168&lt;10,"7-10y","10y+")))))</f>
        <v/>
      </c>
      <c r="W168" s="30">
        <f>IF($A168="","",IFERROR(INDEX('參數'!$B$24:$B$45,MATCH(G168,'參數'!$A$24:$A$45,0)),""))</f>
        <v/>
      </c>
      <c r="X168" s="8">
        <f>IF($A168="","",IFERROR(INDEX('參數'!$C$24:$C$45,MATCH(G168,'參數'!$A$24:$A$45,0)),""))</f>
        <v/>
      </c>
      <c r="Y168" s="30">
        <f>IF(AND(ISNUMBER(N168),ISNUMBER(O168),ISNUMBER(U168)),IF(AND(O168&gt;0,X168&lt;&gt;""),1,0),0)</f>
        <v/>
      </c>
      <c r="Z168" s="17">
        <f>IF(Y168=1,O168*N168,"")</f>
        <v/>
      </c>
      <c r="AA168" s="33">
        <f>IF(Y168=1,IF(ISNUMBER(Q168),N168-Q168,""),"")</f>
        <v/>
      </c>
      <c r="AB168" s="33">
        <f>IF(Y168=1,IF(AND(ISNUMBER(P168),ISNUMBER(R168)),R168*5/12-O168*(P168-R168),""),"")</f>
        <v/>
      </c>
      <c r="AC168" s="30">
        <f>IF(Y168=1,COUNTIFS($X$5:$X$404,X168,$V$5:$V$404,V168,$Y$5:$Y$404,1),"")</f>
        <v/>
      </c>
      <c r="AD168" s="30">
        <f>IF(Y168=1,IFERROR(IF(AC168&gt;='參數'!$B$9,INDEX('分群統計'!$G$13:$K$16,MATCH(X168,'分群統計'!$A$13:$A$16,0),MATCH(V168,'分群統計'!$G$12:$K$12,0)),INDEX('分群統計'!$I$5:$I$8,MATCH(X168,'分群統計'!$A$5:$A$8,0))),""),"")</f>
        <v/>
      </c>
      <c r="AE168" s="18">
        <f>IF(Y168=1,IFERROR(IF(AC168&gt;='參數'!$B$9,INDEX('分群統計'!$L$13:$P$16,MATCH(X168,'分群統計'!$A$13:$A$16,0),MATCH(V168,'分群統計'!$L$12:$P$12,0)),INDEX('分群統計'!$J$5:$J$8,MATCH(X168,'分群統計'!$A$5:$A$8,0))),""),"")</f>
        <v/>
      </c>
      <c r="AF168" s="31">
        <f>IF(ISNUMBER(AE168),IF(AE168&gt;0,MAX(-3,MIN(3,(N168-AD168)/AE168)),0),"")</f>
        <v/>
      </c>
      <c r="AG168" s="30">
        <f>IF(Y168=1,COUNTIFS($B$5:$B$404,B168,$Y$5:$Y$404,1),"")</f>
        <v/>
      </c>
      <c r="AH168" s="30">
        <f>IF(Y168=1,IFERROR(IF(ISNUMBER(INDEX('分群統計'!$G$20:$G$59,MATCH(B168,'分群統計'!$A$20:$A$59,0))),INDEX('分群統計'!$H$20:$H$59,MATCH(B168,'分群統計'!$A$20:$A$59,0))+INDEX('分群統計'!$G$20:$G$59,MATCH(B168,'分群統計'!$A$20:$A$59,0))*AU168,""),""),"")</f>
        <v/>
      </c>
      <c r="AI168" s="34">
        <f>IF(ISNUMBER(AH168),N168-AH168,"")</f>
        <v/>
      </c>
      <c r="AJ168" s="30">
        <f>IF(Y168=1,IFERROR(IF(ISNUMBER(INDEX('分群統計'!$G$5:$G$8,MATCH(X168,'分群統計'!$A$5:$A$8,0))),INDEX('分群統計'!$H$5:$H$8,MATCH(X168,'分群統計'!$A$5:$A$8,0))+INDEX('分群統計'!$G$5:$G$8,MATCH(X168,'分群統計'!$A$5:$A$8,0))*AU168,""),""),"")</f>
        <v/>
      </c>
      <c r="AK168" s="34">
        <f>IF(ISNUMBER(AJ168),N168-AJ168,"")</f>
        <v/>
      </c>
      <c r="AL168" s="21">
        <f>IF(ISNUMBER(AJ168),IF(AJ168&gt;0,AK168/AJ168,""),"")</f>
        <v/>
      </c>
      <c r="AM168" s="31">
        <f>IF(AY168&lt;&gt;1,"",IFERROR(IF(INDEX('分群統計'!$K$5:$K$8,MATCH(X168,'分群統計'!$A$5:$A$8,0))&lt;3,"",IF(INDEX('分群統計'!$M$5:$M$8,MATCH(X168,'分群統計'!$A$5:$A$8,0))&gt;0,MAX(-3,MIN(3,(AX168-INDEX('分群統計'!$L$5:$L$8,MATCH(X168,'分群統計'!$A$5:$A$8,0)))/INDEX('分群統計'!$M$5:$M$8,MATCH(X168,'分群統計'!$A$5:$A$8,0)))),0)),""))</f>
        <v/>
      </c>
      <c r="AN168" s="31">
        <f>IF(ISNUMBER(AB168),IF(Z168&gt;0,AB168/Z168*100,""),"")</f>
        <v/>
      </c>
      <c r="AO168" s="31">
        <f>IF(BA168&lt;&gt;1,"",IFERROR(IF(INDEX('分群統計'!$N$5:$N$8,MATCH(X168,'分群統計'!$A$5:$A$8,0))&lt;3,"",IF(INDEX('分群統計'!$P$5:$P$8,MATCH(X168,'分群統計'!$A$5:$A$8,0))&gt;0,MAX(-3,MIN(3,(AZ168-INDEX('分群統計'!$O$5:$O$8,MATCH(X168,'分群統計'!$A$5:$A$8,0)))/INDEX('分群統計'!$P$5:$P$8,MATCH(X168,'分群統計'!$A$5:$A$8,0)))),0)),""))</f>
        <v/>
      </c>
      <c r="AP168" s="31">
        <f>IF(BC168&lt;&gt;1,"",IFERROR(IF(INDEX('分群統計'!$Q$5:$Q$8,MATCH(X168,'分群統計'!$A$5:$A$8,0))&lt;3,"",IF(INDEX('分群統計'!$S$5:$S$8,MATCH(X168,'分群統計'!$A$5:$A$8,0))&gt;0,MAX(-3,MIN(3,(BB168-INDEX('分群統計'!$R$5:$R$8,MATCH(X168,'分群統計'!$A$5:$A$8,0)))/INDEX('分群統計'!$S$5:$S$8,MATCH(X168,'分群統計'!$A$5:$A$8,0)))),0)),""))</f>
        <v/>
      </c>
      <c r="AQ168" s="31">
        <f>IF(Y168=1,(IF(ISNUMBER(AF168),AF168,0)*'參數'!$B$13+IF(ISNUMBER(AM168),AM168,0)*'參數'!$B$14+IF(ISNUMBER(AO168),AO168,0)*'參數'!$B$15+IF(ISNUMBER(AP168),AP168,0)*'參數'!$B$16)/('參數'!$B$13+'參數'!$B$14+'參數'!$B$15+'參數'!$B$16),"")</f>
        <v/>
      </c>
      <c r="AR168" s="35">
        <f>IF(Y168=1,(SUMPRODUCT(($X$5:$X$404=X168)*($Y$5:$Y$404=1)*($BD$5:$BD$404&gt;BD168))+1)/COUNTIFS($X$5:$X$404,X168,$Y$5:$Y$404,1),"")</f>
        <v/>
      </c>
      <c r="AS168" s="8">
        <f>IF(ISNUMBER(AR168),IF(AR168&lt;='參數'!$B$18,"加碼候選",IF(AR168&gt;'參數'!$B$19,"減碼候選","")),"")</f>
        <v/>
      </c>
      <c r="AT168" s="7">
        <f>IF(Y168=1,N168,0)</f>
        <v/>
      </c>
      <c r="AU168" s="7">
        <f>IF(Y168=1,LN(O168),0)</f>
        <v/>
      </c>
      <c r="AV168" s="36">
        <f>IF(Y168=1,IF(ISNUMBER(F168),F168,0),0)</f>
        <v/>
      </c>
      <c r="AW168" s="7">
        <f>IF(Y168=1,Z168,0)</f>
        <v/>
      </c>
      <c r="AX168" s="7">
        <f>IF(Y168=1,IF(ISNUMBER(AL168),AL168,0),0)</f>
        <v/>
      </c>
      <c r="AY168" s="7">
        <f>IF(Y168=1,IF(ISNUMBER(AL168),1,0),0)</f>
        <v/>
      </c>
      <c r="AZ168" s="7">
        <f>IF(Y168=1,IF(ISNUMBER(AN168),AN168,0),0)</f>
        <v/>
      </c>
      <c r="BA168" s="7">
        <f>IF(Y168=1,IF(ISNUMBER(AN168),1,0),0)</f>
        <v/>
      </c>
      <c r="BB168" s="7">
        <f>IF(Y168=1,IF(ISNUMBER(T168),T168,0),0)</f>
        <v/>
      </c>
      <c r="BC168" s="7">
        <f>IF(Y168=1,IF(ISNUMBER(T168),1,0),0)</f>
        <v/>
      </c>
      <c r="BD168" s="7">
        <f>IF(Y168=1,AQ168+ROW()/1E9,-1E9)</f>
        <v/>
      </c>
      <c r="BE168" s="7">
        <f>IF(Y168=1,AQ168+ROW()/1E9,1E9)</f>
        <v/>
      </c>
    </row>
    <row r="169">
      <c r="A169" s="16" t="n"/>
      <c r="B169" s="8">
        <f>IF($A169="","",BDP($A169,B$3))</f>
        <v/>
      </c>
      <c r="C169" s="8">
        <f>IF($A169="","",BDP($A169,C$3))</f>
        <v/>
      </c>
      <c r="D169" s="28">
        <f>IF($A169="","",BDP($A169,D$3))</f>
        <v/>
      </c>
      <c r="E169" s="29">
        <f>IF($A169="","",BDP($A169,E$3))</f>
        <v/>
      </c>
      <c r="F169" s="17">
        <f>IF($A169="","",BDP($A169,F$3))</f>
        <v/>
      </c>
      <c r="G169" s="8">
        <f>IF($A169="","",BDP($A169,G$3))</f>
        <v/>
      </c>
      <c r="H169" s="8">
        <f>IF($A169="","",BDP($A169,H$3))</f>
        <v/>
      </c>
      <c r="I169" s="8">
        <f>IF($A169="","",BDP($A169,I$3))</f>
        <v/>
      </c>
      <c r="J169" s="8">
        <f>IF($A169="","",BDP($A169,J$3))</f>
        <v/>
      </c>
      <c r="K169" s="8">
        <f>IF($A169="","",BDP($A169,K$3))</f>
        <v/>
      </c>
      <c r="L169" s="28">
        <f>IF($A169="","",BDP($A169,L$3))</f>
        <v/>
      </c>
      <c r="M169" s="28">
        <f>IF($A169="","",BDP($A169,M$3))</f>
        <v/>
      </c>
      <c r="N169" s="30">
        <f>IF($A169="","",BDP($A169,N$3))</f>
        <v/>
      </c>
      <c r="O169" s="31">
        <f>IF($A169="","",BDP($A169,O$3))</f>
        <v/>
      </c>
      <c r="P169" s="30">
        <f>IF($A169="","",BDH($A169,$N$3,'參數'!$B$5,'參數'!$B$5,"Days=A","Fill=P","Dates=H"))</f>
        <v/>
      </c>
      <c r="Q169" s="30">
        <f>IF($A169="","",BDH($A169,$N$3,'參數'!$B$6,'參數'!$B$6,"Days=A","Fill=P","Dates=H"))</f>
        <v/>
      </c>
      <c r="R169" s="30">
        <f>IF($A169="","",BDH($A169,$N$3,'參數'!$B$7,'參數'!$B$7,"Days=A","Fill=P","Dates=H"))</f>
        <v/>
      </c>
      <c r="S169" s="32">
        <f>IF($A169="","",IFERROR(INDEX('發行人'!$A$5:$A$44,MATCH(B169,'發行人'!$D$5:$D$44,0)),"未對應"))</f>
        <v/>
      </c>
      <c r="T169" s="24">
        <f>IF($A169="","",IFERROR(INDEX('發行人'!$G$5:$G$44,MATCH(B169,'發行人'!$D$5:$D$44,0))+0,""))</f>
        <v/>
      </c>
      <c r="U169" s="18">
        <f>IF(ISNUMBER(E169),YEARFRAC('參數'!$B$4,E169),"")</f>
        <v/>
      </c>
      <c r="V169" s="8">
        <f>IF(U169="","",IF(U169&lt;3,"1-3y",IF(U169&lt;5,"3-5y",IF(U169&lt;7,"5-7y",IF(U169&lt;10,"7-10y","10y+")))))</f>
        <v/>
      </c>
      <c r="W169" s="30">
        <f>IF($A169="","",IFERROR(INDEX('參數'!$B$24:$B$45,MATCH(G169,'參數'!$A$24:$A$45,0)),""))</f>
        <v/>
      </c>
      <c r="X169" s="8">
        <f>IF($A169="","",IFERROR(INDEX('參數'!$C$24:$C$45,MATCH(G169,'參數'!$A$24:$A$45,0)),""))</f>
        <v/>
      </c>
      <c r="Y169" s="30">
        <f>IF(AND(ISNUMBER(N169),ISNUMBER(O169),ISNUMBER(U169)),IF(AND(O169&gt;0,X169&lt;&gt;""),1,0),0)</f>
        <v/>
      </c>
      <c r="Z169" s="17">
        <f>IF(Y169=1,O169*N169,"")</f>
        <v/>
      </c>
      <c r="AA169" s="33">
        <f>IF(Y169=1,IF(ISNUMBER(Q169),N169-Q169,""),"")</f>
        <v/>
      </c>
      <c r="AB169" s="33">
        <f>IF(Y169=1,IF(AND(ISNUMBER(P169),ISNUMBER(R169)),R169*5/12-O169*(P169-R169),""),"")</f>
        <v/>
      </c>
      <c r="AC169" s="30">
        <f>IF(Y169=1,COUNTIFS($X$5:$X$404,X169,$V$5:$V$404,V169,$Y$5:$Y$404,1),"")</f>
        <v/>
      </c>
      <c r="AD169" s="30">
        <f>IF(Y169=1,IFERROR(IF(AC169&gt;='參數'!$B$9,INDEX('分群統計'!$G$13:$K$16,MATCH(X169,'分群統計'!$A$13:$A$16,0),MATCH(V169,'分群統計'!$G$12:$K$12,0)),INDEX('分群統計'!$I$5:$I$8,MATCH(X169,'分群統計'!$A$5:$A$8,0))),""),"")</f>
        <v/>
      </c>
      <c r="AE169" s="18">
        <f>IF(Y169=1,IFERROR(IF(AC169&gt;='參數'!$B$9,INDEX('分群統計'!$L$13:$P$16,MATCH(X169,'分群統計'!$A$13:$A$16,0),MATCH(V169,'分群統計'!$L$12:$P$12,0)),INDEX('分群統計'!$J$5:$J$8,MATCH(X169,'分群統計'!$A$5:$A$8,0))),""),"")</f>
        <v/>
      </c>
      <c r="AF169" s="31">
        <f>IF(ISNUMBER(AE169),IF(AE169&gt;0,MAX(-3,MIN(3,(N169-AD169)/AE169)),0),"")</f>
        <v/>
      </c>
      <c r="AG169" s="30">
        <f>IF(Y169=1,COUNTIFS($B$5:$B$404,B169,$Y$5:$Y$404,1),"")</f>
        <v/>
      </c>
      <c r="AH169" s="30">
        <f>IF(Y169=1,IFERROR(IF(ISNUMBER(INDEX('分群統計'!$G$20:$G$59,MATCH(B169,'分群統計'!$A$20:$A$59,0))),INDEX('分群統計'!$H$20:$H$59,MATCH(B169,'分群統計'!$A$20:$A$59,0))+INDEX('分群統計'!$G$20:$G$59,MATCH(B169,'分群統計'!$A$20:$A$59,0))*AU169,""),""),"")</f>
        <v/>
      </c>
      <c r="AI169" s="34">
        <f>IF(ISNUMBER(AH169),N169-AH169,"")</f>
        <v/>
      </c>
      <c r="AJ169" s="30">
        <f>IF(Y169=1,IFERROR(IF(ISNUMBER(INDEX('分群統計'!$G$5:$G$8,MATCH(X169,'分群統計'!$A$5:$A$8,0))),INDEX('分群統計'!$H$5:$H$8,MATCH(X169,'分群統計'!$A$5:$A$8,0))+INDEX('分群統計'!$G$5:$G$8,MATCH(X169,'分群統計'!$A$5:$A$8,0))*AU169,""),""),"")</f>
        <v/>
      </c>
      <c r="AK169" s="34">
        <f>IF(ISNUMBER(AJ169),N169-AJ169,"")</f>
        <v/>
      </c>
      <c r="AL169" s="21">
        <f>IF(ISNUMBER(AJ169),IF(AJ169&gt;0,AK169/AJ169,""),"")</f>
        <v/>
      </c>
      <c r="AM169" s="31">
        <f>IF(AY169&lt;&gt;1,"",IFERROR(IF(INDEX('分群統計'!$K$5:$K$8,MATCH(X169,'分群統計'!$A$5:$A$8,0))&lt;3,"",IF(INDEX('分群統計'!$M$5:$M$8,MATCH(X169,'分群統計'!$A$5:$A$8,0))&gt;0,MAX(-3,MIN(3,(AX169-INDEX('分群統計'!$L$5:$L$8,MATCH(X169,'分群統計'!$A$5:$A$8,0)))/INDEX('分群統計'!$M$5:$M$8,MATCH(X169,'分群統計'!$A$5:$A$8,0)))),0)),""))</f>
        <v/>
      </c>
      <c r="AN169" s="31">
        <f>IF(ISNUMBER(AB169),IF(Z169&gt;0,AB169/Z169*100,""),"")</f>
        <v/>
      </c>
      <c r="AO169" s="31">
        <f>IF(BA169&lt;&gt;1,"",IFERROR(IF(INDEX('分群統計'!$N$5:$N$8,MATCH(X169,'分群統計'!$A$5:$A$8,0))&lt;3,"",IF(INDEX('分群統計'!$P$5:$P$8,MATCH(X169,'分群統計'!$A$5:$A$8,0))&gt;0,MAX(-3,MIN(3,(AZ169-INDEX('分群統計'!$O$5:$O$8,MATCH(X169,'分群統計'!$A$5:$A$8,0)))/INDEX('分群統計'!$P$5:$P$8,MATCH(X169,'分群統計'!$A$5:$A$8,0)))),0)),""))</f>
        <v/>
      </c>
      <c r="AP169" s="31">
        <f>IF(BC169&lt;&gt;1,"",IFERROR(IF(INDEX('分群統計'!$Q$5:$Q$8,MATCH(X169,'分群統計'!$A$5:$A$8,0))&lt;3,"",IF(INDEX('分群統計'!$S$5:$S$8,MATCH(X169,'分群統計'!$A$5:$A$8,0))&gt;0,MAX(-3,MIN(3,(BB169-INDEX('分群統計'!$R$5:$R$8,MATCH(X169,'分群統計'!$A$5:$A$8,0)))/INDEX('分群統計'!$S$5:$S$8,MATCH(X169,'分群統計'!$A$5:$A$8,0)))),0)),""))</f>
        <v/>
      </c>
      <c r="AQ169" s="31">
        <f>IF(Y169=1,(IF(ISNUMBER(AF169),AF169,0)*'參數'!$B$13+IF(ISNUMBER(AM169),AM169,0)*'參數'!$B$14+IF(ISNUMBER(AO169),AO169,0)*'參數'!$B$15+IF(ISNUMBER(AP169),AP169,0)*'參數'!$B$16)/('參數'!$B$13+'參數'!$B$14+'參數'!$B$15+'參數'!$B$16),"")</f>
        <v/>
      </c>
      <c r="AR169" s="35">
        <f>IF(Y169=1,(SUMPRODUCT(($X$5:$X$404=X169)*($Y$5:$Y$404=1)*($BD$5:$BD$404&gt;BD169))+1)/COUNTIFS($X$5:$X$404,X169,$Y$5:$Y$404,1),"")</f>
        <v/>
      </c>
      <c r="AS169" s="8">
        <f>IF(ISNUMBER(AR169),IF(AR169&lt;='參數'!$B$18,"加碼候選",IF(AR169&gt;'參數'!$B$19,"減碼候選","")),"")</f>
        <v/>
      </c>
      <c r="AT169" s="7">
        <f>IF(Y169=1,N169,0)</f>
        <v/>
      </c>
      <c r="AU169" s="7">
        <f>IF(Y169=1,LN(O169),0)</f>
        <v/>
      </c>
      <c r="AV169" s="36">
        <f>IF(Y169=1,IF(ISNUMBER(F169),F169,0),0)</f>
        <v/>
      </c>
      <c r="AW169" s="7">
        <f>IF(Y169=1,Z169,0)</f>
        <v/>
      </c>
      <c r="AX169" s="7">
        <f>IF(Y169=1,IF(ISNUMBER(AL169),AL169,0),0)</f>
        <v/>
      </c>
      <c r="AY169" s="7">
        <f>IF(Y169=1,IF(ISNUMBER(AL169),1,0),0)</f>
        <v/>
      </c>
      <c r="AZ169" s="7">
        <f>IF(Y169=1,IF(ISNUMBER(AN169),AN169,0),0)</f>
        <v/>
      </c>
      <c r="BA169" s="7">
        <f>IF(Y169=1,IF(ISNUMBER(AN169),1,0),0)</f>
        <v/>
      </c>
      <c r="BB169" s="7">
        <f>IF(Y169=1,IF(ISNUMBER(T169),T169,0),0)</f>
        <v/>
      </c>
      <c r="BC169" s="7">
        <f>IF(Y169=1,IF(ISNUMBER(T169),1,0),0)</f>
        <v/>
      </c>
      <c r="BD169" s="7">
        <f>IF(Y169=1,AQ169+ROW()/1E9,-1E9)</f>
        <v/>
      </c>
      <c r="BE169" s="7">
        <f>IF(Y169=1,AQ169+ROW()/1E9,1E9)</f>
        <v/>
      </c>
    </row>
    <row r="170">
      <c r="A170" s="16" t="n"/>
      <c r="B170" s="8">
        <f>IF($A170="","",BDP($A170,B$3))</f>
        <v/>
      </c>
      <c r="C170" s="8">
        <f>IF($A170="","",BDP($A170,C$3))</f>
        <v/>
      </c>
      <c r="D170" s="28">
        <f>IF($A170="","",BDP($A170,D$3))</f>
        <v/>
      </c>
      <c r="E170" s="29">
        <f>IF($A170="","",BDP($A170,E$3))</f>
        <v/>
      </c>
      <c r="F170" s="17">
        <f>IF($A170="","",BDP($A170,F$3))</f>
        <v/>
      </c>
      <c r="G170" s="8">
        <f>IF($A170="","",BDP($A170,G$3))</f>
        <v/>
      </c>
      <c r="H170" s="8">
        <f>IF($A170="","",BDP($A170,H$3))</f>
        <v/>
      </c>
      <c r="I170" s="8">
        <f>IF($A170="","",BDP($A170,I$3))</f>
        <v/>
      </c>
      <c r="J170" s="8">
        <f>IF($A170="","",BDP($A170,J$3))</f>
        <v/>
      </c>
      <c r="K170" s="8">
        <f>IF($A170="","",BDP($A170,K$3))</f>
        <v/>
      </c>
      <c r="L170" s="28">
        <f>IF($A170="","",BDP($A170,L$3))</f>
        <v/>
      </c>
      <c r="M170" s="28">
        <f>IF($A170="","",BDP($A170,M$3))</f>
        <v/>
      </c>
      <c r="N170" s="30">
        <f>IF($A170="","",BDP($A170,N$3))</f>
        <v/>
      </c>
      <c r="O170" s="31">
        <f>IF($A170="","",BDP($A170,O$3))</f>
        <v/>
      </c>
      <c r="P170" s="30">
        <f>IF($A170="","",BDH($A170,$N$3,'參數'!$B$5,'參數'!$B$5,"Days=A","Fill=P","Dates=H"))</f>
        <v/>
      </c>
      <c r="Q170" s="30">
        <f>IF($A170="","",BDH($A170,$N$3,'參數'!$B$6,'參數'!$B$6,"Days=A","Fill=P","Dates=H"))</f>
        <v/>
      </c>
      <c r="R170" s="30">
        <f>IF($A170="","",BDH($A170,$N$3,'參數'!$B$7,'參數'!$B$7,"Days=A","Fill=P","Dates=H"))</f>
        <v/>
      </c>
      <c r="S170" s="32">
        <f>IF($A170="","",IFERROR(INDEX('發行人'!$A$5:$A$44,MATCH(B170,'發行人'!$D$5:$D$44,0)),"未對應"))</f>
        <v/>
      </c>
      <c r="T170" s="24">
        <f>IF($A170="","",IFERROR(INDEX('發行人'!$G$5:$G$44,MATCH(B170,'發行人'!$D$5:$D$44,0))+0,""))</f>
        <v/>
      </c>
      <c r="U170" s="18">
        <f>IF(ISNUMBER(E170),YEARFRAC('參數'!$B$4,E170),"")</f>
        <v/>
      </c>
      <c r="V170" s="8">
        <f>IF(U170="","",IF(U170&lt;3,"1-3y",IF(U170&lt;5,"3-5y",IF(U170&lt;7,"5-7y",IF(U170&lt;10,"7-10y","10y+")))))</f>
        <v/>
      </c>
      <c r="W170" s="30">
        <f>IF($A170="","",IFERROR(INDEX('參數'!$B$24:$B$45,MATCH(G170,'參數'!$A$24:$A$45,0)),""))</f>
        <v/>
      </c>
      <c r="X170" s="8">
        <f>IF($A170="","",IFERROR(INDEX('參數'!$C$24:$C$45,MATCH(G170,'參數'!$A$24:$A$45,0)),""))</f>
        <v/>
      </c>
      <c r="Y170" s="30">
        <f>IF(AND(ISNUMBER(N170),ISNUMBER(O170),ISNUMBER(U170)),IF(AND(O170&gt;0,X170&lt;&gt;""),1,0),0)</f>
        <v/>
      </c>
      <c r="Z170" s="17">
        <f>IF(Y170=1,O170*N170,"")</f>
        <v/>
      </c>
      <c r="AA170" s="33">
        <f>IF(Y170=1,IF(ISNUMBER(Q170),N170-Q170,""),"")</f>
        <v/>
      </c>
      <c r="AB170" s="33">
        <f>IF(Y170=1,IF(AND(ISNUMBER(P170),ISNUMBER(R170)),R170*5/12-O170*(P170-R170),""),"")</f>
        <v/>
      </c>
      <c r="AC170" s="30">
        <f>IF(Y170=1,COUNTIFS($X$5:$X$404,X170,$V$5:$V$404,V170,$Y$5:$Y$404,1),"")</f>
        <v/>
      </c>
      <c r="AD170" s="30">
        <f>IF(Y170=1,IFERROR(IF(AC170&gt;='參數'!$B$9,INDEX('分群統計'!$G$13:$K$16,MATCH(X170,'分群統計'!$A$13:$A$16,0),MATCH(V170,'分群統計'!$G$12:$K$12,0)),INDEX('分群統計'!$I$5:$I$8,MATCH(X170,'分群統計'!$A$5:$A$8,0))),""),"")</f>
        <v/>
      </c>
      <c r="AE170" s="18">
        <f>IF(Y170=1,IFERROR(IF(AC170&gt;='參數'!$B$9,INDEX('分群統計'!$L$13:$P$16,MATCH(X170,'分群統計'!$A$13:$A$16,0),MATCH(V170,'分群統計'!$L$12:$P$12,0)),INDEX('分群統計'!$J$5:$J$8,MATCH(X170,'分群統計'!$A$5:$A$8,0))),""),"")</f>
        <v/>
      </c>
      <c r="AF170" s="31">
        <f>IF(ISNUMBER(AE170),IF(AE170&gt;0,MAX(-3,MIN(3,(N170-AD170)/AE170)),0),"")</f>
        <v/>
      </c>
      <c r="AG170" s="30">
        <f>IF(Y170=1,COUNTIFS($B$5:$B$404,B170,$Y$5:$Y$404,1),"")</f>
        <v/>
      </c>
      <c r="AH170" s="30">
        <f>IF(Y170=1,IFERROR(IF(ISNUMBER(INDEX('分群統計'!$G$20:$G$59,MATCH(B170,'分群統計'!$A$20:$A$59,0))),INDEX('分群統計'!$H$20:$H$59,MATCH(B170,'分群統計'!$A$20:$A$59,0))+INDEX('分群統計'!$G$20:$G$59,MATCH(B170,'分群統計'!$A$20:$A$59,0))*AU170,""),""),"")</f>
        <v/>
      </c>
      <c r="AI170" s="34">
        <f>IF(ISNUMBER(AH170),N170-AH170,"")</f>
        <v/>
      </c>
      <c r="AJ170" s="30">
        <f>IF(Y170=1,IFERROR(IF(ISNUMBER(INDEX('分群統計'!$G$5:$G$8,MATCH(X170,'分群統計'!$A$5:$A$8,0))),INDEX('分群統計'!$H$5:$H$8,MATCH(X170,'分群統計'!$A$5:$A$8,0))+INDEX('分群統計'!$G$5:$G$8,MATCH(X170,'分群統計'!$A$5:$A$8,0))*AU170,""),""),"")</f>
        <v/>
      </c>
      <c r="AK170" s="34">
        <f>IF(ISNUMBER(AJ170),N170-AJ170,"")</f>
        <v/>
      </c>
      <c r="AL170" s="21">
        <f>IF(ISNUMBER(AJ170),IF(AJ170&gt;0,AK170/AJ170,""),"")</f>
        <v/>
      </c>
      <c r="AM170" s="31">
        <f>IF(AY170&lt;&gt;1,"",IFERROR(IF(INDEX('分群統計'!$K$5:$K$8,MATCH(X170,'分群統計'!$A$5:$A$8,0))&lt;3,"",IF(INDEX('分群統計'!$M$5:$M$8,MATCH(X170,'分群統計'!$A$5:$A$8,0))&gt;0,MAX(-3,MIN(3,(AX170-INDEX('分群統計'!$L$5:$L$8,MATCH(X170,'分群統計'!$A$5:$A$8,0)))/INDEX('分群統計'!$M$5:$M$8,MATCH(X170,'分群統計'!$A$5:$A$8,0)))),0)),""))</f>
        <v/>
      </c>
      <c r="AN170" s="31">
        <f>IF(ISNUMBER(AB170),IF(Z170&gt;0,AB170/Z170*100,""),"")</f>
        <v/>
      </c>
      <c r="AO170" s="31">
        <f>IF(BA170&lt;&gt;1,"",IFERROR(IF(INDEX('分群統計'!$N$5:$N$8,MATCH(X170,'分群統計'!$A$5:$A$8,0))&lt;3,"",IF(INDEX('分群統計'!$P$5:$P$8,MATCH(X170,'分群統計'!$A$5:$A$8,0))&gt;0,MAX(-3,MIN(3,(AZ170-INDEX('分群統計'!$O$5:$O$8,MATCH(X170,'分群統計'!$A$5:$A$8,0)))/INDEX('分群統計'!$P$5:$P$8,MATCH(X170,'分群統計'!$A$5:$A$8,0)))),0)),""))</f>
        <v/>
      </c>
      <c r="AP170" s="31">
        <f>IF(BC170&lt;&gt;1,"",IFERROR(IF(INDEX('分群統計'!$Q$5:$Q$8,MATCH(X170,'分群統計'!$A$5:$A$8,0))&lt;3,"",IF(INDEX('分群統計'!$S$5:$S$8,MATCH(X170,'分群統計'!$A$5:$A$8,0))&gt;0,MAX(-3,MIN(3,(BB170-INDEX('分群統計'!$R$5:$R$8,MATCH(X170,'分群統計'!$A$5:$A$8,0)))/INDEX('分群統計'!$S$5:$S$8,MATCH(X170,'分群統計'!$A$5:$A$8,0)))),0)),""))</f>
        <v/>
      </c>
      <c r="AQ170" s="31">
        <f>IF(Y170=1,(IF(ISNUMBER(AF170),AF170,0)*'參數'!$B$13+IF(ISNUMBER(AM170),AM170,0)*'參數'!$B$14+IF(ISNUMBER(AO170),AO170,0)*'參數'!$B$15+IF(ISNUMBER(AP170),AP170,0)*'參數'!$B$16)/('參數'!$B$13+'參數'!$B$14+'參數'!$B$15+'參數'!$B$16),"")</f>
        <v/>
      </c>
      <c r="AR170" s="35">
        <f>IF(Y170=1,(SUMPRODUCT(($X$5:$X$404=X170)*($Y$5:$Y$404=1)*($BD$5:$BD$404&gt;BD170))+1)/COUNTIFS($X$5:$X$404,X170,$Y$5:$Y$404,1),"")</f>
        <v/>
      </c>
      <c r="AS170" s="8">
        <f>IF(ISNUMBER(AR170),IF(AR170&lt;='參數'!$B$18,"加碼候選",IF(AR170&gt;'參數'!$B$19,"減碼候選","")),"")</f>
        <v/>
      </c>
      <c r="AT170" s="7">
        <f>IF(Y170=1,N170,0)</f>
        <v/>
      </c>
      <c r="AU170" s="7">
        <f>IF(Y170=1,LN(O170),0)</f>
        <v/>
      </c>
      <c r="AV170" s="36">
        <f>IF(Y170=1,IF(ISNUMBER(F170),F170,0),0)</f>
        <v/>
      </c>
      <c r="AW170" s="7">
        <f>IF(Y170=1,Z170,0)</f>
        <v/>
      </c>
      <c r="AX170" s="7">
        <f>IF(Y170=1,IF(ISNUMBER(AL170),AL170,0),0)</f>
        <v/>
      </c>
      <c r="AY170" s="7">
        <f>IF(Y170=1,IF(ISNUMBER(AL170),1,0),0)</f>
        <v/>
      </c>
      <c r="AZ170" s="7">
        <f>IF(Y170=1,IF(ISNUMBER(AN170),AN170,0),0)</f>
        <v/>
      </c>
      <c r="BA170" s="7">
        <f>IF(Y170=1,IF(ISNUMBER(AN170),1,0),0)</f>
        <v/>
      </c>
      <c r="BB170" s="7">
        <f>IF(Y170=1,IF(ISNUMBER(T170),T170,0),0)</f>
        <v/>
      </c>
      <c r="BC170" s="7">
        <f>IF(Y170=1,IF(ISNUMBER(T170),1,0),0)</f>
        <v/>
      </c>
      <c r="BD170" s="7">
        <f>IF(Y170=1,AQ170+ROW()/1E9,-1E9)</f>
        <v/>
      </c>
      <c r="BE170" s="7">
        <f>IF(Y170=1,AQ170+ROW()/1E9,1E9)</f>
        <v/>
      </c>
    </row>
    <row r="171">
      <c r="A171" s="16" t="n"/>
      <c r="B171" s="8">
        <f>IF($A171="","",BDP($A171,B$3))</f>
        <v/>
      </c>
      <c r="C171" s="8">
        <f>IF($A171="","",BDP($A171,C$3))</f>
        <v/>
      </c>
      <c r="D171" s="28">
        <f>IF($A171="","",BDP($A171,D$3))</f>
        <v/>
      </c>
      <c r="E171" s="29">
        <f>IF($A171="","",BDP($A171,E$3))</f>
        <v/>
      </c>
      <c r="F171" s="17">
        <f>IF($A171="","",BDP($A171,F$3))</f>
        <v/>
      </c>
      <c r="G171" s="8">
        <f>IF($A171="","",BDP($A171,G$3))</f>
        <v/>
      </c>
      <c r="H171" s="8">
        <f>IF($A171="","",BDP($A171,H$3))</f>
        <v/>
      </c>
      <c r="I171" s="8">
        <f>IF($A171="","",BDP($A171,I$3))</f>
        <v/>
      </c>
      <c r="J171" s="8">
        <f>IF($A171="","",BDP($A171,J$3))</f>
        <v/>
      </c>
      <c r="K171" s="8">
        <f>IF($A171="","",BDP($A171,K$3))</f>
        <v/>
      </c>
      <c r="L171" s="28">
        <f>IF($A171="","",BDP($A171,L$3))</f>
        <v/>
      </c>
      <c r="M171" s="28">
        <f>IF($A171="","",BDP($A171,M$3))</f>
        <v/>
      </c>
      <c r="N171" s="30">
        <f>IF($A171="","",BDP($A171,N$3))</f>
        <v/>
      </c>
      <c r="O171" s="31">
        <f>IF($A171="","",BDP($A171,O$3))</f>
        <v/>
      </c>
      <c r="P171" s="30">
        <f>IF($A171="","",BDH($A171,$N$3,'參數'!$B$5,'參數'!$B$5,"Days=A","Fill=P","Dates=H"))</f>
        <v/>
      </c>
      <c r="Q171" s="30">
        <f>IF($A171="","",BDH($A171,$N$3,'參數'!$B$6,'參數'!$B$6,"Days=A","Fill=P","Dates=H"))</f>
        <v/>
      </c>
      <c r="R171" s="30">
        <f>IF($A171="","",BDH($A171,$N$3,'參數'!$B$7,'參數'!$B$7,"Days=A","Fill=P","Dates=H"))</f>
        <v/>
      </c>
      <c r="S171" s="32">
        <f>IF($A171="","",IFERROR(INDEX('發行人'!$A$5:$A$44,MATCH(B171,'發行人'!$D$5:$D$44,0)),"未對應"))</f>
        <v/>
      </c>
      <c r="T171" s="24">
        <f>IF($A171="","",IFERROR(INDEX('發行人'!$G$5:$G$44,MATCH(B171,'發行人'!$D$5:$D$44,0))+0,""))</f>
        <v/>
      </c>
      <c r="U171" s="18">
        <f>IF(ISNUMBER(E171),YEARFRAC('參數'!$B$4,E171),"")</f>
        <v/>
      </c>
      <c r="V171" s="8">
        <f>IF(U171="","",IF(U171&lt;3,"1-3y",IF(U171&lt;5,"3-5y",IF(U171&lt;7,"5-7y",IF(U171&lt;10,"7-10y","10y+")))))</f>
        <v/>
      </c>
      <c r="W171" s="30">
        <f>IF($A171="","",IFERROR(INDEX('參數'!$B$24:$B$45,MATCH(G171,'參數'!$A$24:$A$45,0)),""))</f>
        <v/>
      </c>
      <c r="X171" s="8">
        <f>IF($A171="","",IFERROR(INDEX('參數'!$C$24:$C$45,MATCH(G171,'參數'!$A$24:$A$45,0)),""))</f>
        <v/>
      </c>
      <c r="Y171" s="30">
        <f>IF(AND(ISNUMBER(N171),ISNUMBER(O171),ISNUMBER(U171)),IF(AND(O171&gt;0,X171&lt;&gt;""),1,0),0)</f>
        <v/>
      </c>
      <c r="Z171" s="17">
        <f>IF(Y171=1,O171*N171,"")</f>
        <v/>
      </c>
      <c r="AA171" s="33">
        <f>IF(Y171=1,IF(ISNUMBER(Q171),N171-Q171,""),"")</f>
        <v/>
      </c>
      <c r="AB171" s="33">
        <f>IF(Y171=1,IF(AND(ISNUMBER(P171),ISNUMBER(R171)),R171*5/12-O171*(P171-R171),""),"")</f>
        <v/>
      </c>
      <c r="AC171" s="30">
        <f>IF(Y171=1,COUNTIFS($X$5:$X$404,X171,$V$5:$V$404,V171,$Y$5:$Y$404,1),"")</f>
        <v/>
      </c>
      <c r="AD171" s="30">
        <f>IF(Y171=1,IFERROR(IF(AC171&gt;='參數'!$B$9,INDEX('分群統計'!$G$13:$K$16,MATCH(X171,'分群統計'!$A$13:$A$16,0),MATCH(V171,'分群統計'!$G$12:$K$12,0)),INDEX('分群統計'!$I$5:$I$8,MATCH(X171,'分群統計'!$A$5:$A$8,0))),""),"")</f>
        <v/>
      </c>
      <c r="AE171" s="18">
        <f>IF(Y171=1,IFERROR(IF(AC171&gt;='參數'!$B$9,INDEX('分群統計'!$L$13:$P$16,MATCH(X171,'分群統計'!$A$13:$A$16,0),MATCH(V171,'分群統計'!$L$12:$P$12,0)),INDEX('分群統計'!$J$5:$J$8,MATCH(X171,'分群統計'!$A$5:$A$8,0))),""),"")</f>
        <v/>
      </c>
      <c r="AF171" s="31">
        <f>IF(ISNUMBER(AE171),IF(AE171&gt;0,MAX(-3,MIN(3,(N171-AD171)/AE171)),0),"")</f>
        <v/>
      </c>
      <c r="AG171" s="30">
        <f>IF(Y171=1,COUNTIFS($B$5:$B$404,B171,$Y$5:$Y$404,1),"")</f>
        <v/>
      </c>
      <c r="AH171" s="30">
        <f>IF(Y171=1,IFERROR(IF(ISNUMBER(INDEX('分群統計'!$G$20:$G$59,MATCH(B171,'分群統計'!$A$20:$A$59,0))),INDEX('分群統計'!$H$20:$H$59,MATCH(B171,'分群統計'!$A$20:$A$59,0))+INDEX('分群統計'!$G$20:$G$59,MATCH(B171,'分群統計'!$A$20:$A$59,0))*AU171,""),""),"")</f>
        <v/>
      </c>
      <c r="AI171" s="34">
        <f>IF(ISNUMBER(AH171),N171-AH171,"")</f>
        <v/>
      </c>
      <c r="AJ171" s="30">
        <f>IF(Y171=1,IFERROR(IF(ISNUMBER(INDEX('分群統計'!$G$5:$G$8,MATCH(X171,'分群統計'!$A$5:$A$8,0))),INDEX('分群統計'!$H$5:$H$8,MATCH(X171,'分群統計'!$A$5:$A$8,0))+INDEX('分群統計'!$G$5:$G$8,MATCH(X171,'分群統計'!$A$5:$A$8,0))*AU171,""),""),"")</f>
        <v/>
      </c>
      <c r="AK171" s="34">
        <f>IF(ISNUMBER(AJ171),N171-AJ171,"")</f>
        <v/>
      </c>
      <c r="AL171" s="21">
        <f>IF(ISNUMBER(AJ171),IF(AJ171&gt;0,AK171/AJ171,""),"")</f>
        <v/>
      </c>
      <c r="AM171" s="31">
        <f>IF(AY171&lt;&gt;1,"",IFERROR(IF(INDEX('分群統計'!$K$5:$K$8,MATCH(X171,'分群統計'!$A$5:$A$8,0))&lt;3,"",IF(INDEX('分群統計'!$M$5:$M$8,MATCH(X171,'分群統計'!$A$5:$A$8,0))&gt;0,MAX(-3,MIN(3,(AX171-INDEX('分群統計'!$L$5:$L$8,MATCH(X171,'分群統計'!$A$5:$A$8,0)))/INDEX('分群統計'!$M$5:$M$8,MATCH(X171,'分群統計'!$A$5:$A$8,0)))),0)),""))</f>
        <v/>
      </c>
      <c r="AN171" s="31">
        <f>IF(ISNUMBER(AB171),IF(Z171&gt;0,AB171/Z171*100,""),"")</f>
        <v/>
      </c>
      <c r="AO171" s="31">
        <f>IF(BA171&lt;&gt;1,"",IFERROR(IF(INDEX('分群統計'!$N$5:$N$8,MATCH(X171,'分群統計'!$A$5:$A$8,0))&lt;3,"",IF(INDEX('分群統計'!$P$5:$P$8,MATCH(X171,'分群統計'!$A$5:$A$8,0))&gt;0,MAX(-3,MIN(3,(AZ171-INDEX('分群統計'!$O$5:$O$8,MATCH(X171,'分群統計'!$A$5:$A$8,0)))/INDEX('分群統計'!$P$5:$P$8,MATCH(X171,'分群統計'!$A$5:$A$8,0)))),0)),""))</f>
        <v/>
      </c>
      <c r="AP171" s="31">
        <f>IF(BC171&lt;&gt;1,"",IFERROR(IF(INDEX('分群統計'!$Q$5:$Q$8,MATCH(X171,'分群統計'!$A$5:$A$8,0))&lt;3,"",IF(INDEX('分群統計'!$S$5:$S$8,MATCH(X171,'分群統計'!$A$5:$A$8,0))&gt;0,MAX(-3,MIN(3,(BB171-INDEX('分群統計'!$R$5:$R$8,MATCH(X171,'分群統計'!$A$5:$A$8,0)))/INDEX('分群統計'!$S$5:$S$8,MATCH(X171,'分群統計'!$A$5:$A$8,0)))),0)),""))</f>
        <v/>
      </c>
      <c r="AQ171" s="31">
        <f>IF(Y171=1,(IF(ISNUMBER(AF171),AF171,0)*'參數'!$B$13+IF(ISNUMBER(AM171),AM171,0)*'參數'!$B$14+IF(ISNUMBER(AO171),AO171,0)*'參數'!$B$15+IF(ISNUMBER(AP171),AP171,0)*'參數'!$B$16)/('參數'!$B$13+'參數'!$B$14+'參數'!$B$15+'參數'!$B$16),"")</f>
        <v/>
      </c>
      <c r="AR171" s="35">
        <f>IF(Y171=1,(SUMPRODUCT(($X$5:$X$404=X171)*($Y$5:$Y$404=1)*($BD$5:$BD$404&gt;BD171))+1)/COUNTIFS($X$5:$X$404,X171,$Y$5:$Y$404,1),"")</f>
        <v/>
      </c>
      <c r="AS171" s="8">
        <f>IF(ISNUMBER(AR171),IF(AR171&lt;='參數'!$B$18,"加碼候選",IF(AR171&gt;'參數'!$B$19,"減碼候選","")),"")</f>
        <v/>
      </c>
      <c r="AT171" s="7">
        <f>IF(Y171=1,N171,0)</f>
        <v/>
      </c>
      <c r="AU171" s="7">
        <f>IF(Y171=1,LN(O171),0)</f>
        <v/>
      </c>
      <c r="AV171" s="36">
        <f>IF(Y171=1,IF(ISNUMBER(F171),F171,0),0)</f>
        <v/>
      </c>
      <c r="AW171" s="7">
        <f>IF(Y171=1,Z171,0)</f>
        <v/>
      </c>
      <c r="AX171" s="7">
        <f>IF(Y171=1,IF(ISNUMBER(AL171),AL171,0),0)</f>
        <v/>
      </c>
      <c r="AY171" s="7">
        <f>IF(Y171=1,IF(ISNUMBER(AL171),1,0),0)</f>
        <v/>
      </c>
      <c r="AZ171" s="7">
        <f>IF(Y171=1,IF(ISNUMBER(AN171),AN171,0),0)</f>
        <v/>
      </c>
      <c r="BA171" s="7">
        <f>IF(Y171=1,IF(ISNUMBER(AN171),1,0),0)</f>
        <v/>
      </c>
      <c r="BB171" s="7">
        <f>IF(Y171=1,IF(ISNUMBER(T171),T171,0),0)</f>
        <v/>
      </c>
      <c r="BC171" s="7">
        <f>IF(Y171=1,IF(ISNUMBER(T171),1,0),0)</f>
        <v/>
      </c>
      <c r="BD171" s="7">
        <f>IF(Y171=1,AQ171+ROW()/1E9,-1E9)</f>
        <v/>
      </c>
      <c r="BE171" s="7">
        <f>IF(Y171=1,AQ171+ROW()/1E9,1E9)</f>
        <v/>
      </c>
    </row>
    <row r="172">
      <c r="A172" s="16" t="n"/>
      <c r="B172" s="8">
        <f>IF($A172="","",BDP($A172,B$3))</f>
        <v/>
      </c>
      <c r="C172" s="8">
        <f>IF($A172="","",BDP($A172,C$3))</f>
        <v/>
      </c>
      <c r="D172" s="28">
        <f>IF($A172="","",BDP($A172,D$3))</f>
        <v/>
      </c>
      <c r="E172" s="29">
        <f>IF($A172="","",BDP($A172,E$3))</f>
        <v/>
      </c>
      <c r="F172" s="17">
        <f>IF($A172="","",BDP($A172,F$3))</f>
        <v/>
      </c>
      <c r="G172" s="8">
        <f>IF($A172="","",BDP($A172,G$3))</f>
        <v/>
      </c>
      <c r="H172" s="8">
        <f>IF($A172="","",BDP($A172,H$3))</f>
        <v/>
      </c>
      <c r="I172" s="8">
        <f>IF($A172="","",BDP($A172,I$3))</f>
        <v/>
      </c>
      <c r="J172" s="8">
        <f>IF($A172="","",BDP($A172,J$3))</f>
        <v/>
      </c>
      <c r="K172" s="8">
        <f>IF($A172="","",BDP($A172,K$3))</f>
        <v/>
      </c>
      <c r="L172" s="28">
        <f>IF($A172="","",BDP($A172,L$3))</f>
        <v/>
      </c>
      <c r="M172" s="28">
        <f>IF($A172="","",BDP($A172,M$3))</f>
        <v/>
      </c>
      <c r="N172" s="30">
        <f>IF($A172="","",BDP($A172,N$3))</f>
        <v/>
      </c>
      <c r="O172" s="31">
        <f>IF($A172="","",BDP($A172,O$3))</f>
        <v/>
      </c>
      <c r="P172" s="30">
        <f>IF($A172="","",BDH($A172,$N$3,'參數'!$B$5,'參數'!$B$5,"Days=A","Fill=P","Dates=H"))</f>
        <v/>
      </c>
      <c r="Q172" s="30">
        <f>IF($A172="","",BDH($A172,$N$3,'參數'!$B$6,'參數'!$B$6,"Days=A","Fill=P","Dates=H"))</f>
        <v/>
      </c>
      <c r="R172" s="30">
        <f>IF($A172="","",BDH($A172,$N$3,'參數'!$B$7,'參數'!$B$7,"Days=A","Fill=P","Dates=H"))</f>
        <v/>
      </c>
      <c r="S172" s="32">
        <f>IF($A172="","",IFERROR(INDEX('發行人'!$A$5:$A$44,MATCH(B172,'發行人'!$D$5:$D$44,0)),"未對應"))</f>
        <v/>
      </c>
      <c r="T172" s="24">
        <f>IF($A172="","",IFERROR(INDEX('發行人'!$G$5:$G$44,MATCH(B172,'發行人'!$D$5:$D$44,0))+0,""))</f>
        <v/>
      </c>
      <c r="U172" s="18">
        <f>IF(ISNUMBER(E172),YEARFRAC('參數'!$B$4,E172),"")</f>
        <v/>
      </c>
      <c r="V172" s="8">
        <f>IF(U172="","",IF(U172&lt;3,"1-3y",IF(U172&lt;5,"3-5y",IF(U172&lt;7,"5-7y",IF(U172&lt;10,"7-10y","10y+")))))</f>
        <v/>
      </c>
      <c r="W172" s="30">
        <f>IF($A172="","",IFERROR(INDEX('參數'!$B$24:$B$45,MATCH(G172,'參數'!$A$24:$A$45,0)),""))</f>
        <v/>
      </c>
      <c r="X172" s="8">
        <f>IF($A172="","",IFERROR(INDEX('參數'!$C$24:$C$45,MATCH(G172,'參數'!$A$24:$A$45,0)),""))</f>
        <v/>
      </c>
      <c r="Y172" s="30">
        <f>IF(AND(ISNUMBER(N172),ISNUMBER(O172),ISNUMBER(U172)),IF(AND(O172&gt;0,X172&lt;&gt;""),1,0),0)</f>
        <v/>
      </c>
      <c r="Z172" s="17">
        <f>IF(Y172=1,O172*N172,"")</f>
        <v/>
      </c>
      <c r="AA172" s="33">
        <f>IF(Y172=1,IF(ISNUMBER(Q172),N172-Q172,""),"")</f>
        <v/>
      </c>
      <c r="AB172" s="33">
        <f>IF(Y172=1,IF(AND(ISNUMBER(P172),ISNUMBER(R172)),R172*5/12-O172*(P172-R172),""),"")</f>
        <v/>
      </c>
      <c r="AC172" s="30">
        <f>IF(Y172=1,COUNTIFS($X$5:$X$404,X172,$V$5:$V$404,V172,$Y$5:$Y$404,1),"")</f>
        <v/>
      </c>
      <c r="AD172" s="30">
        <f>IF(Y172=1,IFERROR(IF(AC172&gt;='參數'!$B$9,INDEX('分群統計'!$G$13:$K$16,MATCH(X172,'分群統計'!$A$13:$A$16,0),MATCH(V172,'分群統計'!$G$12:$K$12,0)),INDEX('分群統計'!$I$5:$I$8,MATCH(X172,'分群統計'!$A$5:$A$8,0))),""),"")</f>
        <v/>
      </c>
      <c r="AE172" s="18">
        <f>IF(Y172=1,IFERROR(IF(AC172&gt;='參數'!$B$9,INDEX('分群統計'!$L$13:$P$16,MATCH(X172,'分群統計'!$A$13:$A$16,0),MATCH(V172,'分群統計'!$L$12:$P$12,0)),INDEX('分群統計'!$J$5:$J$8,MATCH(X172,'分群統計'!$A$5:$A$8,0))),""),"")</f>
        <v/>
      </c>
      <c r="AF172" s="31">
        <f>IF(ISNUMBER(AE172),IF(AE172&gt;0,MAX(-3,MIN(3,(N172-AD172)/AE172)),0),"")</f>
        <v/>
      </c>
      <c r="AG172" s="30">
        <f>IF(Y172=1,COUNTIFS($B$5:$B$404,B172,$Y$5:$Y$404,1),"")</f>
        <v/>
      </c>
      <c r="AH172" s="30">
        <f>IF(Y172=1,IFERROR(IF(ISNUMBER(INDEX('分群統計'!$G$20:$G$59,MATCH(B172,'分群統計'!$A$20:$A$59,0))),INDEX('分群統計'!$H$20:$H$59,MATCH(B172,'分群統計'!$A$20:$A$59,0))+INDEX('分群統計'!$G$20:$G$59,MATCH(B172,'分群統計'!$A$20:$A$59,0))*AU172,""),""),"")</f>
        <v/>
      </c>
      <c r="AI172" s="34">
        <f>IF(ISNUMBER(AH172),N172-AH172,"")</f>
        <v/>
      </c>
      <c r="AJ172" s="30">
        <f>IF(Y172=1,IFERROR(IF(ISNUMBER(INDEX('分群統計'!$G$5:$G$8,MATCH(X172,'分群統計'!$A$5:$A$8,0))),INDEX('分群統計'!$H$5:$H$8,MATCH(X172,'分群統計'!$A$5:$A$8,0))+INDEX('分群統計'!$G$5:$G$8,MATCH(X172,'分群統計'!$A$5:$A$8,0))*AU172,""),""),"")</f>
        <v/>
      </c>
      <c r="AK172" s="34">
        <f>IF(ISNUMBER(AJ172),N172-AJ172,"")</f>
        <v/>
      </c>
      <c r="AL172" s="21">
        <f>IF(ISNUMBER(AJ172),IF(AJ172&gt;0,AK172/AJ172,""),"")</f>
        <v/>
      </c>
      <c r="AM172" s="31">
        <f>IF(AY172&lt;&gt;1,"",IFERROR(IF(INDEX('分群統計'!$K$5:$K$8,MATCH(X172,'分群統計'!$A$5:$A$8,0))&lt;3,"",IF(INDEX('分群統計'!$M$5:$M$8,MATCH(X172,'分群統計'!$A$5:$A$8,0))&gt;0,MAX(-3,MIN(3,(AX172-INDEX('分群統計'!$L$5:$L$8,MATCH(X172,'分群統計'!$A$5:$A$8,0)))/INDEX('分群統計'!$M$5:$M$8,MATCH(X172,'分群統計'!$A$5:$A$8,0)))),0)),""))</f>
        <v/>
      </c>
      <c r="AN172" s="31">
        <f>IF(ISNUMBER(AB172),IF(Z172&gt;0,AB172/Z172*100,""),"")</f>
        <v/>
      </c>
      <c r="AO172" s="31">
        <f>IF(BA172&lt;&gt;1,"",IFERROR(IF(INDEX('分群統計'!$N$5:$N$8,MATCH(X172,'分群統計'!$A$5:$A$8,0))&lt;3,"",IF(INDEX('分群統計'!$P$5:$P$8,MATCH(X172,'分群統計'!$A$5:$A$8,0))&gt;0,MAX(-3,MIN(3,(AZ172-INDEX('分群統計'!$O$5:$O$8,MATCH(X172,'分群統計'!$A$5:$A$8,0)))/INDEX('分群統計'!$P$5:$P$8,MATCH(X172,'分群統計'!$A$5:$A$8,0)))),0)),""))</f>
        <v/>
      </c>
      <c r="AP172" s="31">
        <f>IF(BC172&lt;&gt;1,"",IFERROR(IF(INDEX('分群統計'!$Q$5:$Q$8,MATCH(X172,'分群統計'!$A$5:$A$8,0))&lt;3,"",IF(INDEX('分群統計'!$S$5:$S$8,MATCH(X172,'分群統計'!$A$5:$A$8,0))&gt;0,MAX(-3,MIN(3,(BB172-INDEX('分群統計'!$R$5:$R$8,MATCH(X172,'分群統計'!$A$5:$A$8,0)))/INDEX('分群統計'!$S$5:$S$8,MATCH(X172,'分群統計'!$A$5:$A$8,0)))),0)),""))</f>
        <v/>
      </c>
      <c r="AQ172" s="31">
        <f>IF(Y172=1,(IF(ISNUMBER(AF172),AF172,0)*'參數'!$B$13+IF(ISNUMBER(AM172),AM172,0)*'參數'!$B$14+IF(ISNUMBER(AO172),AO172,0)*'參數'!$B$15+IF(ISNUMBER(AP172),AP172,0)*'參數'!$B$16)/('參數'!$B$13+'參數'!$B$14+'參數'!$B$15+'參數'!$B$16),"")</f>
        <v/>
      </c>
      <c r="AR172" s="35">
        <f>IF(Y172=1,(SUMPRODUCT(($X$5:$X$404=X172)*($Y$5:$Y$404=1)*($BD$5:$BD$404&gt;BD172))+1)/COUNTIFS($X$5:$X$404,X172,$Y$5:$Y$404,1),"")</f>
        <v/>
      </c>
      <c r="AS172" s="8">
        <f>IF(ISNUMBER(AR172),IF(AR172&lt;='參數'!$B$18,"加碼候選",IF(AR172&gt;'參數'!$B$19,"減碼候選","")),"")</f>
        <v/>
      </c>
      <c r="AT172" s="7">
        <f>IF(Y172=1,N172,0)</f>
        <v/>
      </c>
      <c r="AU172" s="7">
        <f>IF(Y172=1,LN(O172),0)</f>
        <v/>
      </c>
      <c r="AV172" s="36">
        <f>IF(Y172=1,IF(ISNUMBER(F172),F172,0),0)</f>
        <v/>
      </c>
      <c r="AW172" s="7">
        <f>IF(Y172=1,Z172,0)</f>
        <v/>
      </c>
      <c r="AX172" s="7">
        <f>IF(Y172=1,IF(ISNUMBER(AL172),AL172,0),0)</f>
        <v/>
      </c>
      <c r="AY172" s="7">
        <f>IF(Y172=1,IF(ISNUMBER(AL172),1,0),0)</f>
        <v/>
      </c>
      <c r="AZ172" s="7">
        <f>IF(Y172=1,IF(ISNUMBER(AN172),AN172,0),0)</f>
        <v/>
      </c>
      <c r="BA172" s="7">
        <f>IF(Y172=1,IF(ISNUMBER(AN172),1,0),0)</f>
        <v/>
      </c>
      <c r="BB172" s="7">
        <f>IF(Y172=1,IF(ISNUMBER(T172),T172,0),0)</f>
        <v/>
      </c>
      <c r="BC172" s="7">
        <f>IF(Y172=1,IF(ISNUMBER(T172),1,0),0)</f>
        <v/>
      </c>
      <c r="BD172" s="7">
        <f>IF(Y172=1,AQ172+ROW()/1E9,-1E9)</f>
        <v/>
      </c>
      <c r="BE172" s="7">
        <f>IF(Y172=1,AQ172+ROW()/1E9,1E9)</f>
        <v/>
      </c>
    </row>
    <row r="173">
      <c r="A173" s="16" t="n"/>
      <c r="B173" s="8">
        <f>IF($A173="","",BDP($A173,B$3))</f>
        <v/>
      </c>
      <c r="C173" s="8">
        <f>IF($A173="","",BDP($A173,C$3))</f>
        <v/>
      </c>
      <c r="D173" s="28">
        <f>IF($A173="","",BDP($A173,D$3))</f>
        <v/>
      </c>
      <c r="E173" s="29">
        <f>IF($A173="","",BDP($A173,E$3))</f>
        <v/>
      </c>
      <c r="F173" s="17">
        <f>IF($A173="","",BDP($A173,F$3))</f>
        <v/>
      </c>
      <c r="G173" s="8">
        <f>IF($A173="","",BDP($A173,G$3))</f>
        <v/>
      </c>
      <c r="H173" s="8">
        <f>IF($A173="","",BDP($A173,H$3))</f>
        <v/>
      </c>
      <c r="I173" s="8">
        <f>IF($A173="","",BDP($A173,I$3))</f>
        <v/>
      </c>
      <c r="J173" s="8">
        <f>IF($A173="","",BDP($A173,J$3))</f>
        <v/>
      </c>
      <c r="K173" s="8">
        <f>IF($A173="","",BDP($A173,K$3))</f>
        <v/>
      </c>
      <c r="L173" s="28">
        <f>IF($A173="","",BDP($A173,L$3))</f>
        <v/>
      </c>
      <c r="M173" s="28">
        <f>IF($A173="","",BDP($A173,M$3))</f>
        <v/>
      </c>
      <c r="N173" s="30">
        <f>IF($A173="","",BDP($A173,N$3))</f>
        <v/>
      </c>
      <c r="O173" s="31">
        <f>IF($A173="","",BDP($A173,O$3))</f>
        <v/>
      </c>
      <c r="P173" s="30">
        <f>IF($A173="","",BDH($A173,$N$3,'參數'!$B$5,'參數'!$B$5,"Days=A","Fill=P","Dates=H"))</f>
        <v/>
      </c>
      <c r="Q173" s="30">
        <f>IF($A173="","",BDH($A173,$N$3,'參數'!$B$6,'參數'!$B$6,"Days=A","Fill=P","Dates=H"))</f>
        <v/>
      </c>
      <c r="R173" s="30">
        <f>IF($A173="","",BDH($A173,$N$3,'參數'!$B$7,'參數'!$B$7,"Days=A","Fill=P","Dates=H"))</f>
        <v/>
      </c>
      <c r="S173" s="32">
        <f>IF($A173="","",IFERROR(INDEX('發行人'!$A$5:$A$44,MATCH(B173,'發行人'!$D$5:$D$44,0)),"未對應"))</f>
        <v/>
      </c>
      <c r="T173" s="24">
        <f>IF($A173="","",IFERROR(INDEX('發行人'!$G$5:$G$44,MATCH(B173,'發行人'!$D$5:$D$44,0))+0,""))</f>
        <v/>
      </c>
      <c r="U173" s="18">
        <f>IF(ISNUMBER(E173),YEARFRAC('參數'!$B$4,E173),"")</f>
        <v/>
      </c>
      <c r="V173" s="8">
        <f>IF(U173="","",IF(U173&lt;3,"1-3y",IF(U173&lt;5,"3-5y",IF(U173&lt;7,"5-7y",IF(U173&lt;10,"7-10y","10y+")))))</f>
        <v/>
      </c>
      <c r="W173" s="30">
        <f>IF($A173="","",IFERROR(INDEX('參數'!$B$24:$B$45,MATCH(G173,'參數'!$A$24:$A$45,0)),""))</f>
        <v/>
      </c>
      <c r="X173" s="8">
        <f>IF($A173="","",IFERROR(INDEX('參數'!$C$24:$C$45,MATCH(G173,'參數'!$A$24:$A$45,0)),""))</f>
        <v/>
      </c>
      <c r="Y173" s="30">
        <f>IF(AND(ISNUMBER(N173),ISNUMBER(O173),ISNUMBER(U173)),IF(AND(O173&gt;0,X173&lt;&gt;""),1,0),0)</f>
        <v/>
      </c>
      <c r="Z173" s="17">
        <f>IF(Y173=1,O173*N173,"")</f>
        <v/>
      </c>
      <c r="AA173" s="33">
        <f>IF(Y173=1,IF(ISNUMBER(Q173),N173-Q173,""),"")</f>
        <v/>
      </c>
      <c r="AB173" s="33">
        <f>IF(Y173=1,IF(AND(ISNUMBER(P173),ISNUMBER(R173)),R173*5/12-O173*(P173-R173),""),"")</f>
        <v/>
      </c>
      <c r="AC173" s="30">
        <f>IF(Y173=1,COUNTIFS($X$5:$X$404,X173,$V$5:$V$404,V173,$Y$5:$Y$404,1),"")</f>
        <v/>
      </c>
      <c r="AD173" s="30">
        <f>IF(Y173=1,IFERROR(IF(AC173&gt;='參數'!$B$9,INDEX('分群統計'!$G$13:$K$16,MATCH(X173,'分群統計'!$A$13:$A$16,0),MATCH(V173,'分群統計'!$G$12:$K$12,0)),INDEX('分群統計'!$I$5:$I$8,MATCH(X173,'分群統計'!$A$5:$A$8,0))),""),"")</f>
        <v/>
      </c>
      <c r="AE173" s="18">
        <f>IF(Y173=1,IFERROR(IF(AC173&gt;='參數'!$B$9,INDEX('分群統計'!$L$13:$P$16,MATCH(X173,'分群統計'!$A$13:$A$16,0),MATCH(V173,'分群統計'!$L$12:$P$12,0)),INDEX('分群統計'!$J$5:$J$8,MATCH(X173,'分群統計'!$A$5:$A$8,0))),""),"")</f>
        <v/>
      </c>
      <c r="AF173" s="31">
        <f>IF(ISNUMBER(AE173),IF(AE173&gt;0,MAX(-3,MIN(3,(N173-AD173)/AE173)),0),"")</f>
        <v/>
      </c>
      <c r="AG173" s="30">
        <f>IF(Y173=1,COUNTIFS($B$5:$B$404,B173,$Y$5:$Y$404,1),"")</f>
        <v/>
      </c>
      <c r="AH173" s="30">
        <f>IF(Y173=1,IFERROR(IF(ISNUMBER(INDEX('分群統計'!$G$20:$G$59,MATCH(B173,'分群統計'!$A$20:$A$59,0))),INDEX('分群統計'!$H$20:$H$59,MATCH(B173,'分群統計'!$A$20:$A$59,0))+INDEX('分群統計'!$G$20:$G$59,MATCH(B173,'分群統計'!$A$20:$A$59,0))*AU173,""),""),"")</f>
        <v/>
      </c>
      <c r="AI173" s="34">
        <f>IF(ISNUMBER(AH173),N173-AH173,"")</f>
        <v/>
      </c>
      <c r="AJ173" s="30">
        <f>IF(Y173=1,IFERROR(IF(ISNUMBER(INDEX('分群統計'!$G$5:$G$8,MATCH(X173,'分群統計'!$A$5:$A$8,0))),INDEX('分群統計'!$H$5:$H$8,MATCH(X173,'分群統計'!$A$5:$A$8,0))+INDEX('分群統計'!$G$5:$G$8,MATCH(X173,'分群統計'!$A$5:$A$8,0))*AU173,""),""),"")</f>
        <v/>
      </c>
      <c r="AK173" s="34">
        <f>IF(ISNUMBER(AJ173),N173-AJ173,"")</f>
        <v/>
      </c>
      <c r="AL173" s="21">
        <f>IF(ISNUMBER(AJ173),IF(AJ173&gt;0,AK173/AJ173,""),"")</f>
        <v/>
      </c>
      <c r="AM173" s="31">
        <f>IF(AY173&lt;&gt;1,"",IFERROR(IF(INDEX('分群統計'!$K$5:$K$8,MATCH(X173,'分群統計'!$A$5:$A$8,0))&lt;3,"",IF(INDEX('分群統計'!$M$5:$M$8,MATCH(X173,'分群統計'!$A$5:$A$8,0))&gt;0,MAX(-3,MIN(3,(AX173-INDEX('分群統計'!$L$5:$L$8,MATCH(X173,'分群統計'!$A$5:$A$8,0)))/INDEX('分群統計'!$M$5:$M$8,MATCH(X173,'分群統計'!$A$5:$A$8,0)))),0)),""))</f>
        <v/>
      </c>
      <c r="AN173" s="31">
        <f>IF(ISNUMBER(AB173),IF(Z173&gt;0,AB173/Z173*100,""),"")</f>
        <v/>
      </c>
      <c r="AO173" s="31">
        <f>IF(BA173&lt;&gt;1,"",IFERROR(IF(INDEX('分群統計'!$N$5:$N$8,MATCH(X173,'分群統計'!$A$5:$A$8,0))&lt;3,"",IF(INDEX('分群統計'!$P$5:$P$8,MATCH(X173,'分群統計'!$A$5:$A$8,0))&gt;0,MAX(-3,MIN(3,(AZ173-INDEX('分群統計'!$O$5:$O$8,MATCH(X173,'分群統計'!$A$5:$A$8,0)))/INDEX('分群統計'!$P$5:$P$8,MATCH(X173,'分群統計'!$A$5:$A$8,0)))),0)),""))</f>
        <v/>
      </c>
      <c r="AP173" s="31">
        <f>IF(BC173&lt;&gt;1,"",IFERROR(IF(INDEX('分群統計'!$Q$5:$Q$8,MATCH(X173,'分群統計'!$A$5:$A$8,0))&lt;3,"",IF(INDEX('分群統計'!$S$5:$S$8,MATCH(X173,'分群統計'!$A$5:$A$8,0))&gt;0,MAX(-3,MIN(3,(BB173-INDEX('分群統計'!$R$5:$R$8,MATCH(X173,'分群統計'!$A$5:$A$8,0)))/INDEX('分群統計'!$S$5:$S$8,MATCH(X173,'分群統計'!$A$5:$A$8,0)))),0)),""))</f>
        <v/>
      </c>
      <c r="AQ173" s="31">
        <f>IF(Y173=1,(IF(ISNUMBER(AF173),AF173,0)*'參數'!$B$13+IF(ISNUMBER(AM173),AM173,0)*'參數'!$B$14+IF(ISNUMBER(AO173),AO173,0)*'參數'!$B$15+IF(ISNUMBER(AP173),AP173,0)*'參數'!$B$16)/('參數'!$B$13+'參數'!$B$14+'參數'!$B$15+'參數'!$B$16),"")</f>
        <v/>
      </c>
      <c r="AR173" s="35">
        <f>IF(Y173=1,(SUMPRODUCT(($X$5:$X$404=X173)*($Y$5:$Y$404=1)*($BD$5:$BD$404&gt;BD173))+1)/COUNTIFS($X$5:$X$404,X173,$Y$5:$Y$404,1),"")</f>
        <v/>
      </c>
      <c r="AS173" s="8">
        <f>IF(ISNUMBER(AR173),IF(AR173&lt;='參數'!$B$18,"加碼候選",IF(AR173&gt;'參數'!$B$19,"減碼候選","")),"")</f>
        <v/>
      </c>
      <c r="AT173" s="7">
        <f>IF(Y173=1,N173,0)</f>
        <v/>
      </c>
      <c r="AU173" s="7">
        <f>IF(Y173=1,LN(O173),0)</f>
        <v/>
      </c>
      <c r="AV173" s="36">
        <f>IF(Y173=1,IF(ISNUMBER(F173),F173,0),0)</f>
        <v/>
      </c>
      <c r="AW173" s="7">
        <f>IF(Y173=1,Z173,0)</f>
        <v/>
      </c>
      <c r="AX173" s="7">
        <f>IF(Y173=1,IF(ISNUMBER(AL173),AL173,0),0)</f>
        <v/>
      </c>
      <c r="AY173" s="7">
        <f>IF(Y173=1,IF(ISNUMBER(AL173),1,0),0)</f>
        <v/>
      </c>
      <c r="AZ173" s="7">
        <f>IF(Y173=1,IF(ISNUMBER(AN173),AN173,0),0)</f>
        <v/>
      </c>
      <c r="BA173" s="7">
        <f>IF(Y173=1,IF(ISNUMBER(AN173),1,0),0)</f>
        <v/>
      </c>
      <c r="BB173" s="7">
        <f>IF(Y173=1,IF(ISNUMBER(T173),T173,0),0)</f>
        <v/>
      </c>
      <c r="BC173" s="7">
        <f>IF(Y173=1,IF(ISNUMBER(T173),1,0),0)</f>
        <v/>
      </c>
      <c r="BD173" s="7">
        <f>IF(Y173=1,AQ173+ROW()/1E9,-1E9)</f>
        <v/>
      </c>
      <c r="BE173" s="7">
        <f>IF(Y173=1,AQ173+ROW()/1E9,1E9)</f>
        <v/>
      </c>
    </row>
    <row r="174">
      <c r="A174" s="16" t="n"/>
      <c r="B174" s="8">
        <f>IF($A174="","",BDP($A174,B$3))</f>
        <v/>
      </c>
      <c r="C174" s="8">
        <f>IF($A174="","",BDP($A174,C$3))</f>
        <v/>
      </c>
      <c r="D174" s="28">
        <f>IF($A174="","",BDP($A174,D$3))</f>
        <v/>
      </c>
      <c r="E174" s="29">
        <f>IF($A174="","",BDP($A174,E$3))</f>
        <v/>
      </c>
      <c r="F174" s="17">
        <f>IF($A174="","",BDP($A174,F$3))</f>
        <v/>
      </c>
      <c r="G174" s="8">
        <f>IF($A174="","",BDP($A174,G$3))</f>
        <v/>
      </c>
      <c r="H174" s="8">
        <f>IF($A174="","",BDP($A174,H$3))</f>
        <v/>
      </c>
      <c r="I174" s="8">
        <f>IF($A174="","",BDP($A174,I$3))</f>
        <v/>
      </c>
      <c r="J174" s="8">
        <f>IF($A174="","",BDP($A174,J$3))</f>
        <v/>
      </c>
      <c r="K174" s="8">
        <f>IF($A174="","",BDP($A174,K$3))</f>
        <v/>
      </c>
      <c r="L174" s="28">
        <f>IF($A174="","",BDP($A174,L$3))</f>
        <v/>
      </c>
      <c r="M174" s="28">
        <f>IF($A174="","",BDP($A174,M$3))</f>
        <v/>
      </c>
      <c r="N174" s="30">
        <f>IF($A174="","",BDP($A174,N$3))</f>
        <v/>
      </c>
      <c r="O174" s="31">
        <f>IF($A174="","",BDP($A174,O$3))</f>
        <v/>
      </c>
      <c r="P174" s="30">
        <f>IF($A174="","",BDH($A174,$N$3,'參數'!$B$5,'參數'!$B$5,"Days=A","Fill=P","Dates=H"))</f>
        <v/>
      </c>
      <c r="Q174" s="30">
        <f>IF($A174="","",BDH($A174,$N$3,'參數'!$B$6,'參數'!$B$6,"Days=A","Fill=P","Dates=H"))</f>
        <v/>
      </c>
      <c r="R174" s="30">
        <f>IF($A174="","",BDH($A174,$N$3,'參數'!$B$7,'參數'!$B$7,"Days=A","Fill=P","Dates=H"))</f>
        <v/>
      </c>
      <c r="S174" s="32">
        <f>IF($A174="","",IFERROR(INDEX('發行人'!$A$5:$A$44,MATCH(B174,'發行人'!$D$5:$D$44,0)),"未對應"))</f>
        <v/>
      </c>
      <c r="T174" s="24">
        <f>IF($A174="","",IFERROR(INDEX('發行人'!$G$5:$G$44,MATCH(B174,'發行人'!$D$5:$D$44,0))+0,""))</f>
        <v/>
      </c>
      <c r="U174" s="18">
        <f>IF(ISNUMBER(E174),YEARFRAC('參數'!$B$4,E174),"")</f>
        <v/>
      </c>
      <c r="V174" s="8">
        <f>IF(U174="","",IF(U174&lt;3,"1-3y",IF(U174&lt;5,"3-5y",IF(U174&lt;7,"5-7y",IF(U174&lt;10,"7-10y","10y+")))))</f>
        <v/>
      </c>
      <c r="W174" s="30">
        <f>IF($A174="","",IFERROR(INDEX('參數'!$B$24:$B$45,MATCH(G174,'參數'!$A$24:$A$45,0)),""))</f>
        <v/>
      </c>
      <c r="X174" s="8">
        <f>IF($A174="","",IFERROR(INDEX('參數'!$C$24:$C$45,MATCH(G174,'參數'!$A$24:$A$45,0)),""))</f>
        <v/>
      </c>
      <c r="Y174" s="30">
        <f>IF(AND(ISNUMBER(N174),ISNUMBER(O174),ISNUMBER(U174)),IF(AND(O174&gt;0,X174&lt;&gt;""),1,0),0)</f>
        <v/>
      </c>
      <c r="Z174" s="17">
        <f>IF(Y174=1,O174*N174,"")</f>
        <v/>
      </c>
      <c r="AA174" s="33">
        <f>IF(Y174=1,IF(ISNUMBER(Q174),N174-Q174,""),"")</f>
        <v/>
      </c>
      <c r="AB174" s="33">
        <f>IF(Y174=1,IF(AND(ISNUMBER(P174),ISNUMBER(R174)),R174*5/12-O174*(P174-R174),""),"")</f>
        <v/>
      </c>
      <c r="AC174" s="30">
        <f>IF(Y174=1,COUNTIFS($X$5:$X$404,X174,$V$5:$V$404,V174,$Y$5:$Y$404,1),"")</f>
        <v/>
      </c>
      <c r="AD174" s="30">
        <f>IF(Y174=1,IFERROR(IF(AC174&gt;='參數'!$B$9,INDEX('分群統計'!$G$13:$K$16,MATCH(X174,'分群統計'!$A$13:$A$16,0),MATCH(V174,'分群統計'!$G$12:$K$12,0)),INDEX('分群統計'!$I$5:$I$8,MATCH(X174,'分群統計'!$A$5:$A$8,0))),""),"")</f>
        <v/>
      </c>
      <c r="AE174" s="18">
        <f>IF(Y174=1,IFERROR(IF(AC174&gt;='參數'!$B$9,INDEX('分群統計'!$L$13:$P$16,MATCH(X174,'分群統計'!$A$13:$A$16,0),MATCH(V174,'分群統計'!$L$12:$P$12,0)),INDEX('分群統計'!$J$5:$J$8,MATCH(X174,'分群統計'!$A$5:$A$8,0))),""),"")</f>
        <v/>
      </c>
      <c r="AF174" s="31">
        <f>IF(ISNUMBER(AE174),IF(AE174&gt;0,MAX(-3,MIN(3,(N174-AD174)/AE174)),0),"")</f>
        <v/>
      </c>
      <c r="AG174" s="30">
        <f>IF(Y174=1,COUNTIFS($B$5:$B$404,B174,$Y$5:$Y$404,1),"")</f>
        <v/>
      </c>
      <c r="AH174" s="30">
        <f>IF(Y174=1,IFERROR(IF(ISNUMBER(INDEX('分群統計'!$G$20:$G$59,MATCH(B174,'分群統計'!$A$20:$A$59,0))),INDEX('分群統計'!$H$20:$H$59,MATCH(B174,'分群統計'!$A$20:$A$59,0))+INDEX('分群統計'!$G$20:$G$59,MATCH(B174,'分群統計'!$A$20:$A$59,0))*AU174,""),""),"")</f>
        <v/>
      </c>
      <c r="AI174" s="34">
        <f>IF(ISNUMBER(AH174),N174-AH174,"")</f>
        <v/>
      </c>
      <c r="AJ174" s="30">
        <f>IF(Y174=1,IFERROR(IF(ISNUMBER(INDEX('分群統計'!$G$5:$G$8,MATCH(X174,'分群統計'!$A$5:$A$8,0))),INDEX('分群統計'!$H$5:$H$8,MATCH(X174,'分群統計'!$A$5:$A$8,0))+INDEX('分群統計'!$G$5:$G$8,MATCH(X174,'分群統計'!$A$5:$A$8,0))*AU174,""),""),"")</f>
        <v/>
      </c>
      <c r="AK174" s="34">
        <f>IF(ISNUMBER(AJ174),N174-AJ174,"")</f>
        <v/>
      </c>
      <c r="AL174" s="21">
        <f>IF(ISNUMBER(AJ174),IF(AJ174&gt;0,AK174/AJ174,""),"")</f>
        <v/>
      </c>
      <c r="AM174" s="31">
        <f>IF(AY174&lt;&gt;1,"",IFERROR(IF(INDEX('分群統計'!$K$5:$K$8,MATCH(X174,'分群統計'!$A$5:$A$8,0))&lt;3,"",IF(INDEX('分群統計'!$M$5:$M$8,MATCH(X174,'分群統計'!$A$5:$A$8,0))&gt;0,MAX(-3,MIN(3,(AX174-INDEX('分群統計'!$L$5:$L$8,MATCH(X174,'分群統計'!$A$5:$A$8,0)))/INDEX('分群統計'!$M$5:$M$8,MATCH(X174,'分群統計'!$A$5:$A$8,0)))),0)),""))</f>
        <v/>
      </c>
      <c r="AN174" s="31">
        <f>IF(ISNUMBER(AB174),IF(Z174&gt;0,AB174/Z174*100,""),"")</f>
        <v/>
      </c>
      <c r="AO174" s="31">
        <f>IF(BA174&lt;&gt;1,"",IFERROR(IF(INDEX('分群統計'!$N$5:$N$8,MATCH(X174,'分群統計'!$A$5:$A$8,0))&lt;3,"",IF(INDEX('分群統計'!$P$5:$P$8,MATCH(X174,'分群統計'!$A$5:$A$8,0))&gt;0,MAX(-3,MIN(3,(AZ174-INDEX('分群統計'!$O$5:$O$8,MATCH(X174,'分群統計'!$A$5:$A$8,0)))/INDEX('分群統計'!$P$5:$P$8,MATCH(X174,'分群統計'!$A$5:$A$8,0)))),0)),""))</f>
        <v/>
      </c>
      <c r="AP174" s="31">
        <f>IF(BC174&lt;&gt;1,"",IFERROR(IF(INDEX('分群統計'!$Q$5:$Q$8,MATCH(X174,'分群統計'!$A$5:$A$8,0))&lt;3,"",IF(INDEX('分群統計'!$S$5:$S$8,MATCH(X174,'分群統計'!$A$5:$A$8,0))&gt;0,MAX(-3,MIN(3,(BB174-INDEX('分群統計'!$R$5:$R$8,MATCH(X174,'分群統計'!$A$5:$A$8,0)))/INDEX('分群統計'!$S$5:$S$8,MATCH(X174,'分群統計'!$A$5:$A$8,0)))),0)),""))</f>
        <v/>
      </c>
      <c r="AQ174" s="31">
        <f>IF(Y174=1,(IF(ISNUMBER(AF174),AF174,0)*'參數'!$B$13+IF(ISNUMBER(AM174),AM174,0)*'參數'!$B$14+IF(ISNUMBER(AO174),AO174,0)*'參數'!$B$15+IF(ISNUMBER(AP174),AP174,0)*'參數'!$B$16)/('參數'!$B$13+'參數'!$B$14+'參數'!$B$15+'參數'!$B$16),"")</f>
        <v/>
      </c>
      <c r="AR174" s="35">
        <f>IF(Y174=1,(SUMPRODUCT(($X$5:$X$404=X174)*($Y$5:$Y$404=1)*($BD$5:$BD$404&gt;BD174))+1)/COUNTIFS($X$5:$X$404,X174,$Y$5:$Y$404,1),"")</f>
        <v/>
      </c>
      <c r="AS174" s="8">
        <f>IF(ISNUMBER(AR174),IF(AR174&lt;='參數'!$B$18,"加碼候選",IF(AR174&gt;'參數'!$B$19,"減碼候選","")),"")</f>
        <v/>
      </c>
      <c r="AT174" s="7">
        <f>IF(Y174=1,N174,0)</f>
        <v/>
      </c>
      <c r="AU174" s="7">
        <f>IF(Y174=1,LN(O174),0)</f>
        <v/>
      </c>
      <c r="AV174" s="36">
        <f>IF(Y174=1,IF(ISNUMBER(F174),F174,0),0)</f>
        <v/>
      </c>
      <c r="AW174" s="7">
        <f>IF(Y174=1,Z174,0)</f>
        <v/>
      </c>
      <c r="AX174" s="7">
        <f>IF(Y174=1,IF(ISNUMBER(AL174),AL174,0),0)</f>
        <v/>
      </c>
      <c r="AY174" s="7">
        <f>IF(Y174=1,IF(ISNUMBER(AL174),1,0),0)</f>
        <v/>
      </c>
      <c r="AZ174" s="7">
        <f>IF(Y174=1,IF(ISNUMBER(AN174),AN174,0),0)</f>
        <v/>
      </c>
      <c r="BA174" s="7">
        <f>IF(Y174=1,IF(ISNUMBER(AN174),1,0),0)</f>
        <v/>
      </c>
      <c r="BB174" s="7">
        <f>IF(Y174=1,IF(ISNUMBER(T174),T174,0),0)</f>
        <v/>
      </c>
      <c r="BC174" s="7">
        <f>IF(Y174=1,IF(ISNUMBER(T174),1,0),0)</f>
        <v/>
      </c>
      <c r="BD174" s="7">
        <f>IF(Y174=1,AQ174+ROW()/1E9,-1E9)</f>
        <v/>
      </c>
      <c r="BE174" s="7">
        <f>IF(Y174=1,AQ174+ROW()/1E9,1E9)</f>
        <v/>
      </c>
    </row>
    <row r="175">
      <c r="A175" s="16" t="n"/>
      <c r="B175" s="8">
        <f>IF($A175="","",BDP($A175,B$3))</f>
        <v/>
      </c>
      <c r="C175" s="8">
        <f>IF($A175="","",BDP($A175,C$3))</f>
        <v/>
      </c>
      <c r="D175" s="28">
        <f>IF($A175="","",BDP($A175,D$3))</f>
        <v/>
      </c>
      <c r="E175" s="29">
        <f>IF($A175="","",BDP($A175,E$3))</f>
        <v/>
      </c>
      <c r="F175" s="17">
        <f>IF($A175="","",BDP($A175,F$3))</f>
        <v/>
      </c>
      <c r="G175" s="8">
        <f>IF($A175="","",BDP($A175,G$3))</f>
        <v/>
      </c>
      <c r="H175" s="8">
        <f>IF($A175="","",BDP($A175,H$3))</f>
        <v/>
      </c>
      <c r="I175" s="8">
        <f>IF($A175="","",BDP($A175,I$3))</f>
        <v/>
      </c>
      <c r="J175" s="8">
        <f>IF($A175="","",BDP($A175,J$3))</f>
        <v/>
      </c>
      <c r="K175" s="8">
        <f>IF($A175="","",BDP($A175,K$3))</f>
        <v/>
      </c>
      <c r="L175" s="28">
        <f>IF($A175="","",BDP($A175,L$3))</f>
        <v/>
      </c>
      <c r="M175" s="28">
        <f>IF($A175="","",BDP($A175,M$3))</f>
        <v/>
      </c>
      <c r="N175" s="30">
        <f>IF($A175="","",BDP($A175,N$3))</f>
        <v/>
      </c>
      <c r="O175" s="31">
        <f>IF($A175="","",BDP($A175,O$3))</f>
        <v/>
      </c>
      <c r="P175" s="30">
        <f>IF($A175="","",BDH($A175,$N$3,'參數'!$B$5,'參數'!$B$5,"Days=A","Fill=P","Dates=H"))</f>
        <v/>
      </c>
      <c r="Q175" s="30">
        <f>IF($A175="","",BDH($A175,$N$3,'參數'!$B$6,'參數'!$B$6,"Days=A","Fill=P","Dates=H"))</f>
        <v/>
      </c>
      <c r="R175" s="30">
        <f>IF($A175="","",BDH($A175,$N$3,'參數'!$B$7,'參數'!$B$7,"Days=A","Fill=P","Dates=H"))</f>
        <v/>
      </c>
      <c r="S175" s="32">
        <f>IF($A175="","",IFERROR(INDEX('發行人'!$A$5:$A$44,MATCH(B175,'發行人'!$D$5:$D$44,0)),"未對應"))</f>
        <v/>
      </c>
      <c r="T175" s="24">
        <f>IF($A175="","",IFERROR(INDEX('發行人'!$G$5:$G$44,MATCH(B175,'發行人'!$D$5:$D$44,0))+0,""))</f>
        <v/>
      </c>
      <c r="U175" s="18">
        <f>IF(ISNUMBER(E175),YEARFRAC('參數'!$B$4,E175),"")</f>
        <v/>
      </c>
      <c r="V175" s="8">
        <f>IF(U175="","",IF(U175&lt;3,"1-3y",IF(U175&lt;5,"3-5y",IF(U175&lt;7,"5-7y",IF(U175&lt;10,"7-10y","10y+")))))</f>
        <v/>
      </c>
      <c r="W175" s="30">
        <f>IF($A175="","",IFERROR(INDEX('參數'!$B$24:$B$45,MATCH(G175,'參數'!$A$24:$A$45,0)),""))</f>
        <v/>
      </c>
      <c r="X175" s="8">
        <f>IF($A175="","",IFERROR(INDEX('參數'!$C$24:$C$45,MATCH(G175,'參數'!$A$24:$A$45,0)),""))</f>
        <v/>
      </c>
      <c r="Y175" s="30">
        <f>IF(AND(ISNUMBER(N175),ISNUMBER(O175),ISNUMBER(U175)),IF(AND(O175&gt;0,X175&lt;&gt;""),1,0),0)</f>
        <v/>
      </c>
      <c r="Z175" s="17">
        <f>IF(Y175=1,O175*N175,"")</f>
        <v/>
      </c>
      <c r="AA175" s="33">
        <f>IF(Y175=1,IF(ISNUMBER(Q175),N175-Q175,""),"")</f>
        <v/>
      </c>
      <c r="AB175" s="33">
        <f>IF(Y175=1,IF(AND(ISNUMBER(P175),ISNUMBER(R175)),R175*5/12-O175*(P175-R175),""),"")</f>
        <v/>
      </c>
      <c r="AC175" s="30">
        <f>IF(Y175=1,COUNTIFS($X$5:$X$404,X175,$V$5:$V$404,V175,$Y$5:$Y$404,1),"")</f>
        <v/>
      </c>
      <c r="AD175" s="30">
        <f>IF(Y175=1,IFERROR(IF(AC175&gt;='參數'!$B$9,INDEX('分群統計'!$G$13:$K$16,MATCH(X175,'分群統計'!$A$13:$A$16,0),MATCH(V175,'分群統計'!$G$12:$K$12,0)),INDEX('分群統計'!$I$5:$I$8,MATCH(X175,'分群統計'!$A$5:$A$8,0))),""),"")</f>
        <v/>
      </c>
      <c r="AE175" s="18">
        <f>IF(Y175=1,IFERROR(IF(AC175&gt;='參數'!$B$9,INDEX('分群統計'!$L$13:$P$16,MATCH(X175,'分群統計'!$A$13:$A$16,0),MATCH(V175,'分群統計'!$L$12:$P$12,0)),INDEX('分群統計'!$J$5:$J$8,MATCH(X175,'分群統計'!$A$5:$A$8,0))),""),"")</f>
        <v/>
      </c>
      <c r="AF175" s="31">
        <f>IF(ISNUMBER(AE175),IF(AE175&gt;0,MAX(-3,MIN(3,(N175-AD175)/AE175)),0),"")</f>
        <v/>
      </c>
      <c r="AG175" s="30">
        <f>IF(Y175=1,COUNTIFS($B$5:$B$404,B175,$Y$5:$Y$404,1),"")</f>
        <v/>
      </c>
      <c r="AH175" s="30">
        <f>IF(Y175=1,IFERROR(IF(ISNUMBER(INDEX('分群統計'!$G$20:$G$59,MATCH(B175,'分群統計'!$A$20:$A$59,0))),INDEX('分群統計'!$H$20:$H$59,MATCH(B175,'分群統計'!$A$20:$A$59,0))+INDEX('分群統計'!$G$20:$G$59,MATCH(B175,'分群統計'!$A$20:$A$59,0))*AU175,""),""),"")</f>
        <v/>
      </c>
      <c r="AI175" s="34">
        <f>IF(ISNUMBER(AH175),N175-AH175,"")</f>
        <v/>
      </c>
      <c r="AJ175" s="30">
        <f>IF(Y175=1,IFERROR(IF(ISNUMBER(INDEX('分群統計'!$G$5:$G$8,MATCH(X175,'分群統計'!$A$5:$A$8,0))),INDEX('分群統計'!$H$5:$H$8,MATCH(X175,'分群統計'!$A$5:$A$8,0))+INDEX('分群統計'!$G$5:$G$8,MATCH(X175,'分群統計'!$A$5:$A$8,0))*AU175,""),""),"")</f>
        <v/>
      </c>
      <c r="AK175" s="34">
        <f>IF(ISNUMBER(AJ175),N175-AJ175,"")</f>
        <v/>
      </c>
      <c r="AL175" s="21">
        <f>IF(ISNUMBER(AJ175),IF(AJ175&gt;0,AK175/AJ175,""),"")</f>
        <v/>
      </c>
      <c r="AM175" s="31">
        <f>IF(AY175&lt;&gt;1,"",IFERROR(IF(INDEX('分群統計'!$K$5:$K$8,MATCH(X175,'分群統計'!$A$5:$A$8,0))&lt;3,"",IF(INDEX('分群統計'!$M$5:$M$8,MATCH(X175,'分群統計'!$A$5:$A$8,0))&gt;0,MAX(-3,MIN(3,(AX175-INDEX('分群統計'!$L$5:$L$8,MATCH(X175,'分群統計'!$A$5:$A$8,0)))/INDEX('分群統計'!$M$5:$M$8,MATCH(X175,'分群統計'!$A$5:$A$8,0)))),0)),""))</f>
        <v/>
      </c>
      <c r="AN175" s="31">
        <f>IF(ISNUMBER(AB175),IF(Z175&gt;0,AB175/Z175*100,""),"")</f>
        <v/>
      </c>
      <c r="AO175" s="31">
        <f>IF(BA175&lt;&gt;1,"",IFERROR(IF(INDEX('分群統計'!$N$5:$N$8,MATCH(X175,'分群統計'!$A$5:$A$8,0))&lt;3,"",IF(INDEX('分群統計'!$P$5:$P$8,MATCH(X175,'分群統計'!$A$5:$A$8,0))&gt;0,MAX(-3,MIN(3,(AZ175-INDEX('分群統計'!$O$5:$O$8,MATCH(X175,'分群統計'!$A$5:$A$8,0)))/INDEX('分群統計'!$P$5:$P$8,MATCH(X175,'分群統計'!$A$5:$A$8,0)))),0)),""))</f>
        <v/>
      </c>
      <c r="AP175" s="31">
        <f>IF(BC175&lt;&gt;1,"",IFERROR(IF(INDEX('分群統計'!$Q$5:$Q$8,MATCH(X175,'分群統計'!$A$5:$A$8,0))&lt;3,"",IF(INDEX('分群統計'!$S$5:$S$8,MATCH(X175,'分群統計'!$A$5:$A$8,0))&gt;0,MAX(-3,MIN(3,(BB175-INDEX('分群統計'!$R$5:$R$8,MATCH(X175,'分群統計'!$A$5:$A$8,0)))/INDEX('分群統計'!$S$5:$S$8,MATCH(X175,'分群統計'!$A$5:$A$8,0)))),0)),""))</f>
        <v/>
      </c>
      <c r="AQ175" s="31">
        <f>IF(Y175=1,(IF(ISNUMBER(AF175),AF175,0)*'參數'!$B$13+IF(ISNUMBER(AM175),AM175,0)*'參數'!$B$14+IF(ISNUMBER(AO175),AO175,0)*'參數'!$B$15+IF(ISNUMBER(AP175),AP175,0)*'參數'!$B$16)/('參數'!$B$13+'參數'!$B$14+'參數'!$B$15+'參數'!$B$16),"")</f>
        <v/>
      </c>
      <c r="AR175" s="35">
        <f>IF(Y175=1,(SUMPRODUCT(($X$5:$X$404=X175)*($Y$5:$Y$404=1)*($BD$5:$BD$404&gt;BD175))+1)/COUNTIFS($X$5:$X$404,X175,$Y$5:$Y$404,1),"")</f>
        <v/>
      </c>
      <c r="AS175" s="8">
        <f>IF(ISNUMBER(AR175),IF(AR175&lt;='參數'!$B$18,"加碼候選",IF(AR175&gt;'參數'!$B$19,"減碼候選","")),"")</f>
        <v/>
      </c>
      <c r="AT175" s="7">
        <f>IF(Y175=1,N175,0)</f>
        <v/>
      </c>
      <c r="AU175" s="7">
        <f>IF(Y175=1,LN(O175),0)</f>
        <v/>
      </c>
      <c r="AV175" s="36">
        <f>IF(Y175=1,IF(ISNUMBER(F175),F175,0),0)</f>
        <v/>
      </c>
      <c r="AW175" s="7">
        <f>IF(Y175=1,Z175,0)</f>
        <v/>
      </c>
      <c r="AX175" s="7">
        <f>IF(Y175=1,IF(ISNUMBER(AL175),AL175,0),0)</f>
        <v/>
      </c>
      <c r="AY175" s="7">
        <f>IF(Y175=1,IF(ISNUMBER(AL175),1,0),0)</f>
        <v/>
      </c>
      <c r="AZ175" s="7">
        <f>IF(Y175=1,IF(ISNUMBER(AN175),AN175,0),0)</f>
        <v/>
      </c>
      <c r="BA175" s="7">
        <f>IF(Y175=1,IF(ISNUMBER(AN175),1,0),0)</f>
        <v/>
      </c>
      <c r="BB175" s="7">
        <f>IF(Y175=1,IF(ISNUMBER(T175),T175,0),0)</f>
        <v/>
      </c>
      <c r="BC175" s="7">
        <f>IF(Y175=1,IF(ISNUMBER(T175),1,0),0)</f>
        <v/>
      </c>
      <c r="BD175" s="7">
        <f>IF(Y175=1,AQ175+ROW()/1E9,-1E9)</f>
        <v/>
      </c>
      <c r="BE175" s="7">
        <f>IF(Y175=1,AQ175+ROW()/1E9,1E9)</f>
        <v/>
      </c>
    </row>
    <row r="176">
      <c r="A176" s="16" t="n"/>
      <c r="B176" s="8">
        <f>IF($A176="","",BDP($A176,B$3))</f>
        <v/>
      </c>
      <c r="C176" s="8">
        <f>IF($A176="","",BDP($A176,C$3))</f>
        <v/>
      </c>
      <c r="D176" s="28">
        <f>IF($A176="","",BDP($A176,D$3))</f>
        <v/>
      </c>
      <c r="E176" s="29">
        <f>IF($A176="","",BDP($A176,E$3))</f>
        <v/>
      </c>
      <c r="F176" s="17">
        <f>IF($A176="","",BDP($A176,F$3))</f>
        <v/>
      </c>
      <c r="G176" s="8">
        <f>IF($A176="","",BDP($A176,G$3))</f>
        <v/>
      </c>
      <c r="H176" s="8">
        <f>IF($A176="","",BDP($A176,H$3))</f>
        <v/>
      </c>
      <c r="I176" s="8">
        <f>IF($A176="","",BDP($A176,I$3))</f>
        <v/>
      </c>
      <c r="J176" s="8">
        <f>IF($A176="","",BDP($A176,J$3))</f>
        <v/>
      </c>
      <c r="K176" s="8">
        <f>IF($A176="","",BDP($A176,K$3))</f>
        <v/>
      </c>
      <c r="L176" s="28">
        <f>IF($A176="","",BDP($A176,L$3))</f>
        <v/>
      </c>
      <c r="M176" s="28">
        <f>IF($A176="","",BDP($A176,M$3))</f>
        <v/>
      </c>
      <c r="N176" s="30">
        <f>IF($A176="","",BDP($A176,N$3))</f>
        <v/>
      </c>
      <c r="O176" s="31">
        <f>IF($A176="","",BDP($A176,O$3))</f>
        <v/>
      </c>
      <c r="P176" s="30">
        <f>IF($A176="","",BDH($A176,$N$3,'參數'!$B$5,'參數'!$B$5,"Days=A","Fill=P","Dates=H"))</f>
        <v/>
      </c>
      <c r="Q176" s="30">
        <f>IF($A176="","",BDH($A176,$N$3,'參數'!$B$6,'參數'!$B$6,"Days=A","Fill=P","Dates=H"))</f>
        <v/>
      </c>
      <c r="R176" s="30">
        <f>IF($A176="","",BDH($A176,$N$3,'參數'!$B$7,'參數'!$B$7,"Days=A","Fill=P","Dates=H"))</f>
        <v/>
      </c>
      <c r="S176" s="32">
        <f>IF($A176="","",IFERROR(INDEX('發行人'!$A$5:$A$44,MATCH(B176,'發行人'!$D$5:$D$44,0)),"未對應"))</f>
        <v/>
      </c>
      <c r="T176" s="24">
        <f>IF($A176="","",IFERROR(INDEX('發行人'!$G$5:$G$44,MATCH(B176,'發行人'!$D$5:$D$44,0))+0,""))</f>
        <v/>
      </c>
      <c r="U176" s="18">
        <f>IF(ISNUMBER(E176),YEARFRAC('參數'!$B$4,E176),"")</f>
        <v/>
      </c>
      <c r="V176" s="8">
        <f>IF(U176="","",IF(U176&lt;3,"1-3y",IF(U176&lt;5,"3-5y",IF(U176&lt;7,"5-7y",IF(U176&lt;10,"7-10y","10y+")))))</f>
        <v/>
      </c>
      <c r="W176" s="30">
        <f>IF($A176="","",IFERROR(INDEX('參數'!$B$24:$B$45,MATCH(G176,'參數'!$A$24:$A$45,0)),""))</f>
        <v/>
      </c>
      <c r="X176" s="8">
        <f>IF($A176="","",IFERROR(INDEX('參數'!$C$24:$C$45,MATCH(G176,'參數'!$A$24:$A$45,0)),""))</f>
        <v/>
      </c>
      <c r="Y176" s="30">
        <f>IF(AND(ISNUMBER(N176),ISNUMBER(O176),ISNUMBER(U176)),IF(AND(O176&gt;0,X176&lt;&gt;""),1,0),0)</f>
        <v/>
      </c>
      <c r="Z176" s="17">
        <f>IF(Y176=1,O176*N176,"")</f>
        <v/>
      </c>
      <c r="AA176" s="33">
        <f>IF(Y176=1,IF(ISNUMBER(Q176),N176-Q176,""),"")</f>
        <v/>
      </c>
      <c r="AB176" s="33">
        <f>IF(Y176=1,IF(AND(ISNUMBER(P176),ISNUMBER(R176)),R176*5/12-O176*(P176-R176),""),"")</f>
        <v/>
      </c>
      <c r="AC176" s="30">
        <f>IF(Y176=1,COUNTIFS($X$5:$X$404,X176,$V$5:$V$404,V176,$Y$5:$Y$404,1),"")</f>
        <v/>
      </c>
      <c r="AD176" s="30">
        <f>IF(Y176=1,IFERROR(IF(AC176&gt;='參數'!$B$9,INDEX('分群統計'!$G$13:$K$16,MATCH(X176,'分群統計'!$A$13:$A$16,0),MATCH(V176,'分群統計'!$G$12:$K$12,0)),INDEX('分群統計'!$I$5:$I$8,MATCH(X176,'分群統計'!$A$5:$A$8,0))),""),"")</f>
        <v/>
      </c>
      <c r="AE176" s="18">
        <f>IF(Y176=1,IFERROR(IF(AC176&gt;='參數'!$B$9,INDEX('分群統計'!$L$13:$P$16,MATCH(X176,'分群統計'!$A$13:$A$16,0),MATCH(V176,'分群統計'!$L$12:$P$12,0)),INDEX('分群統計'!$J$5:$J$8,MATCH(X176,'分群統計'!$A$5:$A$8,0))),""),"")</f>
        <v/>
      </c>
      <c r="AF176" s="31">
        <f>IF(ISNUMBER(AE176),IF(AE176&gt;0,MAX(-3,MIN(3,(N176-AD176)/AE176)),0),"")</f>
        <v/>
      </c>
      <c r="AG176" s="30">
        <f>IF(Y176=1,COUNTIFS($B$5:$B$404,B176,$Y$5:$Y$404,1),"")</f>
        <v/>
      </c>
      <c r="AH176" s="30">
        <f>IF(Y176=1,IFERROR(IF(ISNUMBER(INDEX('分群統計'!$G$20:$G$59,MATCH(B176,'分群統計'!$A$20:$A$59,0))),INDEX('分群統計'!$H$20:$H$59,MATCH(B176,'分群統計'!$A$20:$A$59,0))+INDEX('分群統計'!$G$20:$G$59,MATCH(B176,'分群統計'!$A$20:$A$59,0))*AU176,""),""),"")</f>
        <v/>
      </c>
      <c r="AI176" s="34">
        <f>IF(ISNUMBER(AH176),N176-AH176,"")</f>
        <v/>
      </c>
      <c r="AJ176" s="30">
        <f>IF(Y176=1,IFERROR(IF(ISNUMBER(INDEX('分群統計'!$G$5:$G$8,MATCH(X176,'分群統計'!$A$5:$A$8,0))),INDEX('分群統計'!$H$5:$H$8,MATCH(X176,'分群統計'!$A$5:$A$8,0))+INDEX('分群統計'!$G$5:$G$8,MATCH(X176,'分群統計'!$A$5:$A$8,0))*AU176,""),""),"")</f>
        <v/>
      </c>
      <c r="AK176" s="34">
        <f>IF(ISNUMBER(AJ176),N176-AJ176,"")</f>
        <v/>
      </c>
      <c r="AL176" s="21">
        <f>IF(ISNUMBER(AJ176),IF(AJ176&gt;0,AK176/AJ176,""),"")</f>
        <v/>
      </c>
      <c r="AM176" s="31">
        <f>IF(AY176&lt;&gt;1,"",IFERROR(IF(INDEX('分群統計'!$K$5:$K$8,MATCH(X176,'分群統計'!$A$5:$A$8,0))&lt;3,"",IF(INDEX('分群統計'!$M$5:$M$8,MATCH(X176,'分群統計'!$A$5:$A$8,0))&gt;0,MAX(-3,MIN(3,(AX176-INDEX('分群統計'!$L$5:$L$8,MATCH(X176,'分群統計'!$A$5:$A$8,0)))/INDEX('分群統計'!$M$5:$M$8,MATCH(X176,'分群統計'!$A$5:$A$8,0)))),0)),""))</f>
        <v/>
      </c>
      <c r="AN176" s="31">
        <f>IF(ISNUMBER(AB176),IF(Z176&gt;0,AB176/Z176*100,""),"")</f>
        <v/>
      </c>
      <c r="AO176" s="31">
        <f>IF(BA176&lt;&gt;1,"",IFERROR(IF(INDEX('分群統計'!$N$5:$N$8,MATCH(X176,'分群統計'!$A$5:$A$8,0))&lt;3,"",IF(INDEX('分群統計'!$P$5:$P$8,MATCH(X176,'分群統計'!$A$5:$A$8,0))&gt;0,MAX(-3,MIN(3,(AZ176-INDEX('分群統計'!$O$5:$O$8,MATCH(X176,'分群統計'!$A$5:$A$8,0)))/INDEX('分群統計'!$P$5:$P$8,MATCH(X176,'分群統計'!$A$5:$A$8,0)))),0)),""))</f>
        <v/>
      </c>
      <c r="AP176" s="31">
        <f>IF(BC176&lt;&gt;1,"",IFERROR(IF(INDEX('分群統計'!$Q$5:$Q$8,MATCH(X176,'分群統計'!$A$5:$A$8,0))&lt;3,"",IF(INDEX('分群統計'!$S$5:$S$8,MATCH(X176,'分群統計'!$A$5:$A$8,0))&gt;0,MAX(-3,MIN(3,(BB176-INDEX('分群統計'!$R$5:$R$8,MATCH(X176,'分群統計'!$A$5:$A$8,0)))/INDEX('分群統計'!$S$5:$S$8,MATCH(X176,'分群統計'!$A$5:$A$8,0)))),0)),""))</f>
        <v/>
      </c>
      <c r="AQ176" s="31">
        <f>IF(Y176=1,(IF(ISNUMBER(AF176),AF176,0)*'參數'!$B$13+IF(ISNUMBER(AM176),AM176,0)*'參數'!$B$14+IF(ISNUMBER(AO176),AO176,0)*'參數'!$B$15+IF(ISNUMBER(AP176),AP176,0)*'參數'!$B$16)/('參數'!$B$13+'參數'!$B$14+'參數'!$B$15+'參數'!$B$16),"")</f>
        <v/>
      </c>
      <c r="AR176" s="35">
        <f>IF(Y176=1,(SUMPRODUCT(($X$5:$X$404=X176)*($Y$5:$Y$404=1)*($BD$5:$BD$404&gt;BD176))+1)/COUNTIFS($X$5:$X$404,X176,$Y$5:$Y$404,1),"")</f>
        <v/>
      </c>
      <c r="AS176" s="8">
        <f>IF(ISNUMBER(AR176),IF(AR176&lt;='參數'!$B$18,"加碼候選",IF(AR176&gt;'參數'!$B$19,"減碼候選","")),"")</f>
        <v/>
      </c>
      <c r="AT176" s="7">
        <f>IF(Y176=1,N176,0)</f>
        <v/>
      </c>
      <c r="AU176" s="7">
        <f>IF(Y176=1,LN(O176),0)</f>
        <v/>
      </c>
      <c r="AV176" s="36">
        <f>IF(Y176=1,IF(ISNUMBER(F176),F176,0),0)</f>
        <v/>
      </c>
      <c r="AW176" s="7">
        <f>IF(Y176=1,Z176,0)</f>
        <v/>
      </c>
      <c r="AX176" s="7">
        <f>IF(Y176=1,IF(ISNUMBER(AL176),AL176,0),0)</f>
        <v/>
      </c>
      <c r="AY176" s="7">
        <f>IF(Y176=1,IF(ISNUMBER(AL176),1,0),0)</f>
        <v/>
      </c>
      <c r="AZ176" s="7">
        <f>IF(Y176=1,IF(ISNUMBER(AN176),AN176,0),0)</f>
        <v/>
      </c>
      <c r="BA176" s="7">
        <f>IF(Y176=1,IF(ISNUMBER(AN176),1,0),0)</f>
        <v/>
      </c>
      <c r="BB176" s="7">
        <f>IF(Y176=1,IF(ISNUMBER(T176),T176,0),0)</f>
        <v/>
      </c>
      <c r="BC176" s="7">
        <f>IF(Y176=1,IF(ISNUMBER(T176),1,0),0)</f>
        <v/>
      </c>
      <c r="BD176" s="7">
        <f>IF(Y176=1,AQ176+ROW()/1E9,-1E9)</f>
        <v/>
      </c>
      <c r="BE176" s="7">
        <f>IF(Y176=1,AQ176+ROW()/1E9,1E9)</f>
        <v/>
      </c>
    </row>
    <row r="177">
      <c r="A177" s="16" t="n"/>
      <c r="B177" s="8">
        <f>IF($A177="","",BDP($A177,B$3))</f>
        <v/>
      </c>
      <c r="C177" s="8">
        <f>IF($A177="","",BDP($A177,C$3))</f>
        <v/>
      </c>
      <c r="D177" s="28">
        <f>IF($A177="","",BDP($A177,D$3))</f>
        <v/>
      </c>
      <c r="E177" s="29">
        <f>IF($A177="","",BDP($A177,E$3))</f>
        <v/>
      </c>
      <c r="F177" s="17">
        <f>IF($A177="","",BDP($A177,F$3))</f>
        <v/>
      </c>
      <c r="G177" s="8">
        <f>IF($A177="","",BDP($A177,G$3))</f>
        <v/>
      </c>
      <c r="H177" s="8">
        <f>IF($A177="","",BDP($A177,H$3))</f>
        <v/>
      </c>
      <c r="I177" s="8">
        <f>IF($A177="","",BDP($A177,I$3))</f>
        <v/>
      </c>
      <c r="J177" s="8">
        <f>IF($A177="","",BDP($A177,J$3))</f>
        <v/>
      </c>
      <c r="K177" s="8">
        <f>IF($A177="","",BDP($A177,K$3))</f>
        <v/>
      </c>
      <c r="L177" s="28">
        <f>IF($A177="","",BDP($A177,L$3))</f>
        <v/>
      </c>
      <c r="M177" s="28">
        <f>IF($A177="","",BDP($A177,M$3))</f>
        <v/>
      </c>
      <c r="N177" s="30">
        <f>IF($A177="","",BDP($A177,N$3))</f>
        <v/>
      </c>
      <c r="O177" s="31">
        <f>IF($A177="","",BDP($A177,O$3))</f>
        <v/>
      </c>
      <c r="P177" s="30">
        <f>IF($A177="","",BDH($A177,$N$3,'參數'!$B$5,'參數'!$B$5,"Days=A","Fill=P","Dates=H"))</f>
        <v/>
      </c>
      <c r="Q177" s="30">
        <f>IF($A177="","",BDH($A177,$N$3,'參數'!$B$6,'參數'!$B$6,"Days=A","Fill=P","Dates=H"))</f>
        <v/>
      </c>
      <c r="R177" s="30">
        <f>IF($A177="","",BDH($A177,$N$3,'參數'!$B$7,'參數'!$B$7,"Days=A","Fill=P","Dates=H"))</f>
        <v/>
      </c>
      <c r="S177" s="32">
        <f>IF($A177="","",IFERROR(INDEX('發行人'!$A$5:$A$44,MATCH(B177,'發行人'!$D$5:$D$44,0)),"未對應"))</f>
        <v/>
      </c>
      <c r="T177" s="24">
        <f>IF($A177="","",IFERROR(INDEX('發行人'!$G$5:$G$44,MATCH(B177,'發行人'!$D$5:$D$44,0))+0,""))</f>
        <v/>
      </c>
      <c r="U177" s="18">
        <f>IF(ISNUMBER(E177),YEARFRAC('參數'!$B$4,E177),"")</f>
        <v/>
      </c>
      <c r="V177" s="8">
        <f>IF(U177="","",IF(U177&lt;3,"1-3y",IF(U177&lt;5,"3-5y",IF(U177&lt;7,"5-7y",IF(U177&lt;10,"7-10y","10y+")))))</f>
        <v/>
      </c>
      <c r="W177" s="30">
        <f>IF($A177="","",IFERROR(INDEX('參數'!$B$24:$B$45,MATCH(G177,'參數'!$A$24:$A$45,0)),""))</f>
        <v/>
      </c>
      <c r="X177" s="8">
        <f>IF($A177="","",IFERROR(INDEX('參數'!$C$24:$C$45,MATCH(G177,'參數'!$A$24:$A$45,0)),""))</f>
        <v/>
      </c>
      <c r="Y177" s="30">
        <f>IF(AND(ISNUMBER(N177),ISNUMBER(O177),ISNUMBER(U177)),IF(AND(O177&gt;0,X177&lt;&gt;""),1,0),0)</f>
        <v/>
      </c>
      <c r="Z177" s="17">
        <f>IF(Y177=1,O177*N177,"")</f>
        <v/>
      </c>
      <c r="AA177" s="33">
        <f>IF(Y177=1,IF(ISNUMBER(Q177),N177-Q177,""),"")</f>
        <v/>
      </c>
      <c r="AB177" s="33">
        <f>IF(Y177=1,IF(AND(ISNUMBER(P177),ISNUMBER(R177)),R177*5/12-O177*(P177-R177),""),"")</f>
        <v/>
      </c>
      <c r="AC177" s="30">
        <f>IF(Y177=1,COUNTIFS($X$5:$X$404,X177,$V$5:$V$404,V177,$Y$5:$Y$404,1),"")</f>
        <v/>
      </c>
      <c r="AD177" s="30">
        <f>IF(Y177=1,IFERROR(IF(AC177&gt;='參數'!$B$9,INDEX('分群統計'!$G$13:$K$16,MATCH(X177,'分群統計'!$A$13:$A$16,0),MATCH(V177,'分群統計'!$G$12:$K$12,0)),INDEX('分群統計'!$I$5:$I$8,MATCH(X177,'分群統計'!$A$5:$A$8,0))),""),"")</f>
        <v/>
      </c>
      <c r="AE177" s="18">
        <f>IF(Y177=1,IFERROR(IF(AC177&gt;='參數'!$B$9,INDEX('分群統計'!$L$13:$P$16,MATCH(X177,'分群統計'!$A$13:$A$16,0),MATCH(V177,'分群統計'!$L$12:$P$12,0)),INDEX('分群統計'!$J$5:$J$8,MATCH(X177,'分群統計'!$A$5:$A$8,0))),""),"")</f>
        <v/>
      </c>
      <c r="AF177" s="31">
        <f>IF(ISNUMBER(AE177),IF(AE177&gt;0,MAX(-3,MIN(3,(N177-AD177)/AE177)),0),"")</f>
        <v/>
      </c>
      <c r="AG177" s="30">
        <f>IF(Y177=1,COUNTIFS($B$5:$B$404,B177,$Y$5:$Y$404,1),"")</f>
        <v/>
      </c>
      <c r="AH177" s="30">
        <f>IF(Y177=1,IFERROR(IF(ISNUMBER(INDEX('分群統計'!$G$20:$G$59,MATCH(B177,'分群統計'!$A$20:$A$59,0))),INDEX('分群統計'!$H$20:$H$59,MATCH(B177,'分群統計'!$A$20:$A$59,0))+INDEX('分群統計'!$G$20:$G$59,MATCH(B177,'分群統計'!$A$20:$A$59,0))*AU177,""),""),"")</f>
        <v/>
      </c>
      <c r="AI177" s="34">
        <f>IF(ISNUMBER(AH177),N177-AH177,"")</f>
        <v/>
      </c>
      <c r="AJ177" s="30">
        <f>IF(Y177=1,IFERROR(IF(ISNUMBER(INDEX('分群統計'!$G$5:$G$8,MATCH(X177,'分群統計'!$A$5:$A$8,0))),INDEX('分群統計'!$H$5:$H$8,MATCH(X177,'分群統計'!$A$5:$A$8,0))+INDEX('分群統計'!$G$5:$G$8,MATCH(X177,'分群統計'!$A$5:$A$8,0))*AU177,""),""),"")</f>
        <v/>
      </c>
      <c r="AK177" s="34">
        <f>IF(ISNUMBER(AJ177),N177-AJ177,"")</f>
        <v/>
      </c>
      <c r="AL177" s="21">
        <f>IF(ISNUMBER(AJ177),IF(AJ177&gt;0,AK177/AJ177,""),"")</f>
        <v/>
      </c>
      <c r="AM177" s="31">
        <f>IF(AY177&lt;&gt;1,"",IFERROR(IF(INDEX('分群統計'!$K$5:$K$8,MATCH(X177,'分群統計'!$A$5:$A$8,0))&lt;3,"",IF(INDEX('分群統計'!$M$5:$M$8,MATCH(X177,'分群統計'!$A$5:$A$8,0))&gt;0,MAX(-3,MIN(3,(AX177-INDEX('分群統計'!$L$5:$L$8,MATCH(X177,'分群統計'!$A$5:$A$8,0)))/INDEX('分群統計'!$M$5:$M$8,MATCH(X177,'分群統計'!$A$5:$A$8,0)))),0)),""))</f>
        <v/>
      </c>
      <c r="AN177" s="31">
        <f>IF(ISNUMBER(AB177),IF(Z177&gt;0,AB177/Z177*100,""),"")</f>
        <v/>
      </c>
      <c r="AO177" s="31">
        <f>IF(BA177&lt;&gt;1,"",IFERROR(IF(INDEX('分群統計'!$N$5:$N$8,MATCH(X177,'分群統計'!$A$5:$A$8,0))&lt;3,"",IF(INDEX('分群統計'!$P$5:$P$8,MATCH(X177,'分群統計'!$A$5:$A$8,0))&gt;0,MAX(-3,MIN(3,(AZ177-INDEX('分群統計'!$O$5:$O$8,MATCH(X177,'分群統計'!$A$5:$A$8,0)))/INDEX('分群統計'!$P$5:$P$8,MATCH(X177,'分群統計'!$A$5:$A$8,0)))),0)),""))</f>
        <v/>
      </c>
      <c r="AP177" s="31">
        <f>IF(BC177&lt;&gt;1,"",IFERROR(IF(INDEX('分群統計'!$Q$5:$Q$8,MATCH(X177,'分群統計'!$A$5:$A$8,0))&lt;3,"",IF(INDEX('分群統計'!$S$5:$S$8,MATCH(X177,'分群統計'!$A$5:$A$8,0))&gt;0,MAX(-3,MIN(3,(BB177-INDEX('分群統計'!$R$5:$R$8,MATCH(X177,'分群統計'!$A$5:$A$8,0)))/INDEX('分群統計'!$S$5:$S$8,MATCH(X177,'分群統計'!$A$5:$A$8,0)))),0)),""))</f>
        <v/>
      </c>
      <c r="AQ177" s="31">
        <f>IF(Y177=1,(IF(ISNUMBER(AF177),AF177,0)*'參數'!$B$13+IF(ISNUMBER(AM177),AM177,0)*'參數'!$B$14+IF(ISNUMBER(AO177),AO177,0)*'參數'!$B$15+IF(ISNUMBER(AP177),AP177,0)*'參數'!$B$16)/('參數'!$B$13+'參數'!$B$14+'參數'!$B$15+'參數'!$B$16),"")</f>
        <v/>
      </c>
      <c r="AR177" s="35">
        <f>IF(Y177=1,(SUMPRODUCT(($X$5:$X$404=X177)*($Y$5:$Y$404=1)*($BD$5:$BD$404&gt;BD177))+1)/COUNTIFS($X$5:$X$404,X177,$Y$5:$Y$404,1),"")</f>
        <v/>
      </c>
      <c r="AS177" s="8">
        <f>IF(ISNUMBER(AR177),IF(AR177&lt;='參數'!$B$18,"加碼候選",IF(AR177&gt;'參數'!$B$19,"減碼候選","")),"")</f>
        <v/>
      </c>
      <c r="AT177" s="7">
        <f>IF(Y177=1,N177,0)</f>
        <v/>
      </c>
      <c r="AU177" s="7">
        <f>IF(Y177=1,LN(O177),0)</f>
        <v/>
      </c>
      <c r="AV177" s="36">
        <f>IF(Y177=1,IF(ISNUMBER(F177),F177,0),0)</f>
        <v/>
      </c>
      <c r="AW177" s="7">
        <f>IF(Y177=1,Z177,0)</f>
        <v/>
      </c>
      <c r="AX177" s="7">
        <f>IF(Y177=1,IF(ISNUMBER(AL177),AL177,0),0)</f>
        <v/>
      </c>
      <c r="AY177" s="7">
        <f>IF(Y177=1,IF(ISNUMBER(AL177),1,0),0)</f>
        <v/>
      </c>
      <c r="AZ177" s="7">
        <f>IF(Y177=1,IF(ISNUMBER(AN177),AN177,0),0)</f>
        <v/>
      </c>
      <c r="BA177" s="7">
        <f>IF(Y177=1,IF(ISNUMBER(AN177),1,0),0)</f>
        <v/>
      </c>
      <c r="BB177" s="7">
        <f>IF(Y177=1,IF(ISNUMBER(T177),T177,0),0)</f>
        <v/>
      </c>
      <c r="BC177" s="7">
        <f>IF(Y177=1,IF(ISNUMBER(T177),1,0),0)</f>
        <v/>
      </c>
      <c r="BD177" s="7">
        <f>IF(Y177=1,AQ177+ROW()/1E9,-1E9)</f>
        <v/>
      </c>
      <c r="BE177" s="7">
        <f>IF(Y177=1,AQ177+ROW()/1E9,1E9)</f>
        <v/>
      </c>
    </row>
    <row r="178">
      <c r="A178" s="16" t="n"/>
      <c r="B178" s="8">
        <f>IF($A178="","",BDP($A178,B$3))</f>
        <v/>
      </c>
      <c r="C178" s="8">
        <f>IF($A178="","",BDP($A178,C$3))</f>
        <v/>
      </c>
      <c r="D178" s="28">
        <f>IF($A178="","",BDP($A178,D$3))</f>
        <v/>
      </c>
      <c r="E178" s="29">
        <f>IF($A178="","",BDP($A178,E$3))</f>
        <v/>
      </c>
      <c r="F178" s="17">
        <f>IF($A178="","",BDP($A178,F$3))</f>
        <v/>
      </c>
      <c r="G178" s="8">
        <f>IF($A178="","",BDP($A178,G$3))</f>
        <v/>
      </c>
      <c r="H178" s="8">
        <f>IF($A178="","",BDP($A178,H$3))</f>
        <v/>
      </c>
      <c r="I178" s="8">
        <f>IF($A178="","",BDP($A178,I$3))</f>
        <v/>
      </c>
      <c r="J178" s="8">
        <f>IF($A178="","",BDP($A178,J$3))</f>
        <v/>
      </c>
      <c r="K178" s="8">
        <f>IF($A178="","",BDP($A178,K$3))</f>
        <v/>
      </c>
      <c r="L178" s="28">
        <f>IF($A178="","",BDP($A178,L$3))</f>
        <v/>
      </c>
      <c r="M178" s="28">
        <f>IF($A178="","",BDP($A178,M$3))</f>
        <v/>
      </c>
      <c r="N178" s="30">
        <f>IF($A178="","",BDP($A178,N$3))</f>
        <v/>
      </c>
      <c r="O178" s="31">
        <f>IF($A178="","",BDP($A178,O$3))</f>
        <v/>
      </c>
      <c r="P178" s="30">
        <f>IF($A178="","",BDH($A178,$N$3,'參數'!$B$5,'參數'!$B$5,"Days=A","Fill=P","Dates=H"))</f>
        <v/>
      </c>
      <c r="Q178" s="30">
        <f>IF($A178="","",BDH($A178,$N$3,'參數'!$B$6,'參數'!$B$6,"Days=A","Fill=P","Dates=H"))</f>
        <v/>
      </c>
      <c r="R178" s="30">
        <f>IF($A178="","",BDH($A178,$N$3,'參數'!$B$7,'參數'!$B$7,"Days=A","Fill=P","Dates=H"))</f>
        <v/>
      </c>
      <c r="S178" s="32">
        <f>IF($A178="","",IFERROR(INDEX('發行人'!$A$5:$A$44,MATCH(B178,'發行人'!$D$5:$D$44,0)),"未對應"))</f>
        <v/>
      </c>
      <c r="T178" s="24">
        <f>IF($A178="","",IFERROR(INDEX('發行人'!$G$5:$G$44,MATCH(B178,'發行人'!$D$5:$D$44,0))+0,""))</f>
        <v/>
      </c>
      <c r="U178" s="18">
        <f>IF(ISNUMBER(E178),YEARFRAC('參數'!$B$4,E178),"")</f>
        <v/>
      </c>
      <c r="V178" s="8">
        <f>IF(U178="","",IF(U178&lt;3,"1-3y",IF(U178&lt;5,"3-5y",IF(U178&lt;7,"5-7y",IF(U178&lt;10,"7-10y","10y+")))))</f>
        <v/>
      </c>
      <c r="W178" s="30">
        <f>IF($A178="","",IFERROR(INDEX('參數'!$B$24:$B$45,MATCH(G178,'參數'!$A$24:$A$45,0)),""))</f>
        <v/>
      </c>
      <c r="X178" s="8">
        <f>IF($A178="","",IFERROR(INDEX('參數'!$C$24:$C$45,MATCH(G178,'參數'!$A$24:$A$45,0)),""))</f>
        <v/>
      </c>
      <c r="Y178" s="30">
        <f>IF(AND(ISNUMBER(N178),ISNUMBER(O178),ISNUMBER(U178)),IF(AND(O178&gt;0,X178&lt;&gt;""),1,0),0)</f>
        <v/>
      </c>
      <c r="Z178" s="17">
        <f>IF(Y178=1,O178*N178,"")</f>
        <v/>
      </c>
      <c r="AA178" s="33">
        <f>IF(Y178=1,IF(ISNUMBER(Q178),N178-Q178,""),"")</f>
        <v/>
      </c>
      <c r="AB178" s="33">
        <f>IF(Y178=1,IF(AND(ISNUMBER(P178),ISNUMBER(R178)),R178*5/12-O178*(P178-R178),""),"")</f>
        <v/>
      </c>
      <c r="AC178" s="30">
        <f>IF(Y178=1,COUNTIFS($X$5:$X$404,X178,$V$5:$V$404,V178,$Y$5:$Y$404,1),"")</f>
        <v/>
      </c>
      <c r="AD178" s="30">
        <f>IF(Y178=1,IFERROR(IF(AC178&gt;='參數'!$B$9,INDEX('分群統計'!$G$13:$K$16,MATCH(X178,'分群統計'!$A$13:$A$16,0),MATCH(V178,'分群統計'!$G$12:$K$12,0)),INDEX('分群統計'!$I$5:$I$8,MATCH(X178,'分群統計'!$A$5:$A$8,0))),""),"")</f>
        <v/>
      </c>
      <c r="AE178" s="18">
        <f>IF(Y178=1,IFERROR(IF(AC178&gt;='參數'!$B$9,INDEX('分群統計'!$L$13:$P$16,MATCH(X178,'分群統計'!$A$13:$A$16,0),MATCH(V178,'分群統計'!$L$12:$P$12,0)),INDEX('分群統計'!$J$5:$J$8,MATCH(X178,'分群統計'!$A$5:$A$8,0))),""),"")</f>
        <v/>
      </c>
      <c r="AF178" s="31">
        <f>IF(ISNUMBER(AE178),IF(AE178&gt;0,MAX(-3,MIN(3,(N178-AD178)/AE178)),0),"")</f>
        <v/>
      </c>
      <c r="AG178" s="30">
        <f>IF(Y178=1,COUNTIFS($B$5:$B$404,B178,$Y$5:$Y$404,1),"")</f>
        <v/>
      </c>
      <c r="AH178" s="30">
        <f>IF(Y178=1,IFERROR(IF(ISNUMBER(INDEX('分群統計'!$G$20:$G$59,MATCH(B178,'分群統計'!$A$20:$A$59,0))),INDEX('分群統計'!$H$20:$H$59,MATCH(B178,'分群統計'!$A$20:$A$59,0))+INDEX('分群統計'!$G$20:$G$59,MATCH(B178,'分群統計'!$A$20:$A$59,0))*AU178,""),""),"")</f>
        <v/>
      </c>
      <c r="AI178" s="34">
        <f>IF(ISNUMBER(AH178),N178-AH178,"")</f>
        <v/>
      </c>
      <c r="AJ178" s="30">
        <f>IF(Y178=1,IFERROR(IF(ISNUMBER(INDEX('分群統計'!$G$5:$G$8,MATCH(X178,'分群統計'!$A$5:$A$8,0))),INDEX('分群統計'!$H$5:$H$8,MATCH(X178,'分群統計'!$A$5:$A$8,0))+INDEX('分群統計'!$G$5:$G$8,MATCH(X178,'分群統計'!$A$5:$A$8,0))*AU178,""),""),"")</f>
        <v/>
      </c>
      <c r="AK178" s="34">
        <f>IF(ISNUMBER(AJ178),N178-AJ178,"")</f>
        <v/>
      </c>
      <c r="AL178" s="21">
        <f>IF(ISNUMBER(AJ178),IF(AJ178&gt;0,AK178/AJ178,""),"")</f>
        <v/>
      </c>
      <c r="AM178" s="31">
        <f>IF(AY178&lt;&gt;1,"",IFERROR(IF(INDEX('分群統計'!$K$5:$K$8,MATCH(X178,'分群統計'!$A$5:$A$8,0))&lt;3,"",IF(INDEX('分群統計'!$M$5:$M$8,MATCH(X178,'分群統計'!$A$5:$A$8,0))&gt;0,MAX(-3,MIN(3,(AX178-INDEX('分群統計'!$L$5:$L$8,MATCH(X178,'分群統計'!$A$5:$A$8,0)))/INDEX('分群統計'!$M$5:$M$8,MATCH(X178,'分群統計'!$A$5:$A$8,0)))),0)),""))</f>
        <v/>
      </c>
      <c r="AN178" s="31">
        <f>IF(ISNUMBER(AB178),IF(Z178&gt;0,AB178/Z178*100,""),"")</f>
        <v/>
      </c>
      <c r="AO178" s="31">
        <f>IF(BA178&lt;&gt;1,"",IFERROR(IF(INDEX('分群統計'!$N$5:$N$8,MATCH(X178,'分群統計'!$A$5:$A$8,0))&lt;3,"",IF(INDEX('分群統計'!$P$5:$P$8,MATCH(X178,'分群統計'!$A$5:$A$8,0))&gt;0,MAX(-3,MIN(3,(AZ178-INDEX('分群統計'!$O$5:$O$8,MATCH(X178,'分群統計'!$A$5:$A$8,0)))/INDEX('分群統計'!$P$5:$P$8,MATCH(X178,'分群統計'!$A$5:$A$8,0)))),0)),""))</f>
        <v/>
      </c>
      <c r="AP178" s="31">
        <f>IF(BC178&lt;&gt;1,"",IFERROR(IF(INDEX('分群統計'!$Q$5:$Q$8,MATCH(X178,'分群統計'!$A$5:$A$8,0))&lt;3,"",IF(INDEX('分群統計'!$S$5:$S$8,MATCH(X178,'分群統計'!$A$5:$A$8,0))&gt;0,MAX(-3,MIN(3,(BB178-INDEX('分群統計'!$R$5:$R$8,MATCH(X178,'分群統計'!$A$5:$A$8,0)))/INDEX('分群統計'!$S$5:$S$8,MATCH(X178,'分群統計'!$A$5:$A$8,0)))),0)),""))</f>
        <v/>
      </c>
      <c r="AQ178" s="31">
        <f>IF(Y178=1,(IF(ISNUMBER(AF178),AF178,0)*'參數'!$B$13+IF(ISNUMBER(AM178),AM178,0)*'參數'!$B$14+IF(ISNUMBER(AO178),AO178,0)*'參數'!$B$15+IF(ISNUMBER(AP178),AP178,0)*'參數'!$B$16)/('參數'!$B$13+'參數'!$B$14+'參數'!$B$15+'參數'!$B$16),"")</f>
        <v/>
      </c>
      <c r="AR178" s="35">
        <f>IF(Y178=1,(SUMPRODUCT(($X$5:$X$404=X178)*($Y$5:$Y$404=1)*($BD$5:$BD$404&gt;BD178))+1)/COUNTIFS($X$5:$X$404,X178,$Y$5:$Y$404,1),"")</f>
        <v/>
      </c>
      <c r="AS178" s="8">
        <f>IF(ISNUMBER(AR178),IF(AR178&lt;='參數'!$B$18,"加碼候選",IF(AR178&gt;'參數'!$B$19,"減碼候選","")),"")</f>
        <v/>
      </c>
      <c r="AT178" s="7">
        <f>IF(Y178=1,N178,0)</f>
        <v/>
      </c>
      <c r="AU178" s="7">
        <f>IF(Y178=1,LN(O178),0)</f>
        <v/>
      </c>
      <c r="AV178" s="36">
        <f>IF(Y178=1,IF(ISNUMBER(F178),F178,0),0)</f>
        <v/>
      </c>
      <c r="AW178" s="7">
        <f>IF(Y178=1,Z178,0)</f>
        <v/>
      </c>
      <c r="AX178" s="7">
        <f>IF(Y178=1,IF(ISNUMBER(AL178),AL178,0),0)</f>
        <v/>
      </c>
      <c r="AY178" s="7">
        <f>IF(Y178=1,IF(ISNUMBER(AL178),1,0),0)</f>
        <v/>
      </c>
      <c r="AZ178" s="7">
        <f>IF(Y178=1,IF(ISNUMBER(AN178),AN178,0),0)</f>
        <v/>
      </c>
      <c r="BA178" s="7">
        <f>IF(Y178=1,IF(ISNUMBER(AN178),1,0),0)</f>
        <v/>
      </c>
      <c r="BB178" s="7">
        <f>IF(Y178=1,IF(ISNUMBER(T178),T178,0),0)</f>
        <v/>
      </c>
      <c r="BC178" s="7">
        <f>IF(Y178=1,IF(ISNUMBER(T178),1,0),0)</f>
        <v/>
      </c>
      <c r="BD178" s="7">
        <f>IF(Y178=1,AQ178+ROW()/1E9,-1E9)</f>
        <v/>
      </c>
      <c r="BE178" s="7">
        <f>IF(Y178=1,AQ178+ROW()/1E9,1E9)</f>
        <v/>
      </c>
    </row>
    <row r="179">
      <c r="A179" s="16" t="n"/>
      <c r="B179" s="8">
        <f>IF($A179="","",BDP($A179,B$3))</f>
        <v/>
      </c>
      <c r="C179" s="8">
        <f>IF($A179="","",BDP($A179,C$3))</f>
        <v/>
      </c>
      <c r="D179" s="28">
        <f>IF($A179="","",BDP($A179,D$3))</f>
        <v/>
      </c>
      <c r="E179" s="29">
        <f>IF($A179="","",BDP($A179,E$3))</f>
        <v/>
      </c>
      <c r="F179" s="17">
        <f>IF($A179="","",BDP($A179,F$3))</f>
        <v/>
      </c>
      <c r="G179" s="8">
        <f>IF($A179="","",BDP($A179,G$3))</f>
        <v/>
      </c>
      <c r="H179" s="8">
        <f>IF($A179="","",BDP($A179,H$3))</f>
        <v/>
      </c>
      <c r="I179" s="8">
        <f>IF($A179="","",BDP($A179,I$3))</f>
        <v/>
      </c>
      <c r="J179" s="8">
        <f>IF($A179="","",BDP($A179,J$3))</f>
        <v/>
      </c>
      <c r="K179" s="8">
        <f>IF($A179="","",BDP($A179,K$3))</f>
        <v/>
      </c>
      <c r="L179" s="28">
        <f>IF($A179="","",BDP($A179,L$3))</f>
        <v/>
      </c>
      <c r="M179" s="28">
        <f>IF($A179="","",BDP($A179,M$3))</f>
        <v/>
      </c>
      <c r="N179" s="30">
        <f>IF($A179="","",BDP($A179,N$3))</f>
        <v/>
      </c>
      <c r="O179" s="31">
        <f>IF($A179="","",BDP($A179,O$3))</f>
        <v/>
      </c>
      <c r="P179" s="30">
        <f>IF($A179="","",BDH($A179,$N$3,'參數'!$B$5,'參數'!$B$5,"Days=A","Fill=P","Dates=H"))</f>
        <v/>
      </c>
      <c r="Q179" s="30">
        <f>IF($A179="","",BDH($A179,$N$3,'參數'!$B$6,'參數'!$B$6,"Days=A","Fill=P","Dates=H"))</f>
        <v/>
      </c>
      <c r="R179" s="30">
        <f>IF($A179="","",BDH($A179,$N$3,'參數'!$B$7,'參數'!$B$7,"Days=A","Fill=P","Dates=H"))</f>
        <v/>
      </c>
      <c r="S179" s="32">
        <f>IF($A179="","",IFERROR(INDEX('發行人'!$A$5:$A$44,MATCH(B179,'發行人'!$D$5:$D$44,0)),"未對應"))</f>
        <v/>
      </c>
      <c r="T179" s="24">
        <f>IF($A179="","",IFERROR(INDEX('發行人'!$G$5:$G$44,MATCH(B179,'發行人'!$D$5:$D$44,0))+0,""))</f>
        <v/>
      </c>
      <c r="U179" s="18">
        <f>IF(ISNUMBER(E179),YEARFRAC('參數'!$B$4,E179),"")</f>
        <v/>
      </c>
      <c r="V179" s="8">
        <f>IF(U179="","",IF(U179&lt;3,"1-3y",IF(U179&lt;5,"3-5y",IF(U179&lt;7,"5-7y",IF(U179&lt;10,"7-10y","10y+")))))</f>
        <v/>
      </c>
      <c r="W179" s="30">
        <f>IF($A179="","",IFERROR(INDEX('參數'!$B$24:$B$45,MATCH(G179,'參數'!$A$24:$A$45,0)),""))</f>
        <v/>
      </c>
      <c r="X179" s="8">
        <f>IF($A179="","",IFERROR(INDEX('參數'!$C$24:$C$45,MATCH(G179,'參數'!$A$24:$A$45,0)),""))</f>
        <v/>
      </c>
      <c r="Y179" s="30">
        <f>IF(AND(ISNUMBER(N179),ISNUMBER(O179),ISNUMBER(U179)),IF(AND(O179&gt;0,X179&lt;&gt;""),1,0),0)</f>
        <v/>
      </c>
      <c r="Z179" s="17">
        <f>IF(Y179=1,O179*N179,"")</f>
        <v/>
      </c>
      <c r="AA179" s="33">
        <f>IF(Y179=1,IF(ISNUMBER(Q179),N179-Q179,""),"")</f>
        <v/>
      </c>
      <c r="AB179" s="33">
        <f>IF(Y179=1,IF(AND(ISNUMBER(P179),ISNUMBER(R179)),R179*5/12-O179*(P179-R179),""),"")</f>
        <v/>
      </c>
      <c r="AC179" s="30">
        <f>IF(Y179=1,COUNTIFS($X$5:$X$404,X179,$V$5:$V$404,V179,$Y$5:$Y$404,1),"")</f>
        <v/>
      </c>
      <c r="AD179" s="30">
        <f>IF(Y179=1,IFERROR(IF(AC179&gt;='參數'!$B$9,INDEX('分群統計'!$G$13:$K$16,MATCH(X179,'分群統計'!$A$13:$A$16,0),MATCH(V179,'分群統計'!$G$12:$K$12,0)),INDEX('分群統計'!$I$5:$I$8,MATCH(X179,'分群統計'!$A$5:$A$8,0))),""),"")</f>
        <v/>
      </c>
      <c r="AE179" s="18">
        <f>IF(Y179=1,IFERROR(IF(AC179&gt;='參數'!$B$9,INDEX('分群統計'!$L$13:$P$16,MATCH(X179,'分群統計'!$A$13:$A$16,0),MATCH(V179,'分群統計'!$L$12:$P$12,0)),INDEX('分群統計'!$J$5:$J$8,MATCH(X179,'分群統計'!$A$5:$A$8,0))),""),"")</f>
        <v/>
      </c>
      <c r="AF179" s="31">
        <f>IF(ISNUMBER(AE179),IF(AE179&gt;0,MAX(-3,MIN(3,(N179-AD179)/AE179)),0),"")</f>
        <v/>
      </c>
      <c r="AG179" s="30">
        <f>IF(Y179=1,COUNTIFS($B$5:$B$404,B179,$Y$5:$Y$404,1),"")</f>
        <v/>
      </c>
      <c r="AH179" s="30">
        <f>IF(Y179=1,IFERROR(IF(ISNUMBER(INDEX('分群統計'!$G$20:$G$59,MATCH(B179,'分群統計'!$A$20:$A$59,0))),INDEX('分群統計'!$H$20:$H$59,MATCH(B179,'分群統計'!$A$20:$A$59,0))+INDEX('分群統計'!$G$20:$G$59,MATCH(B179,'分群統計'!$A$20:$A$59,0))*AU179,""),""),"")</f>
        <v/>
      </c>
      <c r="AI179" s="34">
        <f>IF(ISNUMBER(AH179),N179-AH179,"")</f>
        <v/>
      </c>
      <c r="AJ179" s="30">
        <f>IF(Y179=1,IFERROR(IF(ISNUMBER(INDEX('分群統計'!$G$5:$G$8,MATCH(X179,'分群統計'!$A$5:$A$8,0))),INDEX('分群統計'!$H$5:$H$8,MATCH(X179,'分群統計'!$A$5:$A$8,0))+INDEX('分群統計'!$G$5:$G$8,MATCH(X179,'分群統計'!$A$5:$A$8,0))*AU179,""),""),"")</f>
        <v/>
      </c>
      <c r="AK179" s="34">
        <f>IF(ISNUMBER(AJ179),N179-AJ179,"")</f>
        <v/>
      </c>
      <c r="AL179" s="21">
        <f>IF(ISNUMBER(AJ179),IF(AJ179&gt;0,AK179/AJ179,""),"")</f>
        <v/>
      </c>
      <c r="AM179" s="31">
        <f>IF(AY179&lt;&gt;1,"",IFERROR(IF(INDEX('分群統計'!$K$5:$K$8,MATCH(X179,'分群統計'!$A$5:$A$8,0))&lt;3,"",IF(INDEX('分群統計'!$M$5:$M$8,MATCH(X179,'分群統計'!$A$5:$A$8,0))&gt;0,MAX(-3,MIN(3,(AX179-INDEX('分群統計'!$L$5:$L$8,MATCH(X179,'分群統計'!$A$5:$A$8,0)))/INDEX('分群統計'!$M$5:$M$8,MATCH(X179,'分群統計'!$A$5:$A$8,0)))),0)),""))</f>
        <v/>
      </c>
      <c r="AN179" s="31">
        <f>IF(ISNUMBER(AB179),IF(Z179&gt;0,AB179/Z179*100,""),"")</f>
        <v/>
      </c>
      <c r="AO179" s="31">
        <f>IF(BA179&lt;&gt;1,"",IFERROR(IF(INDEX('分群統計'!$N$5:$N$8,MATCH(X179,'分群統計'!$A$5:$A$8,0))&lt;3,"",IF(INDEX('分群統計'!$P$5:$P$8,MATCH(X179,'分群統計'!$A$5:$A$8,0))&gt;0,MAX(-3,MIN(3,(AZ179-INDEX('分群統計'!$O$5:$O$8,MATCH(X179,'分群統計'!$A$5:$A$8,0)))/INDEX('分群統計'!$P$5:$P$8,MATCH(X179,'分群統計'!$A$5:$A$8,0)))),0)),""))</f>
        <v/>
      </c>
      <c r="AP179" s="31">
        <f>IF(BC179&lt;&gt;1,"",IFERROR(IF(INDEX('分群統計'!$Q$5:$Q$8,MATCH(X179,'分群統計'!$A$5:$A$8,0))&lt;3,"",IF(INDEX('分群統計'!$S$5:$S$8,MATCH(X179,'分群統計'!$A$5:$A$8,0))&gt;0,MAX(-3,MIN(3,(BB179-INDEX('分群統計'!$R$5:$R$8,MATCH(X179,'分群統計'!$A$5:$A$8,0)))/INDEX('分群統計'!$S$5:$S$8,MATCH(X179,'分群統計'!$A$5:$A$8,0)))),0)),""))</f>
        <v/>
      </c>
      <c r="AQ179" s="31">
        <f>IF(Y179=1,(IF(ISNUMBER(AF179),AF179,0)*'參數'!$B$13+IF(ISNUMBER(AM179),AM179,0)*'參數'!$B$14+IF(ISNUMBER(AO179),AO179,0)*'參數'!$B$15+IF(ISNUMBER(AP179),AP179,0)*'參數'!$B$16)/('參數'!$B$13+'參數'!$B$14+'參數'!$B$15+'參數'!$B$16),"")</f>
        <v/>
      </c>
      <c r="AR179" s="35">
        <f>IF(Y179=1,(SUMPRODUCT(($X$5:$X$404=X179)*($Y$5:$Y$404=1)*($BD$5:$BD$404&gt;BD179))+1)/COUNTIFS($X$5:$X$404,X179,$Y$5:$Y$404,1),"")</f>
        <v/>
      </c>
      <c r="AS179" s="8">
        <f>IF(ISNUMBER(AR179),IF(AR179&lt;='參數'!$B$18,"加碼候選",IF(AR179&gt;'參數'!$B$19,"減碼候選","")),"")</f>
        <v/>
      </c>
      <c r="AT179" s="7">
        <f>IF(Y179=1,N179,0)</f>
        <v/>
      </c>
      <c r="AU179" s="7">
        <f>IF(Y179=1,LN(O179),0)</f>
        <v/>
      </c>
      <c r="AV179" s="36">
        <f>IF(Y179=1,IF(ISNUMBER(F179),F179,0),0)</f>
        <v/>
      </c>
      <c r="AW179" s="7">
        <f>IF(Y179=1,Z179,0)</f>
        <v/>
      </c>
      <c r="AX179" s="7">
        <f>IF(Y179=1,IF(ISNUMBER(AL179),AL179,0),0)</f>
        <v/>
      </c>
      <c r="AY179" s="7">
        <f>IF(Y179=1,IF(ISNUMBER(AL179),1,0),0)</f>
        <v/>
      </c>
      <c r="AZ179" s="7">
        <f>IF(Y179=1,IF(ISNUMBER(AN179),AN179,0),0)</f>
        <v/>
      </c>
      <c r="BA179" s="7">
        <f>IF(Y179=1,IF(ISNUMBER(AN179),1,0),0)</f>
        <v/>
      </c>
      <c r="BB179" s="7">
        <f>IF(Y179=1,IF(ISNUMBER(T179),T179,0),0)</f>
        <v/>
      </c>
      <c r="BC179" s="7">
        <f>IF(Y179=1,IF(ISNUMBER(T179),1,0),0)</f>
        <v/>
      </c>
      <c r="BD179" s="7">
        <f>IF(Y179=1,AQ179+ROW()/1E9,-1E9)</f>
        <v/>
      </c>
      <c r="BE179" s="7">
        <f>IF(Y179=1,AQ179+ROW()/1E9,1E9)</f>
        <v/>
      </c>
    </row>
    <row r="180">
      <c r="A180" s="16" t="n"/>
      <c r="B180" s="8">
        <f>IF($A180="","",BDP($A180,B$3))</f>
        <v/>
      </c>
      <c r="C180" s="8">
        <f>IF($A180="","",BDP($A180,C$3))</f>
        <v/>
      </c>
      <c r="D180" s="28">
        <f>IF($A180="","",BDP($A180,D$3))</f>
        <v/>
      </c>
      <c r="E180" s="29">
        <f>IF($A180="","",BDP($A180,E$3))</f>
        <v/>
      </c>
      <c r="F180" s="17">
        <f>IF($A180="","",BDP($A180,F$3))</f>
        <v/>
      </c>
      <c r="G180" s="8">
        <f>IF($A180="","",BDP($A180,G$3))</f>
        <v/>
      </c>
      <c r="H180" s="8">
        <f>IF($A180="","",BDP($A180,H$3))</f>
        <v/>
      </c>
      <c r="I180" s="8">
        <f>IF($A180="","",BDP($A180,I$3))</f>
        <v/>
      </c>
      <c r="J180" s="8">
        <f>IF($A180="","",BDP($A180,J$3))</f>
        <v/>
      </c>
      <c r="K180" s="8">
        <f>IF($A180="","",BDP($A180,K$3))</f>
        <v/>
      </c>
      <c r="L180" s="28">
        <f>IF($A180="","",BDP($A180,L$3))</f>
        <v/>
      </c>
      <c r="M180" s="28">
        <f>IF($A180="","",BDP($A180,M$3))</f>
        <v/>
      </c>
      <c r="N180" s="30">
        <f>IF($A180="","",BDP($A180,N$3))</f>
        <v/>
      </c>
      <c r="O180" s="31">
        <f>IF($A180="","",BDP($A180,O$3))</f>
        <v/>
      </c>
      <c r="P180" s="30">
        <f>IF($A180="","",BDH($A180,$N$3,'參數'!$B$5,'參數'!$B$5,"Days=A","Fill=P","Dates=H"))</f>
        <v/>
      </c>
      <c r="Q180" s="30">
        <f>IF($A180="","",BDH($A180,$N$3,'參數'!$B$6,'參數'!$B$6,"Days=A","Fill=P","Dates=H"))</f>
        <v/>
      </c>
      <c r="R180" s="30">
        <f>IF($A180="","",BDH($A180,$N$3,'參數'!$B$7,'參數'!$B$7,"Days=A","Fill=P","Dates=H"))</f>
        <v/>
      </c>
      <c r="S180" s="32">
        <f>IF($A180="","",IFERROR(INDEX('發行人'!$A$5:$A$44,MATCH(B180,'發行人'!$D$5:$D$44,0)),"未對應"))</f>
        <v/>
      </c>
      <c r="T180" s="24">
        <f>IF($A180="","",IFERROR(INDEX('發行人'!$G$5:$G$44,MATCH(B180,'發行人'!$D$5:$D$44,0))+0,""))</f>
        <v/>
      </c>
      <c r="U180" s="18">
        <f>IF(ISNUMBER(E180),YEARFRAC('參數'!$B$4,E180),"")</f>
        <v/>
      </c>
      <c r="V180" s="8">
        <f>IF(U180="","",IF(U180&lt;3,"1-3y",IF(U180&lt;5,"3-5y",IF(U180&lt;7,"5-7y",IF(U180&lt;10,"7-10y","10y+")))))</f>
        <v/>
      </c>
      <c r="W180" s="30">
        <f>IF($A180="","",IFERROR(INDEX('參數'!$B$24:$B$45,MATCH(G180,'參數'!$A$24:$A$45,0)),""))</f>
        <v/>
      </c>
      <c r="X180" s="8">
        <f>IF($A180="","",IFERROR(INDEX('參數'!$C$24:$C$45,MATCH(G180,'參數'!$A$24:$A$45,0)),""))</f>
        <v/>
      </c>
      <c r="Y180" s="30">
        <f>IF(AND(ISNUMBER(N180),ISNUMBER(O180),ISNUMBER(U180)),IF(AND(O180&gt;0,X180&lt;&gt;""),1,0),0)</f>
        <v/>
      </c>
      <c r="Z180" s="17">
        <f>IF(Y180=1,O180*N180,"")</f>
        <v/>
      </c>
      <c r="AA180" s="33">
        <f>IF(Y180=1,IF(ISNUMBER(Q180),N180-Q180,""),"")</f>
        <v/>
      </c>
      <c r="AB180" s="33">
        <f>IF(Y180=1,IF(AND(ISNUMBER(P180),ISNUMBER(R180)),R180*5/12-O180*(P180-R180),""),"")</f>
        <v/>
      </c>
      <c r="AC180" s="30">
        <f>IF(Y180=1,COUNTIFS($X$5:$X$404,X180,$V$5:$V$404,V180,$Y$5:$Y$404,1),"")</f>
        <v/>
      </c>
      <c r="AD180" s="30">
        <f>IF(Y180=1,IFERROR(IF(AC180&gt;='參數'!$B$9,INDEX('分群統計'!$G$13:$K$16,MATCH(X180,'分群統計'!$A$13:$A$16,0),MATCH(V180,'分群統計'!$G$12:$K$12,0)),INDEX('分群統計'!$I$5:$I$8,MATCH(X180,'分群統計'!$A$5:$A$8,0))),""),"")</f>
        <v/>
      </c>
      <c r="AE180" s="18">
        <f>IF(Y180=1,IFERROR(IF(AC180&gt;='參數'!$B$9,INDEX('分群統計'!$L$13:$P$16,MATCH(X180,'分群統計'!$A$13:$A$16,0),MATCH(V180,'分群統計'!$L$12:$P$12,0)),INDEX('分群統計'!$J$5:$J$8,MATCH(X180,'分群統計'!$A$5:$A$8,0))),""),"")</f>
        <v/>
      </c>
      <c r="AF180" s="31">
        <f>IF(ISNUMBER(AE180),IF(AE180&gt;0,MAX(-3,MIN(3,(N180-AD180)/AE180)),0),"")</f>
        <v/>
      </c>
      <c r="AG180" s="30">
        <f>IF(Y180=1,COUNTIFS($B$5:$B$404,B180,$Y$5:$Y$404,1),"")</f>
        <v/>
      </c>
      <c r="AH180" s="30">
        <f>IF(Y180=1,IFERROR(IF(ISNUMBER(INDEX('分群統計'!$G$20:$G$59,MATCH(B180,'分群統計'!$A$20:$A$59,0))),INDEX('分群統計'!$H$20:$H$59,MATCH(B180,'分群統計'!$A$20:$A$59,0))+INDEX('分群統計'!$G$20:$G$59,MATCH(B180,'分群統計'!$A$20:$A$59,0))*AU180,""),""),"")</f>
        <v/>
      </c>
      <c r="AI180" s="34">
        <f>IF(ISNUMBER(AH180),N180-AH180,"")</f>
        <v/>
      </c>
      <c r="AJ180" s="30">
        <f>IF(Y180=1,IFERROR(IF(ISNUMBER(INDEX('分群統計'!$G$5:$G$8,MATCH(X180,'分群統計'!$A$5:$A$8,0))),INDEX('分群統計'!$H$5:$H$8,MATCH(X180,'分群統計'!$A$5:$A$8,0))+INDEX('分群統計'!$G$5:$G$8,MATCH(X180,'分群統計'!$A$5:$A$8,0))*AU180,""),""),"")</f>
        <v/>
      </c>
      <c r="AK180" s="34">
        <f>IF(ISNUMBER(AJ180),N180-AJ180,"")</f>
        <v/>
      </c>
      <c r="AL180" s="21">
        <f>IF(ISNUMBER(AJ180),IF(AJ180&gt;0,AK180/AJ180,""),"")</f>
        <v/>
      </c>
      <c r="AM180" s="31">
        <f>IF(AY180&lt;&gt;1,"",IFERROR(IF(INDEX('分群統計'!$K$5:$K$8,MATCH(X180,'分群統計'!$A$5:$A$8,0))&lt;3,"",IF(INDEX('分群統計'!$M$5:$M$8,MATCH(X180,'分群統計'!$A$5:$A$8,0))&gt;0,MAX(-3,MIN(3,(AX180-INDEX('分群統計'!$L$5:$L$8,MATCH(X180,'分群統計'!$A$5:$A$8,0)))/INDEX('分群統計'!$M$5:$M$8,MATCH(X180,'分群統計'!$A$5:$A$8,0)))),0)),""))</f>
        <v/>
      </c>
      <c r="AN180" s="31">
        <f>IF(ISNUMBER(AB180),IF(Z180&gt;0,AB180/Z180*100,""),"")</f>
        <v/>
      </c>
      <c r="AO180" s="31">
        <f>IF(BA180&lt;&gt;1,"",IFERROR(IF(INDEX('分群統計'!$N$5:$N$8,MATCH(X180,'分群統計'!$A$5:$A$8,0))&lt;3,"",IF(INDEX('分群統計'!$P$5:$P$8,MATCH(X180,'分群統計'!$A$5:$A$8,0))&gt;0,MAX(-3,MIN(3,(AZ180-INDEX('分群統計'!$O$5:$O$8,MATCH(X180,'分群統計'!$A$5:$A$8,0)))/INDEX('分群統計'!$P$5:$P$8,MATCH(X180,'分群統計'!$A$5:$A$8,0)))),0)),""))</f>
        <v/>
      </c>
      <c r="AP180" s="31">
        <f>IF(BC180&lt;&gt;1,"",IFERROR(IF(INDEX('分群統計'!$Q$5:$Q$8,MATCH(X180,'分群統計'!$A$5:$A$8,0))&lt;3,"",IF(INDEX('分群統計'!$S$5:$S$8,MATCH(X180,'分群統計'!$A$5:$A$8,0))&gt;0,MAX(-3,MIN(3,(BB180-INDEX('分群統計'!$R$5:$R$8,MATCH(X180,'分群統計'!$A$5:$A$8,0)))/INDEX('分群統計'!$S$5:$S$8,MATCH(X180,'分群統計'!$A$5:$A$8,0)))),0)),""))</f>
        <v/>
      </c>
      <c r="AQ180" s="31">
        <f>IF(Y180=1,(IF(ISNUMBER(AF180),AF180,0)*'參數'!$B$13+IF(ISNUMBER(AM180),AM180,0)*'參數'!$B$14+IF(ISNUMBER(AO180),AO180,0)*'參數'!$B$15+IF(ISNUMBER(AP180),AP180,0)*'參數'!$B$16)/('參數'!$B$13+'參數'!$B$14+'參數'!$B$15+'參數'!$B$16),"")</f>
        <v/>
      </c>
      <c r="AR180" s="35">
        <f>IF(Y180=1,(SUMPRODUCT(($X$5:$X$404=X180)*($Y$5:$Y$404=1)*($BD$5:$BD$404&gt;BD180))+1)/COUNTIFS($X$5:$X$404,X180,$Y$5:$Y$404,1),"")</f>
        <v/>
      </c>
      <c r="AS180" s="8">
        <f>IF(ISNUMBER(AR180),IF(AR180&lt;='參數'!$B$18,"加碼候選",IF(AR180&gt;'參數'!$B$19,"減碼候選","")),"")</f>
        <v/>
      </c>
      <c r="AT180" s="7">
        <f>IF(Y180=1,N180,0)</f>
        <v/>
      </c>
      <c r="AU180" s="7">
        <f>IF(Y180=1,LN(O180),0)</f>
        <v/>
      </c>
      <c r="AV180" s="36">
        <f>IF(Y180=1,IF(ISNUMBER(F180),F180,0),0)</f>
        <v/>
      </c>
      <c r="AW180" s="7">
        <f>IF(Y180=1,Z180,0)</f>
        <v/>
      </c>
      <c r="AX180" s="7">
        <f>IF(Y180=1,IF(ISNUMBER(AL180),AL180,0),0)</f>
        <v/>
      </c>
      <c r="AY180" s="7">
        <f>IF(Y180=1,IF(ISNUMBER(AL180),1,0),0)</f>
        <v/>
      </c>
      <c r="AZ180" s="7">
        <f>IF(Y180=1,IF(ISNUMBER(AN180),AN180,0),0)</f>
        <v/>
      </c>
      <c r="BA180" s="7">
        <f>IF(Y180=1,IF(ISNUMBER(AN180),1,0),0)</f>
        <v/>
      </c>
      <c r="BB180" s="7">
        <f>IF(Y180=1,IF(ISNUMBER(T180),T180,0),0)</f>
        <v/>
      </c>
      <c r="BC180" s="7">
        <f>IF(Y180=1,IF(ISNUMBER(T180),1,0),0)</f>
        <v/>
      </c>
      <c r="BD180" s="7">
        <f>IF(Y180=1,AQ180+ROW()/1E9,-1E9)</f>
        <v/>
      </c>
      <c r="BE180" s="7">
        <f>IF(Y180=1,AQ180+ROW()/1E9,1E9)</f>
        <v/>
      </c>
    </row>
    <row r="181">
      <c r="A181" s="16" t="n"/>
      <c r="B181" s="8">
        <f>IF($A181="","",BDP($A181,B$3))</f>
        <v/>
      </c>
      <c r="C181" s="8">
        <f>IF($A181="","",BDP($A181,C$3))</f>
        <v/>
      </c>
      <c r="D181" s="28">
        <f>IF($A181="","",BDP($A181,D$3))</f>
        <v/>
      </c>
      <c r="E181" s="29">
        <f>IF($A181="","",BDP($A181,E$3))</f>
        <v/>
      </c>
      <c r="F181" s="17">
        <f>IF($A181="","",BDP($A181,F$3))</f>
        <v/>
      </c>
      <c r="G181" s="8">
        <f>IF($A181="","",BDP($A181,G$3))</f>
        <v/>
      </c>
      <c r="H181" s="8">
        <f>IF($A181="","",BDP($A181,H$3))</f>
        <v/>
      </c>
      <c r="I181" s="8">
        <f>IF($A181="","",BDP($A181,I$3))</f>
        <v/>
      </c>
      <c r="J181" s="8">
        <f>IF($A181="","",BDP($A181,J$3))</f>
        <v/>
      </c>
      <c r="K181" s="8">
        <f>IF($A181="","",BDP($A181,K$3))</f>
        <v/>
      </c>
      <c r="L181" s="28">
        <f>IF($A181="","",BDP($A181,L$3))</f>
        <v/>
      </c>
      <c r="M181" s="28">
        <f>IF($A181="","",BDP($A181,M$3))</f>
        <v/>
      </c>
      <c r="N181" s="30">
        <f>IF($A181="","",BDP($A181,N$3))</f>
        <v/>
      </c>
      <c r="O181" s="31">
        <f>IF($A181="","",BDP($A181,O$3))</f>
        <v/>
      </c>
      <c r="P181" s="30">
        <f>IF($A181="","",BDH($A181,$N$3,'參數'!$B$5,'參數'!$B$5,"Days=A","Fill=P","Dates=H"))</f>
        <v/>
      </c>
      <c r="Q181" s="30">
        <f>IF($A181="","",BDH($A181,$N$3,'參數'!$B$6,'參數'!$B$6,"Days=A","Fill=P","Dates=H"))</f>
        <v/>
      </c>
      <c r="R181" s="30">
        <f>IF($A181="","",BDH($A181,$N$3,'參數'!$B$7,'參數'!$B$7,"Days=A","Fill=P","Dates=H"))</f>
        <v/>
      </c>
      <c r="S181" s="32">
        <f>IF($A181="","",IFERROR(INDEX('發行人'!$A$5:$A$44,MATCH(B181,'發行人'!$D$5:$D$44,0)),"未對應"))</f>
        <v/>
      </c>
      <c r="T181" s="24">
        <f>IF($A181="","",IFERROR(INDEX('發行人'!$G$5:$G$44,MATCH(B181,'發行人'!$D$5:$D$44,0))+0,""))</f>
        <v/>
      </c>
      <c r="U181" s="18">
        <f>IF(ISNUMBER(E181),YEARFRAC('參數'!$B$4,E181),"")</f>
        <v/>
      </c>
      <c r="V181" s="8">
        <f>IF(U181="","",IF(U181&lt;3,"1-3y",IF(U181&lt;5,"3-5y",IF(U181&lt;7,"5-7y",IF(U181&lt;10,"7-10y","10y+")))))</f>
        <v/>
      </c>
      <c r="W181" s="30">
        <f>IF($A181="","",IFERROR(INDEX('參數'!$B$24:$B$45,MATCH(G181,'參數'!$A$24:$A$45,0)),""))</f>
        <v/>
      </c>
      <c r="X181" s="8">
        <f>IF($A181="","",IFERROR(INDEX('參數'!$C$24:$C$45,MATCH(G181,'參數'!$A$24:$A$45,0)),""))</f>
        <v/>
      </c>
      <c r="Y181" s="30">
        <f>IF(AND(ISNUMBER(N181),ISNUMBER(O181),ISNUMBER(U181)),IF(AND(O181&gt;0,X181&lt;&gt;""),1,0),0)</f>
        <v/>
      </c>
      <c r="Z181" s="17">
        <f>IF(Y181=1,O181*N181,"")</f>
        <v/>
      </c>
      <c r="AA181" s="33">
        <f>IF(Y181=1,IF(ISNUMBER(Q181),N181-Q181,""),"")</f>
        <v/>
      </c>
      <c r="AB181" s="33">
        <f>IF(Y181=1,IF(AND(ISNUMBER(P181),ISNUMBER(R181)),R181*5/12-O181*(P181-R181),""),"")</f>
        <v/>
      </c>
      <c r="AC181" s="30">
        <f>IF(Y181=1,COUNTIFS($X$5:$X$404,X181,$V$5:$V$404,V181,$Y$5:$Y$404,1),"")</f>
        <v/>
      </c>
      <c r="AD181" s="30">
        <f>IF(Y181=1,IFERROR(IF(AC181&gt;='參數'!$B$9,INDEX('分群統計'!$G$13:$K$16,MATCH(X181,'分群統計'!$A$13:$A$16,0),MATCH(V181,'分群統計'!$G$12:$K$12,0)),INDEX('分群統計'!$I$5:$I$8,MATCH(X181,'分群統計'!$A$5:$A$8,0))),""),"")</f>
        <v/>
      </c>
      <c r="AE181" s="18">
        <f>IF(Y181=1,IFERROR(IF(AC181&gt;='參數'!$B$9,INDEX('分群統計'!$L$13:$P$16,MATCH(X181,'分群統計'!$A$13:$A$16,0),MATCH(V181,'分群統計'!$L$12:$P$12,0)),INDEX('分群統計'!$J$5:$J$8,MATCH(X181,'分群統計'!$A$5:$A$8,0))),""),"")</f>
        <v/>
      </c>
      <c r="AF181" s="31">
        <f>IF(ISNUMBER(AE181),IF(AE181&gt;0,MAX(-3,MIN(3,(N181-AD181)/AE181)),0),"")</f>
        <v/>
      </c>
      <c r="AG181" s="30">
        <f>IF(Y181=1,COUNTIFS($B$5:$B$404,B181,$Y$5:$Y$404,1),"")</f>
        <v/>
      </c>
      <c r="AH181" s="30">
        <f>IF(Y181=1,IFERROR(IF(ISNUMBER(INDEX('分群統計'!$G$20:$G$59,MATCH(B181,'分群統計'!$A$20:$A$59,0))),INDEX('分群統計'!$H$20:$H$59,MATCH(B181,'分群統計'!$A$20:$A$59,0))+INDEX('分群統計'!$G$20:$G$59,MATCH(B181,'分群統計'!$A$20:$A$59,0))*AU181,""),""),"")</f>
        <v/>
      </c>
      <c r="AI181" s="34">
        <f>IF(ISNUMBER(AH181),N181-AH181,"")</f>
        <v/>
      </c>
      <c r="AJ181" s="30">
        <f>IF(Y181=1,IFERROR(IF(ISNUMBER(INDEX('分群統計'!$G$5:$G$8,MATCH(X181,'分群統計'!$A$5:$A$8,0))),INDEX('分群統計'!$H$5:$H$8,MATCH(X181,'分群統計'!$A$5:$A$8,0))+INDEX('分群統計'!$G$5:$G$8,MATCH(X181,'分群統計'!$A$5:$A$8,0))*AU181,""),""),"")</f>
        <v/>
      </c>
      <c r="AK181" s="34">
        <f>IF(ISNUMBER(AJ181),N181-AJ181,"")</f>
        <v/>
      </c>
      <c r="AL181" s="21">
        <f>IF(ISNUMBER(AJ181),IF(AJ181&gt;0,AK181/AJ181,""),"")</f>
        <v/>
      </c>
      <c r="AM181" s="31">
        <f>IF(AY181&lt;&gt;1,"",IFERROR(IF(INDEX('分群統計'!$K$5:$K$8,MATCH(X181,'分群統計'!$A$5:$A$8,0))&lt;3,"",IF(INDEX('分群統計'!$M$5:$M$8,MATCH(X181,'分群統計'!$A$5:$A$8,0))&gt;0,MAX(-3,MIN(3,(AX181-INDEX('分群統計'!$L$5:$L$8,MATCH(X181,'分群統計'!$A$5:$A$8,0)))/INDEX('分群統計'!$M$5:$M$8,MATCH(X181,'分群統計'!$A$5:$A$8,0)))),0)),""))</f>
        <v/>
      </c>
      <c r="AN181" s="31">
        <f>IF(ISNUMBER(AB181),IF(Z181&gt;0,AB181/Z181*100,""),"")</f>
        <v/>
      </c>
      <c r="AO181" s="31">
        <f>IF(BA181&lt;&gt;1,"",IFERROR(IF(INDEX('分群統計'!$N$5:$N$8,MATCH(X181,'分群統計'!$A$5:$A$8,0))&lt;3,"",IF(INDEX('分群統計'!$P$5:$P$8,MATCH(X181,'分群統計'!$A$5:$A$8,0))&gt;0,MAX(-3,MIN(3,(AZ181-INDEX('分群統計'!$O$5:$O$8,MATCH(X181,'分群統計'!$A$5:$A$8,0)))/INDEX('分群統計'!$P$5:$P$8,MATCH(X181,'分群統計'!$A$5:$A$8,0)))),0)),""))</f>
        <v/>
      </c>
      <c r="AP181" s="31">
        <f>IF(BC181&lt;&gt;1,"",IFERROR(IF(INDEX('分群統計'!$Q$5:$Q$8,MATCH(X181,'分群統計'!$A$5:$A$8,0))&lt;3,"",IF(INDEX('分群統計'!$S$5:$S$8,MATCH(X181,'分群統計'!$A$5:$A$8,0))&gt;0,MAX(-3,MIN(3,(BB181-INDEX('分群統計'!$R$5:$R$8,MATCH(X181,'分群統計'!$A$5:$A$8,0)))/INDEX('分群統計'!$S$5:$S$8,MATCH(X181,'分群統計'!$A$5:$A$8,0)))),0)),""))</f>
        <v/>
      </c>
      <c r="AQ181" s="31">
        <f>IF(Y181=1,(IF(ISNUMBER(AF181),AF181,0)*'參數'!$B$13+IF(ISNUMBER(AM181),AM181,0)*'參數'!$B$14+IF(ISNUMBER(AO181),AO181,0)*'參數'!$B$15+IF(ISNUMBER(AP181),AP181,0)*'參數'!$B$16)/('參數'!$B$13+'參數'!$B$14+'參數'!$B$15+'參數'!$B$16),"")</f>
        <v/>
      </c>
      <c r="AR181" s="35">
        <f>IF(Y181=1,(SUMPRODUCT(($X$5:$X$404=X181)*($Y$5:$Y$404=1)*($BD$5:$BD$404&gt;BD181))+1)/COUNTIFS($X$5:$X$404,X181,$Y$5:$Y$404,1),"")</f>
        <v/>
      </c>
      <c r="AS181" s="8">
        <f>IF(ISNUMBER(AR181),IF(AR181&lt;='參數'!$B$18,"加碼候選",IF(AR181&gt;'參數'!$B$19,"減碼候選","")),"")</f>
        <v/>
      </c>
      <c r="AT181" s="7">
        <f>IF(Y181=1,N181,0)</f>
        <v/>
      </c>
      <c r="AU181" s="7">
        <f>IF(Y181=1,LN(O181),0)</f>
        <v/>
      </c>
      <c r="AV181" s="36">
        <f>IF(Y181=1,IF(ISNUMBER(F181),F181,0),0)</f>
        <v/>
      </c>
      <c r="AW181" s="7">
        <f>IF(Y181=1,Z181,0)</f>
        <v/>
      </c>
      <c r="AX181" s="7">
        <f>IF(Y181=1,IF(ISNUMBER(AL181),AL181,0),0)</f>
        <v/>
      </c>
      <c r="AY181" s="7">
        <f>IF(Y181=1,IF(ISNUMBER(AL181),1,0),0)</f>
        <v/>
      </c>
      <c r="AZ181" s="7">
        <f>IF(Y181=1,IF(ISNUMBER(AN181),AN181,0),0)</f>
        <v/>
      </c>
      <c r="BA181" s="7">
        <f>IF(Y181=1,IF(ISNUMBER(AN181),1,0),0)</f>
        <v/>
      </c>
      <c r="BB181" s="7">
        <f>IF(Y181=1,IF(ISNUMBER(T181),T181,0),0)</f>
        <v/>
      </c>
      <c r="BC181" s="7">
        <f>IF(Y181=1,IF(ISNUMBER(T181),1,0),0)</f>
        <v/>
      </c>
      <c r="BD181" s="7">
        <f>IF(Y181=1,AQ181+ROW()/1E9,-1E9)</f>
        <v/>
      </c>
      <c r="BE181" s="7">
        <f>IF(Y181=1,AQ181+ROW()/1E9,1E9)</f>
        <v/>
      </c>
    </row>
    <row r="182">
      <c r="A182" s="16" t="n"/>
      <c r="B182" s="8">
        <f>IF($A182="","",BDP($A182,B$3))</f>
        <v/>
      </c>
      <c r="C182" s="8">
        <f>IF($A182="","",BDP($A182,C$3))</f>
        <v/>
      </c>
      <c r="D182" s="28">
        <f>IF($A182="","",BDP($A182,D$3))</f>
        <v/>
      </c>
      <c r="E182" s="29">
        <f>IF($A182="","",BDP($A182,E$3))</f>
        <v/>
      </c>
      <c r="F182" s="17">
        <f>IF($A182="","",BDP($A182,F$3))</f>
        <v/>
      </c>
      <c r="G182" s="8">
        <f>IF($A182="","",BDP($A182,G$3))</f>
        <v/>
      </c>
      <c r="H182" s="8">
        <f>IF($A182="","",BDP($A182,H$3))</f>
        <v/>
      </c>
      <c r="I182" s="8">
        <f>IF($A182="","",BDP($A182,I$3))</f>
        <v/>
      </c>
      <c r="J182" s="8">
        <f>IF($A182="","",BDP($A182,J$3))</f>
        <v/>
      </c>
      <c r="K182" s="8">
        <f>IF($A182="","",BDP($A182,K$3))</f>
        <v/>
      </c>
      <c r="L182" s="28">
        <f>IF($A182="","",BDP($A182,L$3))</f>
        <v/>
      </c>
      <c r="M182" s="28">
        <f>IF($A182="","",BDP($A182,M$3))</f>
        <v/>
      </c>
      <c r="N182" s="30">
        <f>IF($A182="","",BDP($A182,N$3))</f>
        <v/>
      </c>
      <c r="O182" s="31">
        <f>IF($A182="","",BDP($A182,O$3))</f>
        <v/>
      </c>
      <c r="P182" s="30">
        <f>IF($A182="","",BDH($A182,$N$3,'參數'!$B$5,'參數'!$B$5,"Days=A","Fill=P","Dates=H"))</f>
        <v/>
      </c>
      <c r="Q182" s="30">
        <f>IF($A182="","",BDH($A182,$N$3,'參數'!$B$6,'參數'!$B$6,"Days=A","Fill=P","Dates=H"))</f>
        <v/>
      </c>
      <c r="R182" s="30">
        <f>IF($A182="","",BDH($A182,$N$3,'參數'!$B$7,'參數'!$B$7,"Days=A","Fill=P","Dates=H"))</f>
        <v/>
      </c>
      <c r="S182" s="32">
        <f>IF($A182="","",IFERROR(INDEX('發行人'!$A$5:$A$44,MATCH(B182,'發行人'!$D$5:$D$44,0)),"未對應"))</f>
        <v/>
      </c>
      <c r="T182" s="24">
        <f>IF($A182="","",IFERROR(INDEX('發行人'!$G$5:$G$44,MATCH(B182,'發行人'!$D$5:$D$44,0))+0,""))</f>
        <v/>
      </c>
      <c r="U182" s="18">
        <f>IF(ISNUMBER(E182),YEARFRAC('參數'!$B$4,E182),"")</f>
        <v/>
      </c>
      <c r="V182" s="8">
        <f>IF(U182="","",IF(U182&lt;3,"1-3y",IF(U182&lt;5,"3-5y",IF(U182&lt;7,"5-7y",IF(U182&lt;10,"7-10y","10y+")))))</f>
        <v/>
      </c>
      <c r="W182" s="30">
        <f>IF($A182="","",IFERROR(INDEX('參數'!$B$24:$B$45,MATCH(G182,'參數'!$A$24:$A$45,0)),""))</f>
        <v/>
      </c>
      <c r="X182" s="8">
        <f>IF($A182="","",IFERROR(INDEX('參數'!$C$24:$C$45,MATCH(G182,'參數'!$A$24:$A$45,0)),""))</f>
        <v/>
      </c>
      <c r="Y182" s="30">
        <f>IF(AND(ISNUMBER(N182),ISNUMBER(O182),ISNUMBER(U182)),IF(AND(O182&gt;0,X182&lt;&gt;""),1,0),0)</f>
        <v/>
      </c>
      <c r="Z182" s="17">
        <f>IF(Y182=1,O182*N182,"")</f>
        <v/>
      </c>
      <c r="AA182" s="33">
        <f>IF(Y182=1,IF(ISNUMBER(Q182),N182-Q182,""),"")</f>
        <v/>
      </c>
      <c r="AB182" s="33">
        <f>IF(Y182=1,IF(AND(ISNUMBER(P182),ISNUMBER(R182)),R182*5/12-O182*(P182-R182),""),"")</f>
        <v/>
      </c>
      <c r="AC182" s="30">
        <f>IF(Y182=1,COUNTIFS($X$5:$X$404,X182,$V$5:$V$404,V182,$Y$5:$Y$404,1),"")</f>
        <v/>
      </c>
      <c r="AD182" s="30">
        <f>IF(Y182=1,IFERROR(IF(AC182&gt;='參數'!$B$9,INDEX('分群統計'!$G$13:$K$16,MATCH(X182,'分群統計'!$A$13:$A$16,0),MATCH(V182,'分群統計'!$G$12:$K$12,0)),INDEX('分群統計'!$I$5:$I$8,MATCH(X182,'分群統計'!$A$5:$A$8,0))),""),"")</f>
        <v/>
      </c>
      <c r="AE182" s="18">
        <f>IF(Y182=1,IFERROR(IF(AC182&gt;='參數'!$B$9,INDEX('分群統計'!$L$13:$P$16,MATCH(X182,'分群統計'!$A$13:$A$16,0),MATCH(V182,'分群統計'!$L$12:$P$12,0)),INDEX('分群統計'!$J$5:$J$8,MATCH(X182,'分群統計'!$A$5:$A$8,0))),""),"")</f>
        <v/>
      </c>
      <c r="AF182" s="31">
        <f>IF(ISNUMBER(AE182),IF(AE182&gt;0,MAX(-3,MIN(3,(N182-AD182)/AE182)),0),"")</f>
        <v/>
      </c>
      <c r="AG182" s="30">
        <f>IF(Y182=1,COUNTIFS($B$5:$B$404,B182,$Y$5:$Y$404,1),"")</f>
        <v/>
      </c>
      <c r="AH182" s="30">
        <f>IF(Y182=1,IFERROR(IF(ISNUMBER(INDEX('分群統計'!$G$20:$G$59,MATCH(B182,'分群統計'!$A$20:$A$59,0))),INDEX('分群統計'!$H$20:$H$59,MATCH(B182,'分群統計'!$A$20:$A$59,0))+INDEX('分群統計'!$G$20:$G$59,MATCH(B182,'分群統計'!$A$20:$A$59,0))*AU182,""),""),"")</f>
        <v/>
      </c>
      <c r="AI182" s="34">
        <f>IF(ISNUMBER(AH182),N182-AH182,"")</f>
        <v/>
      </c>
      <c r="AJ182" s="30">
        <f>IF(Y182=1,IFERROR(IF(ISNUMBER(INDEX('分群統計'!$G$5:$G$8,MATCH(X182,'分群統計'!$A$5:$A$8,0))),INDEX('分群統計'!$H$5:$H$8,MATCH(X182,'分群統計'!$A$5:$A$8,0))+INDEX('分群統計'!$G$5:$G$8,MATCH(X182,'分群統計'!$A$5:$A$8,0))*AU182,""),""),"")</f>
        <v/>
      </c>
      <c r="AK182" s="34">
        <f>IF(ISNUMBER(AJ182),N182-AJ182,"")</f>
        <v/>
      </c>
      <c r="AL182" s="21">
        <f>IF(ISNUMBER(AJ182),IF(AJ182&gt;0,AK182/AJ182,""),"")</f>
        <v/>
      </c>
      <c r="AM182" s="31">
        <f>IF(AY182&lt;&gt;1,"",IFERROR(IF(INDEX('分群統計'!$K$5:$K$8,MATCH(X182,'分群統計'!$A$5:$A$8,0))&lt;3,"",IF(INDEX('分群統計'!$M$5:$M$8,MATCH(X182,'分群統計'!$A$5:$A$8,0))&gt;0,MAX(-3,MIN(3,(AX182-INDEX('分群統計'!$L$5:$L$8,MATCH(X182,'分群統計'!$A$5:$A$8,0)))/INDEX('分群統計'!$M$5:$M$8,MATCH(X182,'分群統計'!$A$5:$A$8,0)))),0)),""))</f>
        <v/>
      </c>
      <c r="AN182" s="31">
        <f>IF(ISNUMBER(AB182),IF(Z182&gt;0,AB182/Z182*100,""),"")</f>
        <v/>
      </c>
      <c r="AO182" s="31">
        <f>IF(BA182&lt;&gt;1,"",IFERROR(IF(INDEX('分群統計'!$N$5:$N$8,MATCH(X182,'分群統計'!$A$5:$A$8,0))&lt;3,"",IF(INDEX('分群統計'!$P$5:$P$8,MATCH(X182,'分群統計'!$A$5:$A$8,0))&gt;0,MAX(-3,MIN(3,(AZ182-INDEX('分群統計'!$O$5:$O$8,MATCH(X182,'分群統計'!$A$5:$A$8,0)))/INDEX('分群統計'!$P$5:$P$8,MATCH(X182,'分群統計'!$A$5:$A$8,0)))),0)),""))</f>
        <v/>
      </c>
      <c r="AP182" s="31">
        <f>IF(BC182&lt;&gt;1,"",IFERROR(IF(INDEX('分群統計'!$Q$5:$Q$8,MATCH(X182,'分群統計'!$A$5:$A$8,0))&lt;3,"",IF(INDEX('分群統計'!$S$5:$S$8,MATCH(X182,'分群統計'!$A$5:$A$8,0))&gt;0,MAX(-3,MIN(3,(BB182-INDEX('分群統計'!$R$5:$R$8,MATCH(X182,'分群統計'!$A$5:$A$8,0)))/INDEX('分群統計'!$S$5:$S$8,MATCH(X182,'分群統計'!$A$5:$A$8,0)))),0)),""))</f>
        <v/>
      </c>
      <c r="AQ182" s="31">
        <f>IF(Y182=1,(IF(ISNUMBER(AF182),AF182,0)*'參數'!$B$13+IF(ISNUMBER(AM182),AM182,0)*'參數'!$B$14+IF(ISNUMBER(AO182),AO182,0)*'參數'!$B$15+IF(ISNUMBER(AP182),AP182,0)*'參數'!$B$16)/('參數'!$B$13+'參數'!$B$14+'參數'!$B$15+'參數'!$B$16),"")</f>
        <v/>
      </c>
      <c r="AR182" s="35">
        <f>IF(Y182=1,(SUMPRODUCT(($X$5:$X$404=X182)*($Y$5:$Y$404=1)*($BD$5:$BD$404&gt;BD182))+1)/COUNTIFS($X$5:$X$404,X182,$Y$5:$Y$404,1),"")</f>
        <v/>
      </c>
      <c r="AS182" s="8">
        <f>IF(ISNUMBER(AR182),IF(AR182&lt;='參數'!$B$18,"加碼候選",IF(AR182&gt;'參數'!$B$19,"減碼候選","")),"")</f>
        <v/>
      </c>
      <c r="AT182" s="7">
        <f>IF(Y182=1,N182,0)</f>
        <v/>
      </c>
      <c r="AU182" s="7">
        <f>IF(Y182=1,LN(O182),0)</f>
        <v/>
      </c>
      <c r="AV182" s="36">
        <f>IF(Y182=1,IF(ISNUMBER(F182),F182,0),0)</f>
        <v/>
      </c>
      <c r="AW182" s="7">
        <f>IF(Y182=1,Z182,0)</f>
        <v/>
      </c>
      <c r="AX182" s="7">
        <f>IF(Y182=1,IF(ISNUMBER(AL182),AL182,0),0)</f>
        <v/>
      </c>
      <c r="AY182" s="7">
        <f>IF(Y182=1,IF(ISNUMBER(AL182),1,0),0)</f>
        <v/>
      </c>
      <c r="AZ182" s="7">
        <f>IF(Y182=1,IF(ISNUMBER(AN182),AN182,0),0)</f>
        <v/>
      </c>
      <c r="BA182" s="7">
        <f>IF(Y182=1,IF(ISNUMBER(AN182),1,0),0)</f>
        <v/>
      </c>
      <c r="BB182" s="7">
        <f>IF(Y182=1,IF(ISNUMBER(T182),T182,0),0)</f>
        <v/>
      </c>
      <c r="BC182" s="7">
        <f>IF(Y182=1,IF(ISNUMBER(T182),1,0),0)</f>
        <v/>
      </c>
      <c r="BD182" s="7">
        <f>IF(Y182=1,AQ182+ROW()/1E9,-1E9)</f>
        <v/>
      </c>
      <c r="BE182" s="7">
        <f>IF(Y182=1,AQ182+ROW()/1E9,1E9)</f>
        <v/>
      </c>
    </row>
    <row r="183">
      <c r="A183" s="16" t="n"/>
      <c r="B183" s="8">
        <f>IF($A183="","",BDP($A183,B$3))</f>
        <v/>
      </c>
      <c r="C183" s="8">
        <f>IF($A183="","",BDP($A183,C$3))</f>
        <v/>
      </c>
      <c r="D183" s="28">
        <f>IF($A183="","",BDP($A183,D$3))</f>
        <v/>
      </c>
      <c r="E183" s="29">
        <f>IF($A183="","",BDP($A183,E$3))</f>
        <v/>
      </c>
      <c r="F183" s="17">
        <f>IF($A183="","",BDP($A183,F$3))</f>
        <v/>
      </c>
      <c r="G183" s="8">
        <f>IF($A183="","",BDP($A183,G$3))</f>
        <v/>
      </c>
      <c r="H183" s="8">
        <f>IF($A183="","",BDP($A183,H$3))</f>
        <v/>
      </c>
      <c r="I183" s="8">
        <f>IF($A183="","",BDP($A183,I$3))</f>
        <v/>
      </c>
      <c r="J183" s="8">
        <f>IF($A183="","",BDP($A183,J$3))</f>
        <v/>
      </c>
      <c r="K183" s="8">
        <f>IF($A183="","",BDP($A183,K$3))</f>
        <v/>
      </c>
      <c r="L183" s="28">
        <f>IF($A183="","",BDP($A183,L$3))</f>
        <v/>
      </c>
      <c r="M183" s="28">
        <f>IF($A183="","",BDP($A183,M$3))</f>
        <v/>
      </c>
      <c r="N183" s="30">
        <f>IF($A183="","",BDP($A183,N$3))</f>
        <v/>
      </c>
      <c r="O183" s="31">
        <f>IF($A183="","",BDP($A183,O$3))</f>
        <v/>
      </c>
      <c r="P183" s="30">
        <f>IF($A183="","",BDH($A183,$N$3,'參數'!$B$5,'參數'!$B$5,"Days=A","Fill=P","Dates=H"))</f>
        <v/>
      </c>
      <c r="Q183" s="30">
        <f>IF($A183="","",BDH($A183,$N$3,'參數'!$B$6,'參數'!$B$6,"Days=A","Fill=P","Dates=H"))</f>
        <v/>
      </c>
      <c r="R183" s="30">
        <f>IF($A183="","",BDH($A183,$N$3,'參數'!$B$7,'參數'!$B$7,"Days=A","Fill=P","Dates=H"))</f>
        <v/>
      </c>
      <c r="S183" s="32">
        <f>IF($A183="","",IFERROR(INDEX('發行人'!$A$5:$A$44,MATCH(B183,'發行人'!$D$5:$D$44,0)),"未對應"))</f>
        <v/>
      </c>
      <c r="T183" s="24">
        <f>IF($A183="","",IFERROR(INDEX('發行人'!$G$5:$G$44,MATCH(B183,'發行人'!$D$5:$D$44,0))+0,""))</f>
        <v/>
      </c>
      <c r="U183" s="18">
        <f>IF(ISNUMBER(E183),YEARFRAC('參數'!$B$4,E183),"")</f>
        <v/>
      </c>
      <c r="V183" s="8">
        <f>IF(U183="","",IF(U183&lt;3,"1-3y",IF(U183&lt;5,"3-5y",IF(U183&lt;7,"5-7y",IF(U183&lt;10,"7-10y","10y+")))))</f>
        <v/>
      </c>
      <c r="W183" s="30">
        <f>IF($A183="","",IFERROR(INDEX('參數'!$B$24:$B$45,MATCH(G183,'參數'!$A$24:$A$45,0)),""))</f>
        <v/>
      </c>
      <c r="X183" s="8">
        <f>IF($A183="","",IFERROR(INDEX('參數'!$C$24:$C$45,MATCH(G183,'參數'!$A$24:$A$45,0)),""))</f>
        <v/>
      </c>
      <c r="Y183" s="30">
        <f>IF(AND(ISNUMBER(N183),ISNUMBER(O183),ISNUMBER(U183)),IF(AND(O183&gt;0,X183&lt;&gt;""),1,0),0)</f>
        <v/>
      </c>
      <c r="Z183" s="17">
        <f>IF(Y183=1,O183*N183,"")</f>
        <v/>
      </c>
      <c r="AA183" s="33">
        <f>IF(Y183=1,IF(ISNUMBER(Q183),N183-Q183,""),"")</f>
        <v/>
      </c>
      <c r="AB183" s="33">
        <f>IF(Y183=1,IF(AND(ISNUMBER(P183),ISNUMBER(R183)),R183*5/12-O183*(P183-R183),""),"")</f>
        <v/>
      </c>
      <c r="AC183" s="30">
        <f>IF(Y183=1,COUNTIFS($X$5:$X$404,X183,$V$5:$V$404,V183,$Y$5:$Y$404,1),"")</f>
        <v/>
      </c>
      <c r="AD183" s="30">
        <f>IF(Y183=1,IFERROR(IF(AC183&gt;='參數'!$B$9,INDEX('分群統計'!$G$13:$K$16,MATCH(X183,'分群統計'!$A$13:$A$16,0),MATCH(V183,'分群統計'!$G$12:$K$12,0)),INDEX('分群統計'!$I$5:$I$8,MATCH(X183,'分群統計'!$A$5:$A$8,0))),""),"")</f>
        <v/>
      </c>
      <c r="AE183" s="18">
        <f>IF(Y183=1,IFERROR(IF(AC183&gt;='參數'!$B$9,INDEX('分群統計'!$L$13:$P$16,MATCH(X183,'分群統計'!$A$13:$A$16,0),MATCH(V183,'分群統計'!$L$12:$P$12,0)),INDEX('分群統計'!$J$5:$J$8,MATCH(X183,'分群統計'!$A$5:$A$8,0))),""),"")</f>
        <v/>
      </c>
      <c r="AF183" s="31">
        <f>IF(ISNUMBER(AE183),IF(AE183&gt;0,MAX(-3,MIN(3,(N183-AD183)/AE183)),0),"")</f>
        <v/>
      </c>
      <c r="AG183" s="30">
        <f>IF(Y183=1,COUNTIFS($B$5:$B$404,B183,$Y$5:$Y$404,1),"")</f>
        <v/>
      </c>
      <c r="AH183" s="30">
        <f>IF(Y183=1,IFERROR(IF(ISNUMBER(INDEX('分群統計'!$G$20:$G$59,MATCH(B183,'分群統計'!$A$20:$A$59,0))),INDEX('分群統計'!$H$20:$H$59,MATCH(B183,'分群統計'!$A$20:$A$59,0))+INDEX('分群統計'!$G$20:$G$59,MATCH(B183,'分群統計'!$A$20:$A$59,0))*AU183,""),""),"")</f>
        <v/>
      </c>
      <c r="AI183" s="34">
        <f>IF(ISNUMBER(AH183),N183-AH183,"")</f>
        <v/>
      </c>
      <c r="AJ183" s="30">
        <f>IF(Y183=1,IFERROR(IF(ISNUMBER(INDEX('分群統計'!$G$5:$G$8,MATCH(X183,'分群統計'!$A$5:$A$8,0))),INDEX('分群統計'!$H$5:$H$8,MATCH(X183,'分群統計'!$A$5:$A$8,0))+INDEX('分群統計'!$G$5:$G$8,MATCH(X183,'分群統計'!$A$5:$A$8,0))*AU183,""),""),"")</f>
        <v/>
      </c>
      <c r="AK183" s="34">
        <f>IF(ISNUMBER(AJ183),N183-AJ183,"")</f>
        <v/>
      </c>
      <c r="AL183" s="21">
        <f>IF(ISNUMBER(AJ183),IF(AJ183&gt;0,AK183/AJ183,""),"")</f>
        <v/>
      </c>
      <c r="AM183" s="31">
        <f>IF(AY183&lt;&gt;1,"",IFERROR(IF(INDEX('分群統計'!$K$5:$K$8,MATCH(X183,'分群統計'!$A$5:$A$8,0))&lt;3,"",IF(INDEX('分群統計'!$M$5:$M$8,MATCH(X183,'分群統計'!$A$5:$A$8,0))&gt;0,MAX(-3,MIN(3,(AX183-INDEX('分群統計'!$L$5:$L$8,MATCH(X183,'分群統計'!$A$5:$A$8,0)))/INDEX('分群統計'!$M$5:$M$8,MATCH(X183,'分群統計'!$A$5:$A$8,0)))),0)),""))</f>
        <v/>
      </c>
      <c r="AN183" s="31">
        <f>IF(ISNUMBER(AB183),IF(Z183&gt;0,AB183/Z183*100,""),"")</f>
        <v/>
      </c>
      <c r="AO183" s="31">
        <f>IF(BA183&lt;&gt;1,"",IFERROR(IF(INDEX('分群統計'!$N$5:$N$8,MATCH(X183,'分群統計'!$A$5:$A$8,0))&lt;3,"",IF(INDEX('分群統計'!$P$5:$P$8,MATCH(X183,'分群統計'!$A$5:$A$8,0))&gt;0,MAX(-3,MIN(3,(AZ183-INDEX('分群統計'!$O$5:$O$8,MATCH(X183,'分群統計'!$A$5:$A$8,0)))/INDEX('分群統計'!$P$5:$P$8,MATCH(X183,'分群統計'!$A$5:$A$8,0)))),0)),""))</f>
        <v/>
      </c>
      <c r="AP183" s="31">
        <f>IF(BC183&lt;&gt;1,"",IFERROR(IF(INDEX('分群統計'!$Q$5:$Q$8,MATCH(X183,'分群統計'!$A$5:$A$8,0))&lt;3,"",IF(INDEX('分群統計'!$S$5:$S$8,MATCH(X183,'分群統計'!$A$5:$A$8,0))&gt;0,MAX(-3,MIN(3,(BB183-INDEX('分群統計'!$R$5:$R$8,MATCH(X183,'分群統計'!$A$5:$A$8,0)))/INDEX('分群統計'!$S$5:$S$8,MATCH(X183,'分群統計'!$A$5:$A$8,0)))),0)),""))</f>
        <v/>
      </c>
      <c r="AQ183" s="31">
        <f>IF(Y183=1,(IF(ISNUMBER(AF183),AF183,0)*'參數'!$B$13+IF(ISNUMBER(AM183),AM183,0)*'參數'!$B$14+IF(ISNUMBER(AO183),AO183,0)*'參數'!$B$15+IF(ISNUMBER(AP183),AP183,0)*'參數'!$B$16)/('參數'!$B$13+'參數'!$B$14+'參數'!$B$15+'參數'!$B$16),"")</f>
        <v/>
      </c>
      <c r="AR183" s="35">
        <f>IF(Y183=1,(SUMPRODUCT(($X$5:$X$404=X183)*($Y$5:$Y$404=1)*($BD$5:$BD$404&gt;BD183))+1)/COUNTIFS($X$5:$X$404,X183,$Y$5:$Y$404,1),"")</f>
        <v/>
      </c>
      <c r="AS183" s="8">
        <f>IF(ISNUMBER(AR183),IF(AR183&lt;='參數'!$B$18,"加碼候選",IF(AR183&gt;'參數'!$B$19,"減碼候選","")),"")</f>
        <v/>
      </c>
      <c r="AT183" s="7">
        <f>IF(Y183=1,N183,0)</f>
        <v/>
      </c>
      <c r="AU183" s="7">
        <f>IF(Y183=1,LN(O183),0)</f>
        <v/>
      </c>
      <c r="AV183" s="36">
        <f>IF(Y183=1,IF(ISNUMBER(F183),F183,0),0)</f>
        <v/>
      </c>
      <c r="AW183" s="7">
        <f>IF(Y183=1,Z183,0)</f>
        <v/>
      </c>
      <c r="AX183" s="7">
        <f>IF(Y183=1,IF(ISNUMBER(AL183),AL183,0),0)</f>
        <v/>
      </c>
      <c r="AY183" s="7">
        <f>IF(Y183=1,IF(ISNUMBER(AL183),1,0),0)</f>
        <v/>
      </c>
      <c r="AZ183" s="7">
        <f>IF(Y183=1,IF(ISNUMBER(AN183),AN183,0),0)</f>
        <v/>
      </c>
      <c r="BA183" s="7">
        <f>IF(Y183=1,IF(ISNUMBER(AN183),1,0),0)</f>
        <v/>
      </c>
      <c r="BB183" s="7">
        <f>IF(Y183=1,IF(ISNUMBER(T183),T183,0),0)</f>
        <v/>
      </c>
      <c r="BC183" s="7">
        <f>IF(Y183=1,IF(ISNUMBER(T183),1,0),0)</f>
        <v/>
      </c>
      <c r="BD183" s="7">
        <f>IF(Y183=1,AQ183+ROW()/1E9,-1E9)</f>
        <v/>
      </c>
      <c r="BE183" s="7">
        <f>IF(Y183=1,AQ183+ROW()/1E9,1E9)</f>
        <v/>
      </c>
    </row>
    <row r="184">
      <c r="A184" s="16" t="n"/>
      <c r="B184" s="8">
        <f>IF($A184="","",BDP($A184,B$3))</f>
        <v/>
      </c>
      <c r="C184" s="8">
        <f>IF($A184="","",BDP($A184,C$3))</f>
        <v/>
      </c>
      <c r="D184" s="28">
        <f>IF($A184="","",BDP($A184,D$3))</f>
        <v/>
      </c>
      <c r="E184" s="29">
        <f>IF($A184="","",BDP($A184,E$3))</f>
        <v/>
      </c>
      <c r="F184" s="17">
        <f>IF($A184="","",BDP($A184,F$3))</f>
        <v/>
      </c>
      <c r="G184" s="8">
        <f>IF($A184="","",BDP($A184,G$3))</f>
        <v/>
      </c>
      <c r="H184" s="8">
        <f>IF($A184="","",BDP($A184,H$3))</f>
        <v/>
      </c>
      <c r="I184" s="8">
        <f>IF($A184="","",BDP($A184,I$3))</f>
        <v/>
      </c>
      <c r="J184" s="8">
        <f>IF($A184="","",BDP($A184,J$3))</f>
        <v/>
      </c>
      <c r="K184" s="8">
        <f>IF($A184="","",BDP($A184,K$3))</f>
        <v/>
      </c>
      <c r="L184" s="28">
        <f>IF($A184="","",BDP($A184,L$3))</f>
        <v/>
      </c>
      <c r="M184" s="28">
        <f>IF($A184="","",BDP($A184,M$3))</f>
        <v/>
      </c>
      <c r="N184" s="30">
        <f>IF($A184="","",BDP($A184,N$3))</f>
        <v/>
      </c>
      <c r="O184" s="31">
        <f>IF($A184="","",BDP($A184,O$3))</f>
        <v/>
      </c>
      <c r="P184" s="30">
        <f>IF($A184="","",BDH($A184,$N$3,'參數'!$B$5,'參數'!$B$5,"Days=A","Fill=P","Dates=H"))</f>
        <v/>
      </c>
      <c r="Q184" s="30">
        <f>IF($A184="","",BDH($A184,$N$3,'參數'!$B$6,'參數'!$B$6,"Days=A","Fill=P","Dates=H"))</f>
        <v/>
      </c>
      <c r="R184" s="30">
        <f>IF($A184="","",BDH($A184,$N$3,'參數'!$B$7,'參數'!$B$7,"Days=A","Fill=P","Dates=H"))</f>
        <v/>
      </c>
      <c r="S184" s="32">
        <f>IF($A184="","",IFERROR(INDEX('發行人'!$A$5:$A$44,MATCH(B184,'發行人'!$D$5:$D$44,0)),"未對應"))</f>
        <v/>
      </c>
      <c r="T184" s="24">
        <f>IF($A184="","",IFERROR(INDEX('發行人'!$G$5:$G$44,MATCH(B184,'發行人'!$D$5:$D$44,0))+0,""))</f>
        <v/>
      </c>
      <c r="U184" s="18">
        <f>IF(ISNUMBER(E184),YEARFRAC('參數'!$B$4,E184),"")</f>
        <v/>
      </c>
      <c r="V184" s="8">
        <f>IF(U184="","",IF(U184&lt;3,"1-3y",IF(U184&lt;5,"3-5y",IF(U184&lt;7,"5-7y",IF(U184&lt;10,"7-10y","10y+")))))</f>
        <v/>
      </c>
      <c r="W184" s="30">
        <f>IF($A184="","",IFERROR(INDEX('參數'!$B$24:$B$45,MATCH(G184,'參數'!$A$24:$A$45,0)),""))</f>
        <v/>
      </c>
      <c r="X184" s="8">
        <f>IF($A184="","",IFERROR(INDEX('參數'!$C$24:$C$45,MATCH(G184,'參數'!$A$24:$A$45,0)),""))</f>
        <v/>
      </c>
      <c r="Y184" s="30">
        <f>IF(AND(ISNUMBER(N184),ISNUMBER(O184),ISNUMBER(U184)),IF(AND(O184&gt;0,X184&lt;&gt;""),1,0),0)</f>
        <v/>
      </c>
      <c r="Z184" s="17">
        <f>IF(Y184=1,O184*N184,"")</f>
        <v/>
      </c>
      <c r="AA184" s="33">
        <f>IF(Y184=1,IF(ISNUMBER(Q184),N184-Q184,""),"")</f>
        <v/>
      </c>
      <c r="AB184" s="33">
        <f>IF(Y184=1,IF(AND(ISNUMBER(P184),ISNUMBER(R184)),R184*5/12-O184*(P184-R184),""),"")</f>
        <v/>
      </c>
      <c r="AC184" s="30">
        <f>IF(Y184=1,COUNTIFS($X$5:$X$404,X184,$V$5:$V$404,V184,$Y$5:$Y$404,1),"")</f>
        <v/>
      </c>
      <c r="AD184" s="30">
        <f>IF(Y184=1,IFERROR(IF(AC184&gt;='參數'!$B$9,INDEX('分群統計'!$G$13:$K$16,MATCH(X184,'分群統計'!$A$13:$A$16,0),MATCH(V184,'分群統計'!$G$12:$K$12,0)),INDEX('分群統計'!$I$5:$I$8,MATCH(X184,'分群統計'!$A$5:$A$8,0))),""),"")</f>
        <v/>
      </c>
      <c r="AE184" s="18">
        <f>IF(Y184=1,IFERROR(IF(AC184&gt;='參數'!$B$9,INDEX('分群統計'!$L$13:$P$16,MATCH(X184,'分群統計'!$A$13:$A$16,0),MATCH(V184,'分群統計'!$L$12:$P$12,0)),INDEX('分群統計'!$J$5:$J$8,MATCH(X184,'分群統計'!$A$5:$A$8,0))),""),"")</f>
        <v/>
      </c>
      <c r="AF184" s="31">
        <f>IF(ISNUMBER(AE184),IF(AE184&gt;0,MAX(-3,MIN(3,(N184-AD184)/AE184)),0),"")</f>
        <v/>
      </c>
      <c r="AG184" s="30">
        <f>IF(Y184=1,COUNTIFS($B$5:$B$404,B184,$Y$5:$Y$404,1),"")</f>
        <v/>
      </c>
      <c r="AH184" s="30">
        <f>IF(Y184=1,IFERROR(IF(ISNUMBER(INDEX('分群統計'!$G$20:$G$59,MATCH(B184,'分群統計'!$A$20:$A$59,0))),INDEX('分群統計'!$H$20:$H$59,MATCH(B184,'分群統計'!$A$20:$A$59,0))+INDEX('分群統計'!$G$20:$G$59,MATCH(B184,'分群統計'!$A$20:$A$59,0))*AU184,""),""),"")</f>
        <v/>
      </c>
      <c r="AI184" s="34">
        <f>IF(ISNUMBER(AH184),N184-AH184,"")</f>
        <v/>
      </c>
      <c r="AJ184" s="30">
        <f>IF(Y184=1,IFERROR(IF(ISNUMBER(INDEX('分群統計'!$G$5:$G$8,MATCH(X184,'分群統計'!$A$5:$A$8,0))),INDEX('分群統計'!$H$5:$H$8,MATCH(X184,'分群統計'!$A$5:$A$8,0))+INDEX('分群統計'!$G$5:$G$8,MATCH(X184,'分群統計'!$A$5:$A$8,0))*AU184,""),""),"")</f>
        <v/>
      </c>
      <c r="AK184" s="34">
        <f>IF(ISNUMBER(AJ184),N184-AJ184,"")</f>
        <v/>
      </c>
      <c r="AL184" s="21">
        <f>IF(ISNUMBER(AJ184),IF(AJ184&gt;0,AK184/AJ184,""),"")</f>
        <v/>
      </c>
      <c r="AM184" s="31">
        <f>IF(AY184&lt;&gt;1,"",IFERROR(IF(INDEX('分群統計'!$K$5:$K$8,MATCH(X184,'分群統計'!$A$5:$A$8,0))&lt;3,"",IF(INDEX('分群統計'!$M$5:$M$8,MATCH(X184,'分群統計'!$A$5:$A$8,0))&gt;0,MAX(-3,MIN(3,(AX184-INDEX('分群統計'!$L$5:$L$8,MATCH(X184,'分群統計'!$A$5:$A$8,0)))/INDEX('分群統計'!$M$5:$M$8,MATCH(X184,'分群統計'!$A$5:$A$8,0)))),0)),""))</f>
        <v/>
      </c>
      <c r="AN184" s="31">
        <f>IF(ISNUMBER(AB184),IF(Z184&gt;0,AB184/Z184*100,""),"")</f>
        <v/>
      </c>
      <c r="AO184" s="31">
        <f>IF(BA184&lt;&gt;1,"",IFERROR(IF(INDEX('分群統計'!$N$5:$N$8,MATCH(X184,'分群統計'!$A$5:$A$8,0))&lt;3,"",IF(INDEX('分群統計'!$P$5:$P$8,MATCH(X184,'分群統計'!$A$5:$A$8,0))&gt;0,MAX(-3,MIN(3,(AZ184-INDEX('分群統計'!$O$5:$O$8,MATCH(X184,'分群統計'!$A$5:$A$8,0)))/INDEX('分群統計'!$P$5:$P$8,MATCH(X184,'分群統計'!$A$5:$A$8,0)))),0)),""))</f>
        <v/>
      </c>
      <c r="AP184" s="31">
        <f>IF(BC184&lt;&gt;1,"",IFERROR(IF(INDEX('分群統計'!$Q$5:$Q$8,MATCH(X184,'分群統計'!$A$5:$A$8,0))&lt;3,"",IF(INDEX('分群統計'!$S$5:$S$8,MATCH(X184,'分群統計'!$A$5:$A$8,0))&gt;0,MAX(-3,MIN(3,(BB184-INDEX('分群統計'!$R$5:$R$8,MATCH(X184,'分群統計'!$A$5:$A$8,0)))/INDEX('分群統計'!$S$5:$S$8,MATCH(X184,'分群統計'!$A$5:$A$8,0)))),0)),""))</f>
        <v/>
      </c>
      <c r="AQ184" s="31">
        <f>IF(Y184=1,(IF(ISNUMBER(AF184),AF184,0)*'參數'!$B$13+IF(ISNUMBER(AM184),AM184,0)*'參數'!$B$14+IF(ISNUMBER(AO184),AO184,0)*'參數'!$B$15+IF(ISNUMBER(AP184),AP184,0)*'參數'!$B$16)/('參數'!$B$13+'參數'!$B$14+'參數'!$B$15+'參數'!$B$16),"")</f>
        <v/>
      </c>
      <c r="AR184" s="35">
        <f>IF(Y184=1,(SUMPRODUCT(($X$5:$X$404=X184)*($Y$5:$Y$404=1)*($BD$5:$BD$404&gt;BD184))+1)/COUNTIFS($X$5:$X$404,X184,$Y$5:$Y$404,1),"")</f>
        <v/>
      </c>
      <c r="AS184" s="8">
        <f>IF(ISNUMBER(AR184),IF(AR184&lt;='參數'!$B$18,"加碼候選",IF(AR184&gt;'參數'!$B$19,"減碼候選","")),"")</f>
        <v/>
      </c>
      <c r="AT184" s="7">
        <f>IF(Y184=1,N184,0)</f>
        <v/>
      </c>
      <c r="AU184" s="7">
        <f>IF(Y184=1,LN(O184),0)</f>
        <v/>
      </c>
      <c r="AV184" s="36">
        <f>IF(Y184=1,IF(ISNUMBER(F184),F184,0),0)</f>
        <v/>
      </c>
      <c r="AW184" s="7">
        <f>IF(Y184=1,Z184,0)</f>
        <v/>
      </c>
      <c r="AX184" s="7">
        <f>IF(Y184=1,IF(ISNUMBER(AL184),AL184,0),0)</f>
        <v/>
      </c>
      <c r="AY184" s="7">
        <f>IF(Y184=1,IF(ISNUMBER(AL184),1,0),0)</f>
        <v/>
      </c>
      <c r="AZ184" s="7">
        <f>IF(Y184=1,IF(ISNUMBER(AN184),AN184,0),0)</f>
        <v/>
      </c>
      <c r="BA184" s="7">
        <f>IF(Y184=1,IF(ISNUMBER(AN184),1,0),0)</f>
        <v/>
      </c>
      <c r="BB184" s="7">
        <f>IF(Y184=1,IF(ISNUMBER(T184),T184,0),0)</f>
        <v/>
      </c>
      <c r="BC184" s="7">
        <f>IF(Y184=1,IF(ISNUMBER(T184),1,0),0)</f>
        <v/>
      </c>
      <c r="BD184" s="7">
        <f>IF(Y184=1,AQ184+ROW()/1E9,-1E9)</f>
        <v/>
      </c>
      <c r="BE184" s="7">
        <f>IF(Y184=1,AQ184+ROW()/1E9,1E9)</f>
        <v/>
      </c>
    </row>
    <row r="185">
      <c r="A185" s="16" t="n"/>
      <c r="B185" s="8">
        <f>IF($A185="","",BDP($A185,B$3))</f>
        <v/>
      </c>
      <c r="C185" s="8">
        <f>IF($A185="","",BDP($A185,C$3))</f>
        <v/>
      </c>
      <c r="D185" s="28">
        <f>IF($A185="","",BDP($A185,D$3))</f>
        <v/>
      </c>
      <c r="E185" s="29">
        <f>IF($A185="","",BDP($A185,E$3))</f>
        <v/>
      </c>
      <c r="F185" s="17">
        <f>IF($A185="","",BDP($A185,F$3))</f>
        <v/>
      </c>
      <c r="G185" s="8">
        <f>IF($A185="","",BDP($A185,G$3))</f>
        <v/>
      </c>
      <c r="H185" s="8">
        <f>IF($A185="","",BDP($A185,H$3))</f>
        <v/>
      </c>
      <c r="I185" s="8">
        <f>IF($A185="","",BDP($A185,I$3))</f>
        <v/>
      </c>
      <c r="J185" s="8">
        <f>IF($A185="","",BDP($A185,J$3))</f>
        <v/>
      </c>
      <c r="K185" s="8">
        <f>IF($A185="","",BDP($A185,K$3))</f>
        <v/>
      </c>
      <c r="L185" s="28">
        <f>IF($A185="","",BDP($A185,L$3))</f>
        <v/>
      </c>
      <c r="M185" s="28">
        <f>IF($A185="","",BDP($A185,M$3))</f>
        <v/>
      </c>
      <c r="N185" s="30">
        <f>IF($A185="","",BDP($A185,N$3))</f>
        <v/>
      </c>
      <c r="O185" s="31">
        <f>IF($A185="","",BDP($A185,O$3))</f>
        <v/>
      </c>
      <c r="P185" s="30">
        <f>IF($A185="","",BDH($A185,$N$3,'參數'!$B$5,'參數'!$B$5,"Days=A","Fill=P","Dates=H"))</f>
        <v/>
      </c>
      <c r="Q185" s="30">
        <f>IF($A185="","",BDH($A185,$N$3,'參數'!$B$6,'參數'!$B$6,"Days=A","Fill=P","Dates=H"))</f>
        <v/>
      </c>
      <c r="R185" s="30">
        <f>IF($A185="","",BDH($A185,$N$3,'參數'!$B$7,'參數'!$B$7,"Days=A","Fill=P","Dates=H"))</f>
        <v/>
      </c>
      <c r="S185" s="32">
        <f>IF($A185="","",IFERROR(INDEX('發行人'!$A$5:$A$44,MATCH(B185,'發行人'!$D$5:$D$44,0)),"未對應"))</f>
        <v/>
      </c>
      <c r="T185" s="24">
        <f>IF($A185="","",IFERROR(INDEX('發行人'!$G$5:$G$44,MATCH(B185,'發行人'!$D$5:$D$44,0))+0,""))</f>
        <v/>
      </c>
      <c r="U185" s="18">
        <f>IF(ISNUMBER(E185),YEARFRAC('參數'!$B$4,E185),"")</f>
        <v/>
      </c>
      <c r="V185" s="8">
        <f>IF(U185="","",IF(U185&lt;3,"1-3y",IF(U185&lt;5,"3-5y",IF(U185&lt;7,"5-7y",IF(U185&lt;10,"7-10y","10y+")))))</f>
        <v/>
      </c>
      <c r="W185" s="30">
        <f>IF($A185="","",IFERROR(INDEX('參數'!$B$24:$B$45,MATCH(G185,'參數'!$A$24:$A$45,0)),""))</f>
        <v/>
      </c>
      <c r="X185" s="8">
        <f>IF($A185="","",IFERROR(INDEX('參數'!$C$24:$C$45,MATCH(G185,'參數'!$A$24:$A$45,0)),""))</f>
        <v/>
      </c>
      <c r="Y185" s="30">
        <f>IF(AND(ISNUMBER(N185),ISNUMBER(O185),ISNUMBER(U185)),IF(AND(O185&gt;0,X185&lt;&gt;""),1,0),0)</f>
        <v/>
      </c>
      <c r="Z185" s="17">
        <f>IF(Y185=1,O185*N185,"")</f>
        <v/>
      </c>
      <c r="AA185" s="33">
        <f>IF(Y185=1,IF(ISNUMBER(Q185),N185-Q185,""),"")</f>
        <v/>
      </c>
      <c r="AB185" s="33">
        <f>IF(Y185=1,IF(AND(ISNUMBER(P185),ISNUMBER(R185)),R185*5/12-O185*(P185-R185),""),"")</f>
        <v/>
      </c>
      <c r="AC185" s="30">
        <f>IF(Y185=1,COUNTIFS($X$5:$X$404,X185,$V$5:$V$404,V185,$Y$5:$Y$404,1),"")</f>
        <v/>
      </c>
      <c r="AD185" s="30">
        <f>IF(Y185=1,IFERROR(IF(AC185&gt;='參數'!$B$9,INDEX('分群統計'!$G$13:$K$16,MATCH(X185,'分群統計'!$A$13:$A$16,0),MATCH(V185,'分群統計'!$G$12:$K$12,0)),INDEX('分群統計'!$I$5:$I$8,MATCH(X185,'分群統計'!$A$5:$A$8,0))),""),"")</f>
        <v/>
      </c>
      <c r="AE185" s="18">
        <f>IF(Y185=1,IFERROR(IF(AC185&gt;='參數'!$B$9,INDEX('分群統計'!$L$13:$P$16,MATCH(X185,'分群統計'!$A$13:$A$16,0),MATCH(V185,'分群統計'!$L$12:$P$12,0)),INDEX('分群統計'!$J$5:$J$8,MATCH(X185,'分群統計'!$A$5:$A$8,0))),""),"")</f>
        <v/>
      </c>
      <c r="AF185" s="31">
        <f>IF(ISNUMBER(AE185),IF(AE185&gt;0,MAX(-3,MIN(3,(N185-AD185)/AE185)),0),"")</f>
        <v/>
      </c>
      <c r="AG185" s="30">
        <f>IF(Y185=1,COUNTIFS($B$5:$B$404,B185,$Y$5:$Y$404,1),"")</f>
        <v/>
      </c>
      <c r="AH185" s="30">
        <f>IF(Y185=1,IFERROR(IF(ISNUMBER(INDEX('分群統計'!$G$20:$G$59,MATCH(B185,'分群統計'!$A$20:$A$59,0))),INDEX('分群統計'!$H$20:$H$59,MATCH(B185,'分群統計'!$A$20:$A$59,0))+INDEX('分群統計'!$G$20:$G$59,MATCH(B185,'分群統計'!$A$20:$A$59,0))*AU185,""),""),"")</f>
        <v/>
      </c>
      <c r="AI185" s="34">
        <f>IF(ISNUMBER(AH185),N185-AH185,"")</f>
        <v/>
      </c>
      <c r="AJ185" s="30">
        <f>IF(Y185=1,IFERROR(IF(ISNUMBER(INDEX('分群統計'!$G$5:$G$8,MATCH(X185,'分群統計'!$A$5:$A$8,0))),INDEX('分群統計'!$H$5:$H$8,MATCH(X185,'分群統計'!$A$5:$A$8,0))+INDEX('分群統計'!$G$5:$G$8,MATCH(X185,'分群統計'!$A$5:$A$8,0))*AU185,""),""),"")</f>
        <v/>
      </c>
      <c r="AK185" s="34">
        <f>IF(ISNUMBER(AJ185),N185-AJ185,"")</f>
        <v/>
      </c>
      <c r="AL185" s="21">
        <f>IF(ISNUMBER(AJ185),IF(AJ185&gt;0,AK185/AJ185,""),"")</f>
        <v/>
      </c>
      <c r="AM185" s="31">
        <f>IF(AY185&lt;&gt;1,"",IFERROR(IF(INDEX('分群統計'!$K$5:$K$8,MATCH(X185,'分群統計'!$A$5:$A$8,0))&lt;3,"",IF(INDEX('分群統計'!$M$5:$M$8,MATCH(X185,'分群統計'!$A$5:$A$8,0))&gt;0,MAX(-3,MIN(3,(AX185-INDEX('分群統計'!$L$5:$L$8,MATCH(X185,'分群統計'!$A$5:$A$8,0)))/INDEX('分群統計'!$M$5:$M$8,MATCH(X185,'分群統計'!$A$5:$A$8,0)))),0)),""))</f>
        <v/>
      </c>
      <c r="AN185" s="31">
        <f>IF(ISNUMBER(AB185),IF(Z185&gt;0,AB185/Z185*100,""),"")</f>
        <v/>
      </c>
      <c r="AO185" s="31">
        <f>IF(BA185&lt;&gt;1,"",IFERROR(IF(INDEX('分群統計'!$N$5:$N$8,MATCH(X185,'分群統計'!$A$5:$A$8,0))&lt;3,"",IF(INDEX('分群統計'!$P$5:$P$8,MATCH(X185,'分群統計'!$A$5:$A$8,0))&gt;0,MAX(-3,MIN(3,(AZ185-INDEX('分群統計'!$O$5:$O$8,MATCH(X185,'分群統計'!$A$5:$A$8,0)))/INDEX('分群統計'!$P$5:$P$8,MATCH(X185,'分群統計'!$A$5:$A$8,0)))),0)),""))</f>
        <v/>
      </c>
      <c r="AP185" s="31">
        <f>IF(BC185&lt;&gt;1,"",IFERROR(IF(INDEX('分群統計'!$Q$5:$Q$8,MATCH(X185,'分群統計'!$A$5:$A$8,0))&lt;3,"",IF(INDEX('分群統計'!$S$5:$S$8,MATCH(X185,'分群統計'!$A$5:$A$8,0))&gt;0,MAX(-3,MIN(3,(BB185-INDEX('分群統計'!$R$5:$R$8,MATCH(X185,'分群統計'!$A$5:$A$8,0)))/INDEX('分群統計'!$S$5:$S$8,MATCH(X185,'分群統計'!$A$5:$A$8,0)))),0)),""))</f>
        <v/>
      </c>
      <c r="AQ185" s="31">
        <f>IF(Y185=1,(IF(ISNUMBER(AF185),AF185,0)*'參數'!$B$13+IF(ISNUMBER(AM185),AM185,0)*'參數'!$B$14+IF(ISNUMBER(AO185),AO185,0)*'參數'!$B$15+IF(ISNUMBER(AP185),AP185,0)*'參數'!$B$16)/('參數'!$B$13+'參數'!$B$14+'參數'!$B$15+'參數'!$B$16),"")</f>
        <v/>
      </c>
      <c r="AR185" s="35">
        <f>IF(Y185=1,(SUMPRODUCT(($X$5:$X$404=X185)*($Y$5:$Y$404=1)*($BD$5:$BD$404&gt;BD185))+1)/COUNTIFS($X$5:$X$404,X185,$Y$5:$Y$404,1),"")</f>
        <v/>
      </c>
      <c r="AS185" s="8">
        <f>IF(ISNUMBER(AR185),IF(AR185&lt;='參數'!$B$18,"加碼候選",IF(AR185&gt;'參數'!$B$19,"減碼候選","")),"")</f>
        <v/>
      </c>
      <c r="AT185" s="7">
        <f>IF(Y185=1,N185,0)</f>
        <v/>
      </c>
      <c r="AU185" s="7">
        <f>IF(Y185=1,LN(O185),0)</f>
        <v/>
      </c>
      <c r="AV185" s="36">
        <f>IF(Y185=1,IF(ISNUMBER(F185),F185,0),0)</f>
        <v/>
      </c>
      <c r="AW185" s="7">
        <f>IF(Y185=1,Z185,0)</f>
        <v/>
      </c>
      <c r="AX185" s="7">
        <f>IF(Y185=1,IF(ISNUMBER(AL185),AL185,0),0)</f>
        <v/>
      </c>
      <c r="AY185" s="7">
        <f>IF(Y185=1,IF(ISNUMBER(AL185),1,0),0)</f>
        <v/>
      </c>
      <c r="AZ185" s="7">
        <f>IF(Y185=1,IF(ISNUMBER(AN185),AN185,0),0)</f>
        <v/>
      </c>
      <c r="BA185" s="7">
        <f>IF(Y185=1,IF(ISNUMBER(AN185),1,0),0)</f>
        <v/>
      </c>
      <c r="BB185" s="7">
        <f>IF(Y185=1,IF(ISNUMBER(T185),T185,0),0)</f>
        <v/>
      </c>
      <c r="BC185" s="7">
        <f>IF(Y185=1,IF(ISNUMBER(T185),1,0),0)</f>
        <v/>
      </c>
      <c r="BD185" s="7">
        <f>IF(Y185=1,AQ185+ROW()/1E9,-1E9)</f>
        <v/>
      </c>
      <c r="BE185" s="7">
        <f>IF(Y185=1,AQ185+ROW()/1E9,1E9)</f>
        <v/>
      </c>
    </row>
    <row r="186">
      <c r="A186" s="16" t="n"/>
      <c r="B186" s="8">
        <f>IF($A186="","",BDP($A186,B$3))</f>
        <v/>
      </c>
      <c r="C186" s="8">
        <f>IF($A186="","",BDP($A186,C$3))</f>
        <v/>
      </c>
      <c r="D186" s="28">
        <f>IF($A186="","",BDP($A186,D$3))</f>
        <v/>
      </c>
      <c r="E186" s="29">
        <f>IF($A186="","",BDP($A186,E$3))</f>
        <v/>
      </c>
      <c r="F186" s="17">
        <f>IF($A186="","",BDP($A186,F$3))</f>
        <v/>
      </c>
      <c r="G186" s="8">
        <f>IF($A186="","",BDP($A186,G$3))</f>
        <v/>
      </c>
      <c r="H186" s="8">
        <f>IF($A186="","",BDP($A186,H$3))</f>
        <v/>
      </c>
      <c r="I186" s="8">
        <f>IF($A186="","",BDP($A186,I$3))</f>
        <v/>
      </c>
      <c r="J186" s="8">
        <f>IF($A186="","",BDP($A186,J$3))</f>
        <v/>
      </c>
      <c r="K186" s="8">
        <f>IF($A186="","",BDP($A186,K$3))</f>
        <v/>
      </c>
      <c r="L186" s="28">
        <f>IF($A186="","",BDP($A186,L$3))</f>
        <v/>
      </c>
      <c r="M186" s="28">
        <f>IF($A186="","",BDP($A186,M$3))</f>
        <v/>
      </c>
      <c r="N186" s="30">
        <f>IF($A186="","",BDP($A186,N$3))</f>
        <v/>
      </c>
      <c r="O186" s="31">
        <f>IF($A186="","",BDP($A186,O$3))</f>
        <v/>
      </c>
      <c r="P186" s="30">
        <f>IF($A186="","",BDH($A186,$N$3,'參數'!$B$5,'參數'!$B$5,"Days=A","Fill=P","Dates=H"))</f>
        <v/>
      </c>
      <c r="Q186" s="30">
        <f>IF($A186="","",BDH($A186,$N$3,'參數'!$B$6,'參數'!$B$6,"Days=A","Fill=P","Dates=H"))</f>
        <v/>
      </c>
      <c r="R186" s="30">
        <f>IF($A186="","",BDH($A186,$N$3,'參數'!$B$7,'參數'!$B$7,"Days=A","Fill=P","Dates=H"))</f>
        <v/>
      </c>
      <c r="S186" s="32">
        <f>IF($A186="","",IFERROR(INDEX('發行人'!$A$5:$A$44,MATCH(B186,'發行人'!$D$5:$D$44,0)),"未對應"))</f>
        <v/>
      </c>
      <c r="T186" s="24">
        <f>IF($A186="","",IFERROR(INDEX('發行人'!$G$5:$G$44,MATCH(B186,'發行人'!$D$5:$D$44,0))+0,""))</f>
        <v/>
      </c>
      <c r="U186" s="18">
        <f>IF(ISNUMBER(E186),YEARFRAC('參數'!$B$4,E186),"")</f>
        <v/>
      </c>
      <c r="V186" s="8">
        <f>IF(U186="","",IF(U186&lt;3,"1-3y",IF(U186&lt;5,"3-5y",IF(U186&lt;7,"5-7y",IF(U186&lt;10,"7-10y","10y+")))))</f>
        <v/>
      </c>
      <c r="W186" s="30">
        <f>IF($A186="","",IFERROR(INDEX('參數'!$B$24:$B$45,MATCH(G186,'參數'!$A$24:$A$45,0)),""))</f>
        <v/>
      </c>
      <c r="X186" s="8">
        <f>IF($A186="","",IFERROR(INDEX('參數'!$C$24:$C$45,MATCH(G186,'參數'!$A$24:$A$45,0)),""))</f>
        <v/>
      </c>
      <c r="Y186" s="30">
        <f>IF(AND(ISNUMBER(N186),ISNUMBER(O186),ISNUMBER(U186)),IF(AND(O186&gt;0,X186&lt;&gt;""),1,0),0)</f>
        <v/>
      </c>
      <c r="Z186" s="17">
        <f>IF(Y186=1,O186*N186,"")</f>
        <v/>
      </c>
      <c r="AA186" s="33">
        <f>IF(Y186=1,IF(ISNUMBER(Q186),N186-Q186,""),"")</f>
        <v/>
      </c>
      <c r="AB186" s="33">
        <f>IF(Y186=1,IF(AND(ISNUMBER(P186),ISNUMBER(R186)),R186*5/12-O186*(P186-R186),""),"")</f>
        <v/>
      </c>
      <c r="AC186" s="30">
        <f>IF(Y186=1,COUNTIFS($X$5:$X$404,X186,$V$5:$V$404,V186,$Y$5:$Y$404,1),"")</f>
        <v/>
      </c>
      <c r="AD186" s="30">
        <f>IF(Y186=1,IFERROR(IF(AC186&gt;='參數'!$B$9,INDEX('分群統計'!$G$13:$K$16,MATCH(X186,'分群統計'!$A$13:$A$16,0),MATCH(V186,'分群統計'!$G$12:$K$12,0)),INDEX('分群統計'!$I$5:$I$8,MATCH(X186,'分群統計'!$A$5:$A$8,0))),""),"")</f>
        <v/>
      </c>
      <c r="AE186" s="18">
        <f>IF(Y186=1,IFERROR(IF(AC186&gt;='參數'!$B$9,INDEX('分群統計'!$L$13:$P$16,MATCH(X186,'分群統計'!$A$13:$A$16,0),MATCH(V186,'分群統計'!$L$12:$P$12,0)),INDEX('分群統計'!$J$5:$J$8,MATCH(X186,'分群統計'!$A$5:$A$8,0))),""),"")</f>
        <v/>
      </c>
      <c r="AF186" s="31">
        <f>IF(ISNUMBER(AE186),IF(AE186&gt;0,MAX(-3,MIN(3,(N186-AD186)/AE186)),0),"")</f>
        <v/>
      </c>
      <c r="AG186" s="30">
        <f>IF(Y186=1,COUNTIFS($B$5:$B$404,B186,$Y$5:$Y$404,1),"")</f>
        <v/>
      </c>
      <c r="AH186" s="30">
        <f>IF(Y186=1,IFERROR(IF(ISNUMBER(INDEX('分群統計'!$G$20:$G$59,MATCH(B186,'分群統計'!$A$20:$A$59,0))),INDEX('分群統計'!$H$20:$H$59,MATCH(B186,'分群統計'!$A$20:$A$59,0))+INDEX('分群統計'!$G$20:$G$59,MATCH(B186,'分群統計'!$A$20:$A$59,0))*AU186,""),""),"")</f>
        <v/>
      </c>
      <c r="AI186" s="34">
        <f>IF(ISNUMBER(AH186),N186-AH186,"")</f>
        <v/>
      </c>
      <c r="AJ186" s="30">
        <f>IF(Y186=1,IFERROR(IF(ISNUMBER(INDEX('分群統計'!$G$5:$G$8,MATCH(X186,'分群統計'!$A$5:$A$8,0))),INDEX('分群統計'!$H$5:$H$8,MATCH(X186,'分群統計'!$A$5:$A$8,0))+INDEX('分群統計'!$G$5:$G$8,MATCH(X186,'分群統計'!$A$5:$A$8,0))*AU186,""),""),"")</f>
        <v/>
      </c>
      <c r="AK186" s="34">
        <f>IF(ISNUMBER(AJ186),N186-AJ186,"")</f>
        <v/>
      </c>
      <c r="AL186" s="21">
        <f>IF(ISNUMBER(AJ186),IF(AJ186&gt;0,AK186/AJ186,""),"")</f>
        <v/>
      </c>
      <c r="AM186" s="31">
        <f>IF(AY186&lt;&gt;1,"",IFERROR(IF(INDEX('分群統計'!$K$5:$K$8,MATCH(X186,'分群統計'!$A$5:$A$8,0))&lt;3,"",IF(INDEX('分群統計'!$M$5:$M$8,MATCH(X186,'分群統計'!$A$5:$A$8,0))&gt;0,MAX(-3,MIN(3,(AX186-INDEX('分群統計'!$L$5:$L$8,MATCH(X186,'分群統計'!$A$5:$A$8,0)))/INDEX('分群統計'!$M$5:$M$8,MATCH(X186,'分群統計'!$A$5:$A$8,0)))),0)),""))</f>
        <v/>
      </c>
      <c r="AN186" s="31">
        <f>IF(ISNUMBER(AB186),IF(Z186&gt;0,AB186/Z186*100,""),"")</f>
        <v/>
      </c>
      <c r="AO186" s="31">
        <f>IF(BA186&lt;&gt;1,"",IFERROR(IF(INDEX('分群統計'!$N$5:$N$8,MATCH(X186,'分群統計'!$A$5:$A$8,0))&lt;3,"",IF(INDEX('分群統計'!$P$5:$P$8,MATCH(X186,'分群統計'!$A$5:$A$8,0))&gt;0,MAX(-3,MIN(3,(AZ186-INDEX('分群統計'!$O$5:$O$8,MATCH(X186,'分群統計'!$A$5:$A$8,0)))/INDEX('分群統計'!$P$5:$P$8,MATCH(X186,'分群統計'!$A$5:$A$8,0)))),0)),""))</f>
        <v/>
      </c>
      <c r="AP186" s="31">
        <f>IF(BC186&lt;&gt;1,"",IFERROR(IF(INDEX('分群統計'!$Q$5:$Q$8,MATCH(X186,'分群統計'!$A$5:$A$8,0))&lt;3,"",IF(INDEX('分群統計'!$S$5:$S$8,MATCH(X186,'分群統計'!$A$5:$A$8,0))&gt;0,MAX(-3,MIN(3,(BB186-INDEX('分群統計'!$R$5:$R$8,MATCH(X186,'分群統計'!$A$5:$A$8,0)))/INDEX('分群統計'!$S$5:$S$8,MATCH(X186,'分群統計'!$A$5:$A$8,0)))),0)),""))</f>
        <v/>
      </c>
      <c r="AQ186" s="31">
        <f>IF(Y186=1,(IF(ISNUMBER(AF186),AF186,0)*'參數'!$B$13+IF(ISNUMBER(AM186),AM186,0)*'參數'!$B$14+IF(ISNUMBER(AO186),AO186,0)*'參數'!$B$15+IF(ISNUMBER(AP186),AP186,0)*'參數'!$B$16)/('參數'!$B$13+'參數'!$B$14+'參數'!$B$15+'參數'!$B$16),"")</f>
        <v/>
      </c>
      <c r="AR186" s="35">
        <f>IF(Y186=1,(SUMPRODUCT(($X$5:$X$404=X186)*($Y$5:$Y$404=1)*($BD$5:$BD$404&gt;BD186))+1)/COUNTIFS($X$5:$X$404,X186,$Y$5:$Y$404,1),"")</f>
        <v/>
      </c>
      <c r="AS186" s="8">
        <f>IF(ISNUMBER(AR186),IF(AR186&lt;='參數'!$B$18,"加碼候選",IF(AR186&gt;'參數'!$B$19,"減碼候選","")),"")</f>
        <v/>
      </c>
      <c r="AT186" s="7">
        <f>IF(Y186=1,N186,0)</f>
        <v/>
      </c>
      <c r="AU186" s="7">
        <f>IF(Y186=1,LN(O186),0)</f>
        <v/>
      </c>
      <c r="AV186" s="36">
        <f>IF(Y186=1,IF(ISNUMBER(F186),F186,0),0)</f>
        <v/>
      </c>
      <c r="AW186" s="7">
        <f>IF(Y186=1,Z186,0)</f>
        <v/>
      </c>
      <c r="AX186" s="7">
        <f>IF(Y186=1,IF(ISNUMBER(AL186),AL186,0),0)</f>
        <v/>
      </c>
      <c r="AY186" s="7">
        <f>IF(Y186=1,IF(ISNUMBER(AL186),1,0),0)</f>
        <v/>
      </c>
      <c r="AZ186" s="7">
        <f>IF(Y186=1,IF(ISNUMBER(AN186),AN186,0),0)</f>
        <v/>
      </c>
      <c r="BA186" s="7">
        <f>IF(Y186=1,IF(ISNUMBER(AN186),1,0),0)</f>
        <v/>
      </c>
      <c r="BB186" s="7">
        <f>IF(Y186=1,IF(ISNUMBER(T186),T186,0),0)</f>
        <v/>
      </c>
      <c r="BC186" s="7">
        <f>IF(Y186=1,IF(ISNUMBER(T186),1,0),0)</f>
        <v/>
      </c>
      <c r="BD186" s="7">
        <f>IF(Y186=1,AQ186+ROW()/1E9,-1E9)</f>
        <v/>
      </c>
      <c r="BE186" s="7">
        <f>IF(Y186=1,AQ186+ROW()/1E9,1E9)</f>
        <v/>
      </c>
    </row>
    <row r="187">
      <c r="A187" s="16" t="n"/>
      <c r="B187" s="8">
        <f>IF($A187="","",BDP($A187,B$3))</f>
        <v/>
      </c>
      <c r="C187" s="8">
        <f>IF($A187="","",BDP($A187,C$3))</f>
        <v/>
      </c>
      <c r="D187" s="28">
        <f>IF($A187="","",BDP($A187,D$3))</f>
        <v/>
      </c>
      <c r="E187" s="29">
        <f>IF($A187="","",BDP($A187,E$3))</f>
        <v/>
      </c>
      <c r="F187" s="17">
        <f>IF($A187="","",BDP($A187,F$3))</f>
        <v/>
      </c>
      <c r="G187" s="8">
        <f>IF($A187="","",BDP($A187,G$3))</f>
        <v/>
      </c>
      <c r="H187" s="8">
        <f>IF($A187="","",BDP($A187,H$3))</f>
        <v/>
      </c>
      <c r="I187" s="8">
        <f>IF($A187="","",BDP($A187,I$3))</f>
        <v/>
      </c>
      <c r="J187" s="8">
        <f>IF($A187="","",BDP($A187,J$3))</f>
        <v/>
      </c>
      <c r="K187" s="8">
        <f>IF($A187="","",BDP($A187,K$3))</f>
        <v/>
      </c>
      <c r="L187" s="28">
        <f>IF($A187="","",BDP($A187,L$3))</f>
        <v/>
      </c>
      <c r="M187" s="28">
        <f>IF($A187="","",BDP($A187,M$3))</f>
        <v/>
      </c>
      <c r="N187" s="30">
        <f>IF($A187="","",BDP($A187,N$3))</f>
        <v/>
      </c>
      <c r="O187" s="31">
        <f>IF($A187="","",BDP($A187,O$3))</f>
        <v/>
      </c>
      <c r="P187" s="30">
        <f>IF($A187="","",BDH($A187,$N$3,'參數'!$B$5,'參數'!$B$5,"Days=A","Fill=P","Dates=H"))</f>
        <v/>
      </c>
      <c r="Q187" s="30">
        <f>IF($A187="","",BDH($A187,$N$3,'參數'!$B$6,'參數'!$B$6,"Days=A","Fill=P","Dates=H"))</f>
        <v/>
      </c>
      <c r="R187" s="30">
        <f>IF($A187="","",BDH($A187,$N$3,'參數'!$B$7,'參數'!$B$7,"Days=A","Fill=P","Dates=H"))</f>
        <v/>
      </c>
      <c r="S187" s="32">
        <f>IF($A187="","",IFERROR(INDEX('發行人'!$A$5:$A$44,MATCH(B187,'發行人'!$D$5:$D$44,0)),"未對應"))</f>
        <v/>
      </c>
      <c r="T187" s="24">
        <f>IF($A187="","",IFERROR(INDEX('發行人'!$G$5:$G$44,MATCH(B187,'發行人'!$D$5:$D$44,0))+0,""))</f>
        <v/>
      </c>
      <c r="U187" s="18">
        <f>IF(ISNUMBER(E187),YEARFRAC('參數'!$B$4,E187),"")</f>
        <v/>
      </c>
      <c r="V187" s="8">
        <f>IF(U187="","",IF(U187&lt;3,"1-3y",IF(U187&lt;5,"3-5y",IF(U187&lt;7,"5-7y",IF(U187&lt;10,"7-10y","10y+")))))</f>
        <v/>
      </c>
      <c r="W187" s="30">
        <f>IF($A187="","",IFERROR(INDEX('參數'!$B$24:$B$45,MATCH(G187,'參數'!$A$24:$A$45,0)),""))</f>
        <v/>
      </c>
      <c r="X187" s="8">
        <f>IF($A187="","",IFERROR(INDEX('參數'!$C$24:$C$45,MATCH(G187,'參數'!$A$24:$A$45,0)),""))</f>
        <v/>
      </c>
      <c r="Y187" s="30">
        <f>IF(AND(ISNUMBER(N187),ISNUMBER(O187),ISNUMBER(U187)),IF(AND(O187&gt;0,X187&lt;&gt;""),1,0),0)</f>
        <v/>
      </c>
      <c r="Z187" s="17">
        <f>IF(Y187=1,O187*N187,"")</f>
        <v/>
      </c>
      <c r="AA187" s="33">
        <f>IF(Y187=1,IF(ISNUMBER(Q187),N187-Q187,""),"")</f>
        <v/>
      </c>
      <c r="AB187" s="33">
        <f>IF(Y187=1,IF(AND(ISNUMBER(P187),ISNUMBER(R187)),R187*5/12-O187*(P187-R187),""),"")</f>
        <v/>
      </c>
      <c r="AC187" s="30">
        <f>IF(Y187=1,COUNTIFS($X$5:$X$404,X187,$V$5:$V$404,V187,$Y$5:$Y$404,1),"")</f>
        <v/>
      </c>
      <c r="AD187" s="30">
        <f>IF(Y187=1,IFERROR(IF(AC187&gt;='參數'!$B$9,INDEX('分群統計'!$G$13:$K$16,MATCH(X187,'分群統計'!$A$13:$A$16,0),MATCH(V187,'分群統計'!$G$12:$K$12,0)),INDEX('分群統計'!$I$5:$I$8,MATCH(X187,'分群統計'!$A$5:$A$8,0))),""),"")</f>
        <v/>
      </c>
      <c r="AE187" s="18">
        <f>IF(Y187=1,IFERROR(IF(AC187&gt;='參數'!$B$9,INDEX('分群統計'!$L$13:$P$16,MATCH(X187,'分群統計'!$A$13:$A$16,0),MATCH(V187,'分群統計'!$L$12:$P$12,0)),INDEX('分群統計'!$J$5:$J$8,MATCH(X187,'分群統計'!$A$5:$A$8,0))),""),"")</f>
        <v/>
      </c>
      <c r="AF187" s="31">
        <f>IF(ISNUMBER(AE187),IF(AE187&gt;0,MAX(-3,MIN(3,(N187-AD187)/AE187)),0),"")</f>
        <v/>
      </c>
      <c r="AG187" s="30">
        <f>IF(Y187=1,COUNTIFS($B$5:$B$404,B187,$Y$5:$Y$404,1),"")</f>
        <v/>
      </c>
      <c r="AH187" s="30">
        <f>IF(Y187=1,IFERROR(IF(ISNUMBER(INDEX('分群統計'!$G$20:$G$59,MATCH(B187,'分群統計'!$A$20:$A$59,0))),INDEX('分群統計'!$H$20:$H$59,MATCH(B187,'分群統計'!$A$20:$A$59,0))+INDEX('分群統計'!$G$20:$G$59,MATCH(B187,'分群統計'!$A$20:$A$59,0))*AU187,""),""),"")</f>
        <v/>
      </c>
      <c r="AI187" s="34">
        <f>IF(ISNUMBER(AH187),N187-AH187,"")</f>
        <v/>
      </c>
      <c r="AJ187" s="30">
        <f>IF(Y187=1,IFERROR(IF(ISNUMBER(INDEX('分群統計'!$G$5:$G$8,MATCH(X187,'分群統計'!$A$5:$A$8,0))),INDEX('分群統計'!$H$5:$H$8,MATCH(X187,'分群統計'!$A$5:$A$8,0))+INDEX('分群統計'!$G$5:$G$8,MATCH(X187,'分群統計'!$A$5:$A$8,0))*AU187,""),""),"")</f>
        <v/>
      </c>
      <c r="AK187" s="34">
        <f>IF(ISNUMBER(AJ187),N187-AJ187,"")</f>
        <v/>
      </c>
      <c r="AL187" s="21">
        <f>IF(ISNUMBER(AJ187),IF(AJ187&gt;0,AK187/AJ187,""),"")</f>
        <v/>
      </c>
      <c r="AM187" s="31">
        <f>IF(AY187&lt;&gt;1,"",IFERROR(IF(INDEX('分群統計'!$K$5:$K$8,MATCH(X187,'分群統計'!$A$5:$A$8,0))&lt;3,"",IF(INDEX('分群統計'!$M$5:$M$8,MATCH(X187,'分群統計'!$A$5:$A$8,0))&gt;0,MAX(-3,MIN(3,(AX187-INDEX('分群統計'!$L$5:$L$8,MATCH(X187,'分群統計'!$A$5:$A$8,0)))/INDEX('分群統計'!$M$5:$M$8,MATCH(X187,'分群統計'!$A$5:$A$8,0)))),0)),""))</f>
        <v/>
      </c>
      <c r="AN187" s="31">
        <f>IF(ISNUMBER(AB187),IF(Z187&gt;0,AB187/Z187*100,""),"")</f>
        <v/>
      </c>
      <c r="AO187" s="31">
        <f>IF(BA187&lt;&gt;1,"",IFERROR(IF(INDEX('分群統計'!$N$5:$N$8,MATCH(X187,'分群統計'!$A$5:$A$8,0))&lt;3,"",IF(INDEX('分群統計'!$P$5:$P$8,MATCH(X187,'分群統計'!$A$5:$A$8,0))&gt;0,MAX(-3,MIN(3,(AZ187-INDEX('分群統計'!$O$5:$O$8,MATCH(X187,'分群統計'!$A$5:$A$8,0)))/INDEX('分群統計'!$P$5:$P$8,MATCH(X187,'分群統計'!$A$5:$A$8,0)))),0)),""))</f>
        <v/>
      </c>
      <c r="AP187" s="31">
        <f>IF(BC187&lt;&gt;1,"",IFERROR(IF(INDEX('分群統計'!$Q$5:$Q$8,MATCH(X187,'分群統計'!$A$5:$A$8,0))&lt;3,"",IF(INDEX('分群統計'!$S$5:$S$8,MATCH(X187,'分群統計'!$A$5:$A$8,0))&gt;0,MAX(-3,MIN(3,(BB187-INDEX('分群統計'!$R$5:$R$8,MATCH(X187,'分群統計'!$A$5:$A$8,0)))/INDEX('分群統計'!$S$5:$S$8,MATCH(X187,'分群統計'!$A$5:$A$8,0)))),0)),""))</f>
        <v/>
      </c>
      <c r="AQ187" s="31">
        <f>IF(Y187=1,(IF(ISNUMBER(AF187),AF187,0)*'參數'!$B$13+IF(ISNUMBER(AM187),AM187,0)*'參數'!$B$14+IF(ISNUMBER(AO187),AO187,0)*'參數'!$B$15+IF(ISNUMBER(AP187),AP187,0)*'參數'!$B$16)/('參數'!$B$13+'參數'!$B$14+'參數'!$B$15+'參數'!$B$16),"")</f>
        <v/>
      </c>
      <c r="AR187" s="35">
        <f>IF(Y187=1,(SUMPRODUCT(($X$5:$X$404=X187)*($Y$5:$Y$404=1)*($BD$5:$BD$404&gt;BD187))+1)/COUNTIFS($X$5:$X$404,X187,$Y$5:$Y$404,1),"")</f>
        <v/>
      </c>
      <c r="AS187" s="8">
        <f>IF(ISNUMBER(AR187),IF(AR187&lt;='參數'!$B$18,"加碼候選",IF(AR187&gt;'參數'!$B$19,"減碼候選","")),"")</f>
        <v/>
      </c>
      <c r="AT187" s="7">
        <f>IF(Y187=1,N187,0)</f>
        <v/>
      </c>
      <c r="AU187" s="7">
        <f>IF(Y187=1,LN(O187),0)</f>
        <v/>
      </c>
      <c r="AV187" s="36">
        <f>IF(Y187=1,IF(ISNUMBER(F187),F187,0),0)</f>
        <v/>
      </c>
      <c r="AW187" s="7">
        <f>IF(Y187=1,Z187,0)</f>
        <v/>
      </c>
      <c r="AX187" s="7">
        <f>IF(Y187=1,IF(ISNUMBER(AL187),AL187,0),0)</f>
        <v/>
      </c>
      <c r="AY187" s="7">
        <f>IF(Y187=1,IF(ISNUMBER(AL187),1,0),0)</f>
        <v/>
      </c>
      <c r="AZ187" s="7">
        <f>IF(Y187=1,IF(ISNUMBER(AN187),AN187,0),0)</f>
        <v/>
      </c>
      <c r="BA187" s="7">
        <f>IF(Y187=1,IF(ISNUMBER(AN187),1,0),0)</f>
        <v/>
      </c>
      <c r="BB187" s="7">
        <f>IF(Y187=1,IF(ISNUMBER(T187),T187,0),0)</f>
        <v/>
      </c>
      <c r="BC187" s="7">
        <f>IF(Y187=1,IF(ISNUMBER(T187),1,0),0)</f>
        <v/>
      </c>
      <c r="BD187" s="7">
        <f>IF(Y187=1,AQ187+ROW()/1E9,-1E9)</f>
        <v/>
      </c>
      <c r="BE187" s="7">
        <f>IF(Y187=1,AQ187+ROW()/1E9,1E9)</f>
        <v/>
      </c>
    </row>
    <row r="188">
      <c r="A188" s="16" t="n"/>
      <c r="B188" s="8">
        <f>IF($A188="","",BDP($A188,B$3))</f>
        <v/>
      </c>
      <c r="C188" s="8">
        <f>IF($A188="","",BDP($A188,C$3))</f>
        <v/>
      </c>
      <c r="D188" s="28">
        <f>IF($A188="","",BDP($A188,D$3))</f>
        <v/>
      </c>
      <c r="E188" s="29">
        <f>IF($A188="","",BDP($A188,E$3))</f>
        <v/>
      </c>
      <c r="F188" s="17">
        <f>IF($A188="","",BDP($A188,F$3))</f>
        <v/>
      </c>
      <c r="G188" s="8">
        <f>IF($A188="","",BDP($A188,G$3))</f>
        <v/>
      </c>
      <c r="H188" s="8">
        <f>IF($A188="","",BDP($A188,H$3))</f>
        <v/>
      </c>
      <c r="I188" s="8">
        <f>IF($A188="","",BDP($A188,I$3))</f>
        <v/>
      </c>
      <c r="J188" s="8">
        <f>IF($A188="","",BDP($A188,J$3))</f>
        <v/>
      </c>
      <c r="K188" s="8">
        <f>IF($A188="","",BDP($A188,K$3))</f>
        <v/>
      </c>
      <c r="L188" s="28">
        <f>IF($A188="","",BDP($A188,L$3))</f>
        <v/>
      </c>
      <c r="M188" s="28">
        <f>IF($A188="","",BDP($A188,M$3))</f>
        <v/>
      </c>
      <c r="N188" s="30">
        <f>IF($A188="","",BDP($A188,N$3))</f>
        <v/>
      </c>
      <c r="O188" s="31">
        <f>IF($A188="","",BDP($A188,O$3))</f>
        <v/>
      </c>
      <c r="P188" s="30">
        <f>IF($A188="","",BDH($A188,$N$3,'參數'!$B$5,'參數'!$B$5,"Days=A","Fill=P","Dates=H"))</f>
        <v/>
      </c>
      <c r="Q188" s="30">
        <f>IF($A188="","",BDH($A188,$N$3,'參數'!$B$6,'參數'!$B$6,"Days=A","Fill=P","Dates=H"))</f>
        <v/>
      </c>
      <c r="R188" s="30">
        <f>IF($A188="","",BDH($A188,$N$3,'參數'!$B$7,'參數'!$B$7,"Days=A","Fill=P","Dates=H"))</f>
        <v/>
      </c>
      <c r="S188" s="32">
        <f>IF($A188="","",IFERROR(INDEX('發行人'!$A$5:$A$44,MATCH(B188,'發行人'!$D$5:$D$44,0)),"未對應"))</f>
        <v/>
      </c>
      <c r="T188" s="24">
        <f>IF($A188="","",IFERROR(INDEX('發行人'!$G$5:$G$44,MATCH(B188,'發行人'!$D$5:$D$44,0))+0,""))</f>
        <v/>
      </c>
      <c r="U188" s="18">
        <f>IF(ISNUMBER(E188),YEARFRAC('參數'!$B$4,E188),"")</f>
        <v/>
      </c>
      <c r="V188" s="8">
        <f>IF(U188="","",IF(U188&lt;3,"1-3y",IF(U188&lt;5,"3-5y",IF(U188&lt;7,"5-7y",IF(U188&lt;10,"7-10y","10y+")))))</f>
        <v/>
      </c>
      <c r="W188" s="30">
        <f>IF($A188="","",IFERROR(INDEX('參數'!$B$24:$B$45,MATCH(G188,'參數'!$A$24:$A$45,0)),""))</f>
        <v/>
      </c>
      <c r="X188" s="8">
        <f>IF($A188="","",IFERROR(INDEX('參數'!$C$24:$C$45,MATCH(G188,'參數'!$A$24:$A$45,0)),""))</f>
        <v/>
      </c>
      <c r="Y188" s="30">
        <f>IF(AND(ISNUMBER(N188),ISNUMBER(O188),ISNUMBER(U188)),IF(AND(O188&gt;0,X188&lt;&gt;""),1,0),0)</f>
        <v/>
      </c>
      <c r="Z188" s="17">
        <f>IF(Y188=1,O188*N188,"")</f>
        <v/>
      </c>
      <c r="AA188" s="33">
        <f>IF(Y188=1,IF(ISNUMBER(Q188),N188-Q188,""),"")</f>
        <v/>
      </c>
      <c r="AB188" s="33">
        <f>IF(Y188=1,IF(AND(ISNUMBER(P188),ISNUMBER(R188)),R188*5/12-O188*(P188-R188),""),"")</f>
        <v/>
      </c>
      <c r="AC188" s="30">
        <f>IF(Y188=1,COUNTIFS($X$5:$X$404,X188,$V$5:$V$404,V188,$Y$5:$Y$404,1),"")</f>
        <v/>
      </c>
      <c r="AD188" s="30">
        <f>IF(Y188=1,IFERROR(IF(AC188&gt;='參數'!$B$9,INDEX('分群統計'!$G$13:$K$16,MATCH(X188,'分群統計'!$A$13:$A$16,0),MATCH(V188,'分群統計'!$G$12:$K$12,0)),INDEX('分群統計'!$I$5:$I$8,MATCH(X188,'分群統計'!$A$5:$A$8,0))),""),"")</f>
        <v/>
      </c>
      <c r="AE188" s="18">
        <f>IF(Y188=1,IFERROR(IF(AC188&gt;='參數'!$B$9,INDEX('分群統計'!$L$13:$P$16,MATCH(X188,'分群統計'!$A$13:$A$16,0),MATCH(V188,'分群統計'!$L$12:$P$12,0)),INDEX('分群統計'!$J$5:$J$8,MATCH(X188,'分群統計'!$A$5:$A$8,0))),""),"")</f>
        <v/>
      </c>
      <c r="AF188" s="31">
        <f>IF(ISNUMBER(AE188),IF(AE188&gt;0,MAX(-3,MIN(3,(N188-AD188)/AE188)),0),"")</f>
        <v/>
      </c>
      <c r="AG188" s="30">
        <f>IF(Y188=1,COUNTIFS($B$5:$B$404,B188,$Y$5:$Y$404,1),"")</f>
        <v/>
      </c>
      <c r="AH188" s="30">
        <f>IF(Y188=1,IFERROR(IF(ISNUMBER(INDEX('分群統計'!$G$20:$G$59,MATCH(B188,'分群統計'!$A$20:$A$59,0))),INDEX('分群統計'!$H$20:$H$59,MATCH(B188,'分群統計'!$A$20:$A$59,0))+INDEX('分群統計'!$G$20:$G$59,MATCH(B188,'分群統計'!$A$20:$A$59,0))*AU188,""),""),"")</f>
        <v/>
      </c>
      <c r="AI188" s="34">
        <f>IF(ISNUMBER(AH188),N188-AH188,"")</f>
        <v/>
      </c>
      <c r="AJ188" s="30">
        <f>IF(Y188=1,IFERROR(IF(ISNUMBER(INDEX('分群統計'!$G$5:$G$8,MATCH(X188,'分群統計'!$A$5:$A$8,0))),INDEX('分群統計'!$H$5:$H$8,MATCH(X188,'分群統計'!$A$5:$A$8,0))+INDEX('分群統計'!$G$5:$G$8,MATCH(X188,'分群統計'!$A$5:$A$8,0))*AU188,""),""),"")</f>
        <v/>
      </c>
      <c r="AK188" s="34">
        <f>IF(ISNUMBER(AJ188),N188-AJ188,"")</f>
        <v/>
      </c>
      <c r="AL188" s="21">
        <f>IF(ISNUMBER(AJ188),IF(AJ188&gt;0,AK188/AJ188,""),"")</f>
        <v/>
      </c>
      <c r="AM188" s="31">
        <f>IF(AY188&lt;&gt;1,"",IFERROR(IF(INDEX('分群統計'!$K$5:$K$8,MATCH(X188,'分群統計'!$A$5:$A$8,0))&lt;3,"",IF(INDEX('分群統計'!$M$5:$M$8,MATCH(X188,'分群統計'!$A$5:$A$8,0))&gt;0,MAX(-3,MIN(3,(AX188-INDEX('分群統計'!$L$5:$L$8,MATCH(X188,'分群統計'!$A$5:$A$8,0)))/INDEX('分群統計'!$M$5:$M$8,MATCH(X188,'分群統計'!$A$5:$A$8,0)))),0)),""))</f>
        <v/>
      </c>
      <c r="AN188" s="31">
        <f>IF(ISNUMBER(AB188),IF(Z188&gt;0,AB188/Z188*100,""),"")</f>
        <v/>
      </c>
      <c r="AO188" s="31">
        <f>IF(BA188&lt;&gt;1,"",IFERROR(IF(INDEX('分群統計'!$N$5:$N$8,MATCH(X188,'分群統計'!$A$5:$A$8,0))&lt;3,"",IF(INDEX('分群統計'!$P$5:$P$8,MATCH(X188,'分群統計'!$A$5:$A$8,0))&gt;0,MAX(-3,MIN(3,(AZ188-INDEX('分群統計'!$O$5:$O$8,MATCH(X188,'分群統計'!$A$5:$A$8,0)))/INDEX('分群統計'!$P$5:$P$8,MATCH(X188,'分群統計'!$A$5:$A$8,0)))),0)),""))</f>
        <v/>
      </c>
      <c r="AP188" s="31">
        <f>IF(BC188&lt;&gt;1,"",IFERROR(IF(INDEX('分群統計'!$Q$5:$Q$8,MATCH(X188,'分群統計'!$A$5:$A$8,0))&lt;3,"",IF(INDEX('分群統計'!$S$5:$S$8,MATCH(X188,'分群統計'!$A$5:$A$8,0))&gt;0,MAX(-3,MIN(3,(BB188-INDEX('分群統計'!$R$5:$R$8,MATCH(X188,'分群統計'!$A$5:$A$8,0)))/INDEX('分群統計'!$S$5:$S$8,MATCH(X188,'分群統計'!$A$5:$A$8,0)))),0)),""))</f>
        <v/>
      </c>
      <c r="AQ188" s="31">
        <f>IF(Y188=1,(IF(ISNUMBER(AF188),AF188,0)*'參數'!$B$13+IF(ISNUMBER(AM188),AM188,0)*'參數'!$B$14+IF(ISNUMBER(AO188),AO188,0)*'參數'!$B$15+IF(ISNUMBER(AP188),AP188,0)*'參數'!$B$16)/('參數'!$B$13+'參數'!$B$14+'參數'!$B$15+'參數'!$B$16),"")</f>
        <v/>
      </c>
      <c r="AR188" s="35">
        <f>IF(Y188=1,(SUMPRODUCT(($X$5:$X$404=X188)*($Y$5:$Y$404=1)*($BD$5:$BD$404&gt;BD188))+1)/COUNTIFS($X$5:$X$404,X188,$Y$5:$Y$404,1),"")</f>
        <v/>
      </c>
      <c r="AS188" s="8">
        <f>IF(ISNUMBER(AR188),IF(AR188&lt;='參數'!$B$18,"加碼候選",IF(AR188&gt;'參數'!$B$19,"減碼候選","")),"")</f>
        <v/>
      </c>
      <c r="AT188" s="7">
        <f>IF(Y188=1,N188,0)</f>
        <v/>
      </c>
      <c r="AU188" s="7">
        <f>IF(Y188=1,LN(O188),0)</f>
        <v/>
      </c>
      <c r="AV188" s="36">
        <f>IF(Y188=1,IF(ISNUMBER(F188),F188,0),0)</f>
        <v/>
      </c>
      <c r="AW188" s="7">
        <f>IF(Y188=1,Z188,0)</f>
        <v/>
      </c>
      <c r="AX188" s="7">
        <f>IF(Y188=1,IF(ISNUMBER(AL188),AL188,0),0)</f>
        <v/>
      </c>
      <c r="AY188" s="7">
        <f>IF(Y188=1,IF(ISNUMBER(AL188),1,0),0)</f>
        <v/>
      </c>
      <c r="AZ188" s="7">
        <f>IF(Y188=1,IF(ISNUMBER(AN188),AN188,0),0)</f>
        <v/>
      </c>
      <c r="BA188" s="7">
        <f>IF(Y188=1,IF(ISNUMBER(AN188),1,0),0)</f>
        <v/>
      </c>
      <c r="BB188" s="7">
        <f>IF(Y188=1,IF(ISNUMBER(T188),T188,0),0)</f>
        <v/>
      </c>
      <c r="BC188" s="7">
        <f>IF(Y188=1,IF(ISNUMBER(T188),1,0),0)</f>
        <v/>
      </c>
      <c r="BD188" s="7">
        <f>IF(Y188=1,AQ188+ROW()/1E9,-1E9)</f>
        <v/>
      </c>
      <c r="BE188" s="7">
        <f>IF(Y188=1,AQ188+ROW()/1E9,1E9)</f>
        <v/>
      </c>
    </row>
    <row r="189">
      <c r="A189" s="16" t="n"/>
      <c r="B189" s="8">
        <f>IF($A189="","",BDP($A189,B$3))</f>
        <v/>
      </c>
      <c r="C189" s="8">
        <f>IF($A189="","",BDP($A189,C$3))</f>
        <v/>
      </c>
      <c r="D189" s="28">
        <f>IF($A189="","",BDP($A189,D$3))</f>
        <v/>
      </c>
      <c r="E189" s="29">
        <f>IF($A189="","",BDP($A189,E$3))</f>
        <v/>
      </c>
      <c r="F189" s="17">
        <f>IF($A189="","",BDP($A189,F$3))</f>
        <v/>
      </c>
      <c r="G189" s="8">
        <f>IF($A189="","",BDP($A189,G$3))</f>
        <v/>
      </c>
      <c r="H189" s="8">
        <f>IF($A189="","",BDP($A189,H$3))</f>
        <v/>
      </c>
      <c r="I189" s="8">
        <f>IF($A189="","",BDP($A189,I$3))</f>
        <v/>
      </c>
      <c r="J189" s="8">
        <f>IF($A189="","",BDP($A189,J$3))</f>
        <v/>
      </c>
      <c r="K189" s="8">
        <f>IF($A189="","",BDP($A189,K$3))</f>
        <v/>
      </c>
      <c r="L189" s="28">
        <f>IF($A189="","",BDP($A189,L$3))</f>
        <v/>
      </c>
      <c r="M189" s="28">
        <f>IF($A189="","",BDP($A189,M$3))</f>
        <v/>
      </c>
      <c r="N189" s="30">
        <f>IF($A189="","",BDP($A189,N$3))</f>
        <v/>
      </c>
      <c r="O189" s="31">
        <f>IF($A189="","",BDP($A189,O$3))</f>
        <v/>
      </c>
      <c r="P189" s="30">
        <f>IF($A189="","",BDH($A189,$N$3,'參數'!$B$5,'參數'!$B$5,"Days=A","Fill=P","Dates=H"))</f>
        <v/>
      </c>
      <c r="Q189" s="30">
        <f>IF($A189="","",BDH($A189,$N$3,'參數'!$B$6,'參數'!$B$6,"Days=A","Fill=P","Dates=H"))</f>
        <v/>
      </c>
      <c r="R189" s="30">
        <f>IF($A189="","",BDH($A189,$N$3,'參數'!$B$7,'參數'!$B$7,"Days=A","Fill=P","Dates=H"))</f>
        <v/>
      </c>
      <c r="S189" s="32">
        <f>IF($A189="","",IFERROR(INDEX('發行人'!$A$5:$A$44,MATCH(B189,'發行人'!$D$5:$D$44,0)),"未對應"))</f>
        <v/>
      </c>
      <c r="T189" s="24">
        <f>IF($A189="","",IFERROR(INDEX('發行人'!$G$5:$G$44,MATCH(B189,'發行人'!$D$5:$D$44,0))+0,""))</f>
        <v/>
      </c>
      <c r="U189" s="18">
        <f>IF(ISNUMBER(E189),YEARFRAC('參數'!$B$4,E189),"")</f>
        <v/>
      </c>
      <c r="V189" s="8">
        <f>IF(U189="","",IF(U189&lt;3,"1-3y",IF(U189&lt;5,"3-5y",IF(U189&lt;7,"5-7y",IF(U189&lt;10,"7-10y","10y+")))))</f>
        <v/>
      </c>
      <c r="W189" s="30">
        <f>IF($A189="","",IFERROR(INDEX('參數'!$B$24:$B$45,MATCH(G189,'參數'!$A$24:$A$45,0)),""))</f>
        <v/>
      </c>
      <c r="X189" s="8">
        <f>IF($A189="","",IFERROR(INDEX('參數'!$C$24:$C$45,MATCH(G189,'參數'!$A$24:$A$45,0)),""))</f>
        <v/>
      </c>
      <c r="Y189" s="30">
        <f>IF(AND(ISNUMBER(N189),ISNUMBER(O189),ISNUMBER(U189)),IF(AND(O189&gt;0,X189&lt;&gt;""),1,0),0)</f>
        <v/>
      </c>
      <c r="Z189" s="17">
        <f>IF(Y189=1,O189*N189,"")</f>
        <v/>
      </c>
      <c r="AA189" s="33">
        <f>IF(Y189=1,IF(ISNUMBER(Q189),N189-Q189,""),"")</f>
        <v/>
      </c>
      <c r="AB189" s="33">
        <f>IF(Y189=1,IF(AND(ISNUMBER(P189),ISNUMBER(R189)),R189*5/12-O189*(P189-R189),""),"")</f>
        <v/>
      </c>
      <c r="AC189" s="30">
        <f>IF(Y189=1,COUNTIFS($X$5:$X$404,X189,$V$5:$V$404,V189,$Y$5:$Y$404,1),"")</f>
        <v/>
      </c>
      <c r="AD189" s="30">
        <f>IF(Y189=1,IFERROR(IF(AC189&gt;='參數'!$B$9,INDEX('分群統計'!$G$13:$K$16,MATCH(X189,'分群統計'!$A$13:$A$16,0),MATCH(V189,'分群統計'!$G$12:$K$12,0)),INDEX('分群統計'!$I$5:$I$8,MATCH(X189,'分群統計'!$A$5:$A$8,0))),""),"")</f>
        <v/>
      </c>
      <c r="AE189" s="18">
        <f>IF(Y189=1,IFERROR(IF(AC189&gt;='參數'!$B$9,INDEX('分群統計'!$L$13:$P$16,MATCH(X189,'分群統計'!$A$13:$A$16,0),MATCH(V189,'分群統計'!$L$12:$P$12,0)),INDEX('分群統計'!$J$5:$J$8,MATCH(X189,'分群統計'!$A$5:$A$8,0))),""),"")</f>
        <v/>
      </c>
      <c r="AF189" s="31">
        <f>IF(ISNUMBER(AE189),IF(AE189&gt;0,MAX(-3,MIN(3,(N189-AD189)/AE189)),0),"")</f>
        <v/>
      </c>
      <c r="AG189" s="30">
        <f>IF(Y189=1,COUNTIFS($B$5:$B$404,B189,$Y$5:$Y$404,1),"")</f>
        <v/>
      </c>
      <c r="AH189" s="30">
        <f>IF(Y189=1,IFERROR(IF(ISNUMBER(INDEX('分群統計'!$G$20:$G$59,MATCH(B189,'分群統計'!$A$20:$A$59,0))),INDEX('分群統計'!$H$20:$H$59,MATCH(B189,'分群統計'!$A$20:$A$59,0))+INDEX('分群統計'!$G$20:$G$59,MATCH(B189,'分群統計'!$A$20:$A$59,0))*AU189,""),""),"")</f>
        <v/>
      </c>
      <c r="AI189" s="34">
        <f>IF(ISNUMBER(AH189),N189-AH189,"")</f>
        <v/>
      </c>
      <c r="AJ189" s="30">
        <f>IF(Y189=1,IFERROR(IF(ISNUMBER(INDEX('分群統計'!$G$5:$G$8,MATCH(X189,'分群統計'!$A$5:$A$8,0))),INDEX('分群統計'!$H$5:$H$8,MATCH(X189,'分群統計'!$A$5:$A$8,0))+INDEX('分群統計'!$G$5:$G$8,MATCH(X189,'分群統計'!$A$5:$A$8,0))*AU189,""),""),"")</f>
        <v/>
      </c>
      <c r="AK189" s="34">
        <f>IF(ISNUMBER(AJ189),N189-AJ189,"")</f>
        <v/>
      </c>
      <c r="AL189" s="21">
        <f>IF(ISNUMBER(AJ189),IF(AJ189&gt;0,AK189/AJ189,""),"")</f>
        <v/>
      </c>
      <c r="AM189" s="31">
        <f>IF(AY189&lt;&gt;1,"",IFERROR(IF(INDEX('分群統計'!$K$5:$K$8,MATCH(X189,'分群統計'!$A$5:$A$8,0))&lt;3,"",IF(INDEX('分群統計'!$M$5:$M$8,MATCH(X189,'分群統計'!$A$5:$A$8,0))&gt;0,MAX(-3,MIN(3,(AX189-INDEX('分群統計'!$L$5:$L$8,MATCH(X189,'分群統計'!$A$5:$A$8,0)))/INDEX('分群統計'!$M$5:$M$8,MATCH(X189,'分群統計'!$A$5:$A$8,0)))),0)),""))</f>
        <v/>
      </c>
      <c r="AN189" s="31">
        <f>IF(ISNUMBER(AB189),IF(Z189&gt;0,AB189/Z189*100,""),"")</f>
        <v/>
      </c>
      <c r="AO189" s="31">
        <f>IF(BA189&lt;&gt;1,"",IFERROR(IF(INDEX('分群統計'!$N$5:$N$8,MATCH(X189,'分群統計'!$A$5:$A$8,0))&lt;3,"",IF(INDEX('分群統計'!$P$5:$P$8,MATCH(X189,'分群統計'!$A$5:$A$8,0))&gt;0,MAX(-3,MIN(3,(AZ189-INDEX('分群統計'!$O$5:$O$8,MATCH(X189,'分群統計'!$A$5:$A$8,0)))/INDEX('分群統計'!$P$5:$P$8,MATCH(X189,'分群統計'!$A$5:$A$8,0)))),0)),""))</f>
        <v/>
      </c>
      <c r="AP189" s="31">
        <f>IF(BC189&lt;&gt;1,"",IFERROR(IF(INDEX('分群統計'!$Q$5:$Q$8,MATCH(X189,'分群統計'!$A$5:$A$8,0))&lt;3,"",IF(INDEX('分群統計'!$S$5:$S$8,MATCH(X189,'分群統計'!$A$5:$A$8,0))&gt;0,MAX(-3,MIN(3,(BB189-INDEX('分群統計'!$R$5:$R$8,MATCH(X189,'分群統計'!$A$5:$A$8,0)))/INDEX('分群統計'!$S$5:$S$8,MATCH(X189,'分群統計'!$A$5:$A$8,0)))),0)),""))</f>
        <v/>
      </c>
      <c r="AQ189" s="31">
        <f>IF(Y189=1,(IF(ISNUMBER(AF189),AF189,0)*'參數'!$B$13+IF(ISNUMBER(AM189),AM189,0)*'參數'!$B$14+IF(ISNUMBER(AO189),AO189,0)*'參數'!$B$15+IF(ISNUMBER(AP189),AP189,0)*'參數'!$B$16)/('參數'!$B$13+'參數'!$B$14+'參數'!$B$15+'參數'!$B$16),"")</f>
        <v/>
      </c>
      <c r="AR189" s="35">
        <f>IF(Y189=1,(SUMPRODUCT(($X$5:$X$404=X189)*($Y$5:$Y$404=1)*($BD$5:$BD$404&gt;BD189))+1)/COUNTIFS($X$5:$X$404,X189,$Y$5:$Y$404,1),"")</f>
        <v/>
      </c>
      <c r="AS189" s="8">
        <f>IF(ISNUMBER(AR189),IF(AR189&lt;='參數'!$B$18,"加碼候選",IF(AR189&gt;'參數'!$B$19,"減碼候選","")),"")</f>
        <v/>
      </c>
      <c r="AT189" s="7">
        <f>IF(Y189=1,N189,0)</f>
        <v/>
      </c>
      <c r="AU189" s="7">
        <f>IF(Y189=1,LN(O189),0)</f>
        <v/>
      </c>
      <c r="AV189" s="36">
        <f>IF(Y189=1,IF(ISNUMBER(F189),F189,0),0)</f>
        <v/>
      </c>
      <c r="AW189" s="7">
        <f>IF(Y189=1,Z189,0)</f>
        <v/>
      </c>
      <c r="AX189" s="7">
        <f>IF(Y189=1,IF(ISNUMBER(AL189),AL189,0),0)</f>
        <v/>
      </c>
      <c r="AY189" s="7">
        <f>IF(Y189=1,IF(ISNUMBER(AL189),1,0),0)</f>
        <v/>
      </c>
      <c r="AZ189" s="7">
        <f>IF(Y189=1,IF(ISNUMBER(AN189),AN189,0),0)</f>
        <v/>
      </c>
      <c r="BA189" s="7">
        <f>IF(Y189=1,IF(ISNUMBER(AN189),1,0),0)</f>
        <v/>
      </c>
      <c r="BB189" s="7">
        <f>IF(Y189=1,IF(ISNUMBER(T189),T189,0),0)</f>
        <v/>
      </c>
      <c r="BC189" s="7">
        <f>IF(Y189=1,IF(ISNUMBER(T189),1,0),0)</f>
        <v/>
      </c>
      <c r="BD189" s="7">
        <f>IF(Y189=1,AQ189+ROW()/1E9,-1E9)</f>
        <v/>
      </c>
      <c r="BE189" s="7">
        <f>IF(Y189=1,AQ189+ROW()/1E9,1E9)</f>
        <v/>
      </c>
    </row>
    <row r="190">
      <c r="A190" s="16" t="n"/>
      <c r="B190" s="8">
        <f>IF($A190="","",BDP($A190,B$3))</f>
        <v/>
      </c>
      <c r="C190" s="8">
        <f>IF($A190="","",BDP($A190,C$3))</f>
        <v/>
      </c>
      <c r="D190" s="28">
        <f>IF($A190="","",BDP($A190,D$3))</f>
        <v/>
      </c>
      <c r="E190" s="29">
        <f>IF($A190="","",BDP($A190,E$3))</f>
        <v/>
      </c>
      <c r="F190" s="17">
        <f>IF($A190="","",BDP($A190,F$3))</f>
        <v/>
      </c>
      <c r="G190" s="8">
        <f>IF($A190="","",BDP($A190,G$3))</f>
        <v/>
      </c>
      <c r="H190" s="8">
        <f>IF($A190="","",BDP($A190,H$3))</f>
        <v/>
      </c>
      <c r="I190" s="8">
        <f>IF($A190="","",BDP($A190,I$3))</f>
        <v/>
      </c>
      <c r="J190" s="8">
        <f>IF($A190="","",BDP($A190,J$3))</f>
        <v/>
      </c>
      <c r="K190" s="8">
        <f>IF($A190="","",BDP($A190,K$3))</f>
        <v/>
      </c>
      <c r="L190" s="28">
        <f>IF($A190="","",BDP($A190,L$3))</f>
        <v/>
      </c>
      <c r="M190" s="28">
        <f>IF($A190="","",BDP($A190,M$3))</f>
        <v/>
      </c>
      <c r="N190" s="30">
        <f>IF($A190="","",BDP($A190,N$3))</f>
        <v/>
      </c>
      <c r="O190" s="31">
        <f>IF($A190="","",BDP($A190,O$3))</f>
        <v/>
      </c>
      <c r="P190" s="30">
        <f>IF($A190="","",BDH($A190,$N$3,'參數'!$B$5,'參數'!$B$5,"Days=A","Fill=P","Dates=H"))</f>
        <v/>
      </c>
      <c r="Q190" s="30">
        <f>IF($A190="","",BDH($A190,$N$3,'參數'!$B$6,'參數'!$B$6,"Days=A","Fill=P","Dates=H"))</f>
        <v/>
      </c>
      <c r="R190" s="30">
        <f>IF($A190="","",BDH($A190,$N$3,'參數'!$B$7,'參數'!$B$7,"Days=A","Fill=P","Dates=H"))</f>
        <v/>
      </c>
      <c r="S190" s="32">
        <f>IF($A190="","",IFERROR(INDEX('發行人'!$A$5:$A$44,MATCH(B190,'發行人'!$D$5:$D$44,0)),"未對應"))</f>
        <v/>
      </c>
      <c r="T190" s="24">
        <f>IF($A190="","",IFERROR(INDEX('發行人'!$G$5:$G$44,MATCH(B190,'發行人'!$D$5:$D$44,0))+0,""))</f>
        <v/>
      </c>
      <c r="U190" s="18">
        <f>IF(ISNUMBER(E190),YEARFRAC('參數'!$B$4,E190),"")</f>
        <v/>
      </c>
      <c r="V190" s="8">
        <f>IF(U190="","",IF(U190&lt;3,"1-3y",IF(U190&lt;5,"3-5y",IF(U190&lt;7,"5-7y",IF(U190&lt;10,"7-10y","10y+")))))</f>
        <v/>
      </c>
      <c r="W190" s="30">
        <f>IF($A190="","",IFERROR(INDEX('參數'!$B$24:$B$45,MATCH(G190,'參數'!$A$24:$A$45,0)),""))</f>
        <v/>
      </c>
      <c r="X190" s="8">
        <f>IF($A190="","",IFERROR(INDEX('參數'!$C$24:$C$45,MATCH(G190,'參數'!$A$24:$A$45,0)),""))</f>
        <v/>
      </c>
      <c r="Y190" s="30">
        <f>IF(AND(ISNUMBER(N190),ISNUMBER(O190),ISNUMBER(U190)),IF(AND(O190&gt;0,X190&lt;&gt;""),1,0),0)</f>
        <v/>
      </c>
      <c r="Z190" s="17">
        <f>IF(Y190=1,O190*N190,"")</f>
        <v/>
      </c>
      <c r="AA190" s="33">
        <f>IF(Y190=1,IF(ISNUMBER(Q190),N190-Q190,""),"")</f>
        <v/>
      </c>
      <c r="AB190" s="33">
        <f>IF(Y190=1,IF(AND(ISNUMBER(P190),ISNUMBER(R190)),R190*5/12-O190*(P190-R190),""),"")</f>
        <v/>
      </c>
      <c r="AC190" s="30">
        <f>IF(Y190=1,COUNTIFS($X$5:$X$404,X190,$V$5:$V$404,V190,$Y$5:$Y$404,1),"")</f>
        <v/>
      </c>
      <c r="AD190" s="30">
        <f>IF(Y190=1,IFERROR(IF(AC190&gt;='參數'!$B$9,INDEX('分群統計'!$G$13:$K$16,MATCH(X190,'分群統計'!$A$13:$A$16,0),MATCH(V190,'分群統計'!$G$12:$K$12,0)),INDEX('分群統計'!$I$5:$I$8,MATCH(X190,'分群統計'!$A$5:$A$8,0))),""),"")</f>
        <v/>
      </c>
      <c r="AE190" s="18">
        <f>IF(Y190=1,IFERROR(IF(AC190&gt;='參數'!$B$9,INDEX('分群統計'!$L$13:$P$16,MATCH(X190,'分群統計'!$A$13:$A$16,0),MATCH(V190,'分群統計'!$L$12:$P$12,0)),INDEX('分群統計'!$J$5:$J$8,MATCH(X190,'分群統計'!$A$5:$A$8,0))),""),"")</f>
        <v/>
      </c>
      <c r="AF190" s="31">
        <f>IF(ISNUMBER(AE190),IF(AE190&gt;0,MAX(-3,MIN(3,(N190-AD190)/AE190)),0),"")</f>
        <v/>
      </c>
      <c r="AG190" s="30">
        <f>IF(Y190=1,COUNTIFS($B$5:$B$404,B190,$Y$5:$Y$404,1),"")</f>
        <v/>
      </c>
      <c r="AH190" s="30">
        <f>IF(Y190=1,IFERROR(IF(ISNUMBER(INDEX('分群統計'!$G$20:$G$59,MATCH(B190,'分群統計'!$A$20:$A$59,0))),INDEX('分群統計'!$H$20:$H$59,MATCH(B190,'分群統計'!$A$20:$A$59,0))+INDEX('分群統計'!$G$20:$G$59,MATCH(B190,'分群統計'!$A$20:$A$59,0))*AU190,""),""),"")</f>
        <v/>
      </c>
      <c r="AI190" s="34">
        <f>IF(ISNUMBER(AH190),N190-AH190,"")</f>
        <v/>
      </c>
      <c r="AJ190" s="30">
        <f>IF(Y190=1,IFERROR(IF(ISNUMBER(INDEX('分群統計'!$G$5:$G$8,MATCH(X190,'分群統計'!$A$5:$A$8,0))),INDEX('分群統計'!$H$5:$H$8,MATCH(X190,'分群統計'!$A$5:$A$8,0))+INDEX('分群統計'!$G$5:$G$8,MATCH(X190,'分群統計'!$A$5:$A$8,0))*AU190,""),""),"")</f>
        <v/>
      </c>
      <c r="AK190" s="34">
        <f>IF(ISNUMBER(AJ190),N190-AJ190,"")</f>
        <v/>
      </c>
      <c r="AL190" s="21">
        <f>IF(ISNUMBER(AJ190),IF(AJ190&gt;0,AK190/AJ190,""),"")</f>
        <v/>
      </c>
      <c r="AM190" s="31">
        <f>IF(AY190&lt;&gt;1,"",IFERROR(IF(INDEX('分群統計'!$K$5:$K$8,MATCH(X190,'分群統計'!$A$5:$A$8,0))&lt;3,"",IF(INDEX('分群統計'!$M$5:$M$8,MATCH(X190,'分群統計'!$A$5:$A$8,0))&gt;0,MAX(-3,MIN(3,(AX190-INDEX('分群統計'!$L$5:$L$8,MATCH(X190,'分群統計'!$A$5:$A$8,0)))/INDEX('分群統計'!$M$5:$M$8,MATCH(X190,'分群統計'!$A$5:$A$8,0)))),0)),""))</f>
        <v/>
      </c>
      <c r="AN190" s="31">
        <f>IF(ISNUMBER(AB190),IF(Z190&gt;0,AB190/Z190*100,""),"")</f>
        <v/>
      </c>
      <c r="AO190" s="31">
        <f>IF(BA190&lt;&gt;1,"",IFERROR(IF(INDEX('分群統計'!$N$5:$N$8,MATCH(X190,'分群統計'!$A$5:$A$8,0))&lt;3,"",IF(INDEX('分群統計'!$P$5:$P$8,MATCH(X190,'分群統計'!$A$5:$A$8,0))&gt;0,MAX(-3,MIN(3,(AZ190-INDEX('分群統計'!$O$5:$O$8,MATCH(X190,'分群統計'!$A$5:$A$8,0)))/INDEX('分群統計'!$P$5:$P$8,MATCH(X190,'分群統計'!$A$5:$A$8,0)))),0)),""))</f>
        <v/>
      </c>
      <c r="AP190" s="31">
        <f>IF(BC190&lt;&gt;1,"",IFERROR(IF(INDEX('分群統計'!$Q$5:$Q$8,MATCH(X190,'分群統計'!$A$5:$A$8,0))&lt;3,"",IF(INDEX('分群統計'!$S$5:$S$8,MATCH(X190,'分群統計'!$A$5:$A$8,0))&gt;0,MAX(-3,MIN(3,(BB190-INDEX('分群統計'!$R$5:$R$8,MATCH(X190,'分群統計'!$A$5:$A$8,0)))/INDEX('分群統計'!$S$5:$S$8,MATCH(X190,'分群統計'!$A$5:$A$8,0)))),0)),""))</f>
        <v/>
      </c>
      <c r="AQ190" s="31">
        <f>IF(Y190=1,(IF(ISNUMBER(AF190),AF190,0)*'參數'!$B$13+IF(ISNUMBER(AM190),AM190,0)*'參數'!$B$14+IF(ISNUMBER(AO190),AO190,0)*'參數'!$B$15+IF(ISNUMBER(AP190),AP190,0)*'參數'!$B$16)/('參數'!$B$13+'參數'!$B$14+'參數'!$B$15+'參數'!$B$16),"")</f>
        <v/>
      </c>
      <c r="AR190" s="35">
        <f>IF(Y190=1,(SUMPRODUCT(($X$5:$X$404=X190)*($Y$5:$Y$404=1)*($BD$5:$BD$404&gt;BD190))+1)/COUNTIFS($X$5:$X$404,X190,$Y$5:$Y$404,1),"")</f>
        <v/>
      </c>
      <c r="AS190" s="8">
        <f>IF(ISNUMBER(AR190),IF(AR190&lt;='參數'!$B$18,"加碼候選",IF(AR190&gt;'參數'!$B$19,"減碼候選","")),"")</f>
        <v/>
      </c>
      <c r="AT190" s="7">
        <f>IF(Y190=1,N190,0)</f>
        <v/>
      </c>
      <c r="AU190" s="7">
        <f>IF(Y190=1,LN(O190),0)</f>
        <v/>
      </c>
      <c r="AV190" s="36">
        <f>IF(Y190=1,IF(ISNUMBER(F190),F190,0),0)</f>
        <v/>
      </c>
      <c r="AW190" s="7">
        <f>IF(Y190=1,Z190,0)</f>
        <v/>
      </c>
      <c r="AX190" s="7">
        <f>IF(Y190=1,IF(ISNUMBER(AL190),AL190,0),0)</f>
        <v/>
      </c>
      <c r="AY190" s="7">
        <f>IF(Y190=1,IF(ISNUMBER(AL190),1,0),0)</f>
        <v/>
      </c>
      <c r="AZ190" s="7">
        <f>IF(Y190=1,IF(ISNUMBER(AN190),AN190,0),0)</f>
        <v/>
      </c>
      <c r="BA190" s="7">
        <f>IF(Y190=1,IF(ISNUMBER(AN190),1,0),0)</f>
        <v/>
      </c>
      <c r="BB190" s="7">
        <f>IF(Y190=1,IF(ISNUMBER(T190),T190,0),0)</f>
        <v/>
      </c>
      <c r="BC190" s="7">
        <f>IF(Y190=1,IF(ISNUMBER(T190),1,0),0)</f>
        <v/>
      </c>
      <c r="BD190" s="7">
        <f>IF(Y190=1,AQ190+ROW()/1E9,-1E9)</f>
        <v/>
      </c>
      <c r="BE190" s="7">
        <f>IF(Y190=1,AQ190+ROW()/1E9,1E9)</f>
        <v/>
      </c>
    </row>
    <row r="191">
      <c r="A191" s="16" t="n"/>
      <c r="B191" s="8">
        <f>IF($A191="","",BDP($A191,B$3))</f>
        <v/>
      </c>
      <c r="C191" s="8">
        <f>IF($A191="","",BDP($A191,C$3))</f>
        <v/>
      </c>
      <c r="D191" s="28">
        <f>IF($A191="","",BDP($A191,D$3))</f>
        <v/>
      </c>
      <c r="E191" s="29">
        <f>IF($A191="","",BDP($A191,E$3))</f>
        <v/>
      </c>
      <c r="F191" s="17">
        <f>IF($A191="","",BDP($A191,F$3))</f>
        <v/>
      </c>
      <c r="G191" s="8">
        <f>IF($A191="","",BDP($A191,G$3))</f>
        <v/>
      </c>
      <c r="H191" s="8">
        <f>IF($A191="","",BDP($A191,H$3))</f>
        <v/>
      </c>
      <c r="I191" s="8">
        <f>IF($A191="","",BDP($A191,I$3))</f>
        <v/>
      </c>
      <c r="J191" s="8">
        <f>IF($A191="","",BDP($A191,J$3))</f>
        <v/>
      </c>
      <c r="K191" s="8">
        <f>IF($A191="","",BDP($A191,K$3))</f>
        <v/>
      </c>
      <c r="L191" s="28">
        <f>IF($A191="","",BDP($A191,L$3))</f>
        <v/>
      </c>
      <c r="M191" s="28">
        <f>IF($A191="","",BDP($A191,M$3))</f>
        <v/>
      </c>
      <c r="N191" s="30">
        <f>IF($A191="","",BDP($A191,N$3))</f>
        <v/>
      </c>
      <c r="O191" s="31">
        <f>IF($A191="","",BDP($A191,O$3))</f>
        <v/>
      </c>
      <c r="P191" s="30">
        <f>IF($A191="","",BDH($A191,$N$3,'參數'!$B$5,'參數'!$B$5,"Days=A","Fill=P","Dates=H"))</f>
        <v/>
      </c>
      <c r="Q191" s="30">
        <f>IF($A191="","",BDH($A191,$N$3,'參數'!$B$6,'參數'!$B$6,"Days=A","Fill=P","Dates=H"))</f>
        <v/>
      </c>
      <c r="R191" s="30">
        <f>IF($A191="","",BDH($A191,$N$3,'參數'!$B$7,'參數'!$B$7,"Days=A","Fill=P","Dates=H"))</f>
        <v/>
      </c>
      <c r="S191" s="32">
        <f>IF($A191="","",IFERROR(INDEX('發行人'!$A$5:$A$44,MATCH(B191,'發行人'!$D$5:$D$44,0)),"未對應"))</f>
        <v/>
      </c>
      <c r="T191" s="24">
        <f>IF($A191="","",IFERROR(INDEX('發行人'!$G$5:$G$44,MATCH(B191,'發行人'!$D$5:$D$44,0))+0,""))</f>
        <v/>
      </c>
      <c r="U191" s="18">
        <f>IF(ISNUMBER(E191),YEARFRAC('參數'!$B$4,E191),"")</f>
        <v/>
      </c>
      <c r="V191" s="8">
        <f>IF(U191="","",IF(U191&lt;3,"1-3y",IF(U191&lt;5,"3-5y",IF(U191&lt;7,"5-7y",IF(U191&lt;10,"7-10y","10y+")))))</f>
        <v/>
      </c>
      <c r="W191" s="30">
        <f>IF($A191="","",IFERROR(INDEX('參數'!$B$24:$B$45,MATCH(G191,'參數'!$A$24:$A$45,0)),""))</f>
        <v/>
      </c>
      <c r="X191" s="8">
        <f>IF($A191="","",IFERROR(INDEX('參數'!$C$24:$C$45,MATCH(G191,'參數'!$A$24:$A$45,0)),""))</f>
        <v/>
      </c>
      <c r="Y191" s="30">
        <f>IF(AND(ISNUMBER(N191),ISNUMBER(O191),ISNUMBER(U191)),IF(AND(O191&gt;0,X191&lt;&gt;""),1,0),0)</f>
        <v/>
      </c>
      <c r="Z191" s="17">
        <f>IF(Y191=1,O191*N191,"")</f>
        <v/>
      </c>
      <c r="AA191" s="33">
        <f>IF(Y191=1,IF(ISNUMBER(Q191),N191-Q191,""),"")</f>
        <v/>
      </c>
      <c r="AB191" s="33">
        <f>IF(Y191=1,IF(AND(ISNUMBER(P191),ISNUMBER(R191)),R191*5/12-O191*(P191-R191),""),"")</f>
        <v/>
      </c>
      <c r="AC191" s="30">
        <f>IF(Y191=1,COUNTIFS($X$5:$X$404,X191,$V$5:$V$404,V191,$Y$5:$Y$404,1),"")</f>
        <v/>
      </c>
      <c r="AD191" s="30">
        <f>IF(Y191=1,IFERROR(IF(AC191&gt;='參數'!$B$9,INDEX('分群統計'!$G$13:$K$16,MATCH(X191,'分群統計'!$A$13:$A$16,0),MATCH(V191,'分群統計'!$G$12:$K$12,0)),INDEX('分群統計'!$I$5:$I$8,MATCH(X191,'分群統計'!$A$5:$A$8,0))),""),"")</f>
        <v/>
      </c>
      <c r="AE191" s="18">
        <f>IF(Y191=1,IFERROR(IF(AC191&gt;='參數'!$B$9,INDEX('分群統計'!$L$13:$P$16,MATCH(X191,'分群統計'!$A$13:$A$16,0),MATCH(V191,'分群統計'!$L$12:$P$12,0)),INDEX('分群統計'!$J$5:$J$8,MATCH(X191,'分群統計'!$A$5:$A$8,0))),""),"")</f>
        <v/>
      </c>
      <c r="AF191" s="31">
        <f>IF(ISNUMBER(AE191),IF(AE191&gt;0,MAX(-3,MIN(3,(N191-AD191)/AE191)),0),"")</f>
        <v/>
      </c>
      <c r="AG191" s="30">
        <f>IF(Y191=1,COUNTIFS($B$5:$B$404,B191,$Y$5:$Y$404,1),"")</f>
        <v/>
      </c>
      <c r="AH191" s="30">
        <f>IF(Y191=1,IFERROR(IF(ISNUMBER(INDEX('分群統計'!$G$20:$G$59,MATCH(B191,'分群統計'!$A$20:$A$59,0))),INDEX('分群統計'!$H$20:$H$59,MATCH(B191,'分群統計'!$A$20:$A$59,0))+INDEX('分群統計'!$G$20:$G$59,MATCH(B191,'分群統計'!$A$20:$A$59,0))*AU191,""),""),"")</f>
        <v/>
      </c>
      <c r="AI191" s="34">
        <f>IF(ISNUMBER(AH191),N191-AH191,"")</f>
        <v/>
      </c>
      <c r="AJ191" s="30">
        <f>IF(Y191=1,IFERROR(IF(ISNUMBER(INDEX('分群統計'!$G$5:$G$8,MATCH(X191,'分群統計'!$A$5:$A$8,0))),INDEX('分群統計'!$H$5:$H$8,MATCH(X191,'分群統計'!$A$5:$A$8,0))+INDEX('分群統計'!$G$5:$G$8,MATCH(X191,'分群統計'!$A$5:$A$8,0))*AU191,""),""),"")</f>
        <v/>
      </c>
      <c r="AK191" s="34">
        <f>IF(ISNUMBER(AJ191),N191-AJ191,"")</f>
        <v/>
      </c>
      <c r="AL191" s="21">
        <f>IF(ISNUMBER(AJ191),IF(AJ191&gt;0,AK191/AJ191,""),"")</f>
        <v/>
      </c>
      <c r="AM191" s="31">
        <f>IF(AY191&lt;&gt;1,"",IFERROR(IF(INDEX('分群統計'!$K$5:$K$8,MATCH(X191,'分群統計'!$A$5:$A$8,0))&lt;3,"",IF(INDEX('分群統計'!$M$5:$M$8,MATCH(X191,'分群統計'!$A$5:$A$8,0))&gt;0,MAX(-3,MIN(3,(AX191-INDEX('分群統計'!$L$5:$L$8,MATCH(X191,'分群統計'!$A$5:$A$8,0)))/INDEX('分群統計'!$M$5:$M$8,MATCH(X191,'分群統計'!$A$5:$A$8,0)))),0)),""))</f>
        <v/>
      </c>
      <c r="AN191" s="31">
        <f>IF(ISNUMBER(AB191),IF(Z191&gt;0,AB191/Z191*100,""),"")</f>
        <v/>
      </c>
      <c r="AO191" s="31">
        <f>IF(BA191&lt;&gt;1,"",IFERROR(IF(INDEX('分群統計'!$N$5:$N$8,MATCH(X191,'分群統計'!$A$5:$A$8,0))&lt;3,"",IF(INDEX('分群統計'!$P$5:$P$8,MATCH(X191,'分群統計'!$A$5:$A$8,0))&gt;0,MAX(-3,MIN(3,(AZ191-INDEX('分群統計'!$O$5:$O$8,MATCH(X191,'分群統計'!$A$5:$A$8,0)))/INDEX('分群統計'!$P$5:$P$8,MATCH(X191,'分群統計'!$A$5:$A$8,0)))),0)),""))</f>
        <v/>
      </c>
      <c r="AP191" s="31">
        <f>IF(BC191&lt;&gt;1,"",IFERROR(IF(INDEX('分群統計'!$Q$5:$Q$8,MATCH(X191,'分群統計'!$A$5:$A$8,0))&lt;3,"",IF(INDEX('分群統計'!$S$5:$S$8,MATCH(X191,'分群統計'!$A$5:$A$8,0))&gt;0,MAX(-3,MIN(3,(BB191-INDEX('分群統計'!$R$5:$R$8,MATCH(X191,'分群統計'!$A$5:$A$8,0)))/INDEX('分群統計'!$S$5:$S$8,MATCH(X191,'分群統計'!$A$5:$A$8,0)))),0)),""))</f>
        <v/>
      </c>
      <c r="AQ191" s="31">
        <f>IF(Y191=1,(IF(ISNUMBER(AF191),AF191,0)*'參數'!$B$13+IF(ISNUMBER(AM191),AM191,0)*'參數'!$B$14+IF(ISNUMBER(AO191),AO191,0)*'參數'!$B$15+IF(ISNUMBER(AP191),AP191,0)*'參數'!$B$16)/('參數'!$B$13+'參數'!$B$14+'參數'!$B$15+'參數'!$B$16),"")</f>
        <v/>
      </c>
      <c r="AR191" s="35">
        <f>IF(Y191=1,(SUMPRODUCT(($X$5:$X$404=X191)*($Y$5:$Y$404=1)*($BD$5:$BD$404&gt;BD191))+1)/COUNTIFS($X$5:$X$404,X191,$Y$5:$Y$404,1),"")</f>
        <v/>
      </c>
      <c r="AS191" s="8">
        <f>IF(ISNUMBER(AR191),IF(AR191&lt;='參數'!$B$18,"加碼候選",IF(AR191&gt;'參數'!$B$19,"減碼候選","")),"")</f>
        <v/>
      </c>
      <c r="AT191" s="7">
        <f>IF(Y191=1,N191,0)</f>
        <v/>
      </c>
      <c r="AU191" s="7">
        <f>IF(Y191=1,LN(O191),0)</f>
        <v/>
      </c>
      <c r="AV191" s="36">
        <f>IF(Y191=1,IF(ISNUMBER(F191),F191,0),0)</f>
        <v/>
      </c>
      <c r="AW191" s="7">
        <f>IF(Y191=1,Z191,0)</f>
        <v/>
      </c>
      <c r="AX191" s="7">
        <f>IF(Y191=1,IF(ISNUMBER(AL191),AL191,0),0)</f>
        <v/>
      </c>
      <c r="AY191" s="7">
        <f>IF(Y191=1,IF(ISNUMBER(AL191),1,0),0)</f>
        <v/>
      </c>
      <c r="AZ191" s="7">
        <f>IF(Y191=1,IF(ISNUMBER(AN191),AN191,0),0)</f>
        <v/>
      </c>
      <c r="BA191" s="7">
        <f>IF(Y191=1,IF(ISNUMBER(AN191),1,0),0)</f>
        <v/>
      </c>
      <c r="BB191" s="7">
        <f>IF(Y191=1,IF(ISNUMBER(T191),T191,0),0)</f>
        <v/>
      </c>
      <c r="BC191" s="7">
        <f>IF(Y191=1,IF(ISNUMBER(T191),1,0),0)</f>
        <v/>
      </c>
      <c r="BD191" s="7">
        <f>IF(Y191=1,AQ191+ROW()/1E9,-1E9)</f>
        <v/>
      </c>
      <c r="BE191" s="7">
        <f>IF(Y191=1,AQ191+ROW()/1E9,1E9)</f>
        <v/>
      </c>
    </row>
    <row r="192">
      <c r="A192" s="16" t="n"/>
      <c r="B192" s="8">
        <f>IF($A192="","",BDP($A192,B$3))</f>
        <v/>
      </c>
      <c r="C192" s="8">
        <f>IF($A192="","",BDP($A192,C$3))</f>
        <v/>
      </c>
      <c r="D192" s="28">
        <f>IF($A192="","",BDP($A192,D$3))</f>
        <v/>
      </c>
      <c r="E192" s="29">
        <f>IF($A192="","",BDP($A192,E$3))</f>
        <v/>
      </c>
      <c r="F192" s="17">
        <f>IF($A192="","",BDP($A192,F$3))</f>
        <v/>
      </c>
      <c r="G192" s="8">
        <f>IF($A192="","",BDP($A192,G$3))</f>
        <v/>
      </c>
      <c r="H192" s="8">
        <f>IF($A192="","",BDP($A192,H$3))</f>
        <v/>
      </c>
      <c r="I192" s="8">
        <f>IF($A192="","",BDP($A192,I$3))</f>
        <v/>
      </c>
      <c r="J192" s="8">
        <f>IF($A192="","",BDP($A192,J$3))</f>
        <v/>
      </c>
      <c r="K192" s="8">
        <f>IF($A192="","",BDP($A192,K$3))</f>
        <v/>
      </c>
      <c r="L192" s="28">
        <f>IF($A192="","",BDP($A192,L$3))</f>
        <v/>
      </c>
      <c r="M192" s="28">
        <f>IF($A192="","",BDP($A192,M$3))</f>
        <v/>
      </c>
      <c r="N192" s="30">
        <f>IF($A192="","",BDP($A192,N$3))</f>
        <v/>
      </c>
      <c r="O192" s="31">
        <f>IF($A192="","",BDP($A192,O$3))</f>
        <v/>
      </c>
      <c r="P192" s="30">
        <f>IF($A192="","",BDH($A192,$N$3,'參數'!$B$5,'參數'!$B$5,"Days=A","Fill=P","Dates=H"))</f>
        <v/>
      </c>
      <c r="Q192" s="30">
        <f>IF($A192="","",BDH($A192,$N$3,'參數'!$B$6,'參數'!$B$6,"Days=A","Fill=P","Dates=H"))</f>
        <v/>
      </c>
      <c r="R192" s="30">
        <f>IF($A192="","",BDH($A192,$N$3,'參數'!$B$7,'參數'!$B$7,"Days=A","Fill=P","Dates=H"))</f>
        <v/>
      </c>
      <c r="S192" s="32">
        <f>IF($A192="","",IFERROR(INDEX('發行人'!$A$5:$A$44,MATCH(B192,'發行人'!$D$5:$D$44,0)),"未對應"))</f>
        <v/>
      </c>
      <c r="T192" s="24">
        <f>IF($A192="","",IFERROR(INDEX('發行人'!$G$5:$G$44,MATCH(B192,'發行人'!$D$5:$D$44,0))+0,""))</f>
        <v/>
      </c>
      <c r="U192" s="18">
        <f>IF(ISNUMBER(E192),YEARFRAC('參數'!$B$4,E192),"")</f>
        <v/>
      </c>
      <c r="V192" s="8">
        <f>IF(U192="","",IF(U192&lt;3,"1-3y",IF(U192&lt;5,"3-5y",IF(U192&lt;7,"5-7y",IF(U192&lt;10,"7-10y","10y+")))))</f>
        <v/>
      </c>
      <c r="W192" s="30">
        <f>IF($A192="","",IFERROR(INDEX('參數'!$B$24:$B$45,MATCH(G192,'參數'!$A$24:$A$45,0)),""))</f>
        <v/>
      </c>
      <c r="X192" s="8">
        <f>IF($A192="","",IFERROR(INDEX('參數'!$C$24:$C$45,MATCH(G192,'參數'!$A$24:$A$45,0)),""))</f>
        <v/>
      </c>
      <c r="Y192" s="30">
        <f>IF(AND(ISNUMBER(N192),ISNUMBER(O192),ISNUMBER(U192)),IF(AND(O192&gt;0,X192&lt;&gt;""),1,0),0)</f>
        <v/>
      </c>
      <c r="Z192" s="17">
        <f>IF(Y192=1,O192*N192,"")</f>
        <v/>
      </c>
      <c r="AA192" s="33">
        <f>IF(Y192=1,IF(ISNUMBER(Q192),N192-Q192,""),"")</f>
        <v/>
      </c>
      <c r="AB192" s="33">
        <f>IF(Y192=1,IF(AND(ISNUMBER(P192),ISNUMBER(R192)),R192*5/12-O192*(P192-R192),""),"")</f>
        <v/>
      </c>
      <c r="AC192" s="30">
        <f>IF(Y192=1,COUNTIFS($X$5:$X$404,X192,$V$5:$V$404,V192,$Y$5:$Y$404,1),"")</f>
        <v/>
      </c>
      <c r="AD192" s="30">
        <f>IF(Y192=1,IFERROR(IF(AC192&gt;='參數'!$B$9,INDEX('分群統計'!$G$13:$K$16,MATCH(X192,'分群統計'!$A$13:$A$16,0),MATCH(V192,'分群統計'!$G$12:$K$12,0)),INDEX('分群統計'!$I$5:$I$8,MATCH(X192,'分群統計'!$A$5:$A$8,0))),""),"")</f>
        <v/>
      </c>
      <c r="AE192" s="18">
        <f>IF(Y192=1,IFERROR(IF(AC192&gt;='參數'!$B$9,INDEX('分群統計'!$L$13:$P$16,MATCH(X192,'分群統計'!$A$13:$A$16,0),MATCH(V192,'分群統計'!$L$12:$P$12,0)),INDEX('分群統計'!$J$5:$J$8,MATCH(X192,'分群統計'!$A$5:$A$8,0))),""),"")</f>
        <v/>
      </c>
      <c r="AF192" s="31">
        <f>IF(ISNUMBER(AE192),IF(AE192&gt;0,MAX(-3,MIN(3,(N192-AD192)/AE192)),0),"")</f>
        <v/>
      </c>
      <c r="AG192" s="30">
        <f>IF(Y192=1,COUNTIFS($B$5:$B$404,B192,$Y$5:$Y$404,1),"")</f>
        <v/>
      </c>
      <c r="AH192" s="30">
        <f>IF(Y192=1,IFERROR(IF(ISNUMBER(INDEX('分群統計'!$G$20:$G$59,MATCH(B192,'分群統計'!$A$20:$A$59,0))),INDEX('分群統計'!$H$20:$H$59,MATCH(B192,'分群統計'!$A$20:$A$59,0))+INDEX('分群統計'!$G$20:$G$59,MATCH(B192,'分群統計'!$A$20:$A$59,0))*AU192,""),""),"")</f>
        <v/>
      </c>
      <c r="AI192" s="34">
        <f>IF(ISNUMBER(AH192),N192-AH192,"")</f>
        <v/>
      </c>
      <c r="AJ192" s="30">
        <f>IF(Y192=1,IFERROR(IF(ISNUMBER(INDEX('分群統計'!$G$5:$G$8,MATCH(X192,'分群統計'!$A$5:$A$8,0))),INDEX('分群統計'!$H$5:$H$8,MATCH(X192,'分群統計'!$A$5:$A$8,0))+INDEX('分群統計'!$G$5:$G$8,MATCH(X192,'分群統計'!$A$5:$A$8,0))*AU192,""),""),"")</f>
        <v/>
      </c>
      <c r="AK192" s="34">
        <f>IF(ISNUMBER(AJ192),N192-AJ192,"")</f>
        <v/>
      </c>
      <c r="AL192" s="21">
        <f>IF(ISNUMBER(AJ192),IF(AJ192&gt;0,AK192/AJ192,""),"")</f>
        <v/>
      </c>
      <c r="AM192" s="31">
        <f>IF(AY192&lt;&gt;1,"",IFERROR(IF(INDEX('分群統計'!$K$5:$K$8,MATCH(X192,'分群統計'!$A$5:$A$8,0))&lt;3,"",IF(INDEX('分群統計'!$M$5:$M$8,MATCH(X192,'分群統計'!$A$5:$A$8,0))&gt;0,MAX(-3,MIN(3,(AX192-INDEX('分群統計'!$L$5:$L$8,MATCH(X192,'分群統計'!$A$5:$A$8,0)))/INDEX('分群統計'!$M$5:$M$8,MATCH(X192,'分群統計'!$A$5:$A$8,0)))),0)),""))</f>
        <v/>
      </c>
      <c r="AN192" s="31">
        <f>IF(ISNUMBER(AB192),IF(Z192&gt;0,AB192/Z192*100,""),"")</f>
        <v/>
      </c>
      <c r="AO192" s="31">
        <f>IF(BA192&lt;&gt;1,"",IFERROR(IF(INDEX('分群統計'!$N$5:$N$8,MATCH(X192,'分群統計'!$A$5:$A$8,0))&lt;3,"",IF(INDEX('分群統計'!$P$5:$P$8,MATCH(X192,'分群統計'!$A$5:$A$8,0))&gt;0,MAX(-3,MIN(3,(AZ192-INDEX('分群統計'!$O$5:$O$8,MATCH(X192,'分群統計'!$A$5:$A$8,0)))/INDEX('分群統計'!$P$5:$P$8,MATCH(X192,'分群統計'!$A$5:$A$8,0)))),0)),""))</f>
        <v/>
      </c>
      <c r="AP192" s="31">
        <f>IF(BC192&lt;&gt;1,"",IFERROR(IF(INDEX('分群統計'!$Q$5:$Q$8,MATCH(X192,'分群統計'!$A$5:$A$8,0))&lt;3,"",IF(INDEX('分群統計'!$S$5:$S$8,MATCH(X192,'分群統計'!$A$5:$A$8,0))&gt;0,MAX(-3,MIN(3,(BB192-INDEX('分群統計'!$R$5:$R$8,MATCH(X192,'分群統計'!$A$5:$A$8,0)))/INDEX('分群統計'!$S$5:$S$8,MATCH(X192,'分群統計'!$A$5:$A$8,0)))),0)),""))</f>
        <v/>
      </c>
      <c r="AQ192" s="31">
        <f>IF(Y192=1,(IF(ISNUMBER(AF192),AF192,0)*'參數'!$B$13+IF(ISNUMBER(AM192),AM192,0)*'參數'!$B$14+IF(ISNUMBER(AO192),AO192,0)*'參數'!$B$15+IF(ISNUMBER(AP192),AP192,0)*'參數'!$B$16)/('參數'!$B$13+'參數'!$B$14+'參數'!$B$15+'參數'!$B$16),"")</f>
        <v/>
      </c>
      <c r="AR192" s="35">
        <f>IF(Y192=1,(SUMPRODUCT(($X$5:$X$404=X192)*($Y$5:$Y$404=1)*($BD$5:$BD$404&gt;BD192))+1)/COUNTIFS($X$5:$X$404,X192,$Y$5:$Y$404,1),"")</f>
        <v/>
      </c>
      <c r="AS192" s="8">
        <f>IF(ISNUMBER(AR192),IF(AR192&lt;='參數'!$B$18,"加碼候選",IF(AR192&gt;'參數'!$B$19,"減碼候選","")),"")</f>
        <v/>
      </c>
      <c r="AT192" s="7">
        <f>IF(Y192=1,N192,0)</f>
        <v/>
      </c>
      <c r="AU192" s="7">
        <f>IF(Y192=1,LN(O192),0)</f>
        <v/>
      </c>
      <c r="AV192" s="36">
        <f>IF(Y192=1,IF(ISNUMBER(F192),F192,0),0)</f>
        <v/>
      </c>
      <c r="AW192" s="7">
        <f>IF(Y192=1,Z192,0)</f>
        <v/>
      </c>
      <c r="AX192" s="7">
        <f>IF(Y192=1,IF(ISNUMBER(AL192),AL192,0),0)</f>
        <v/>
      </c>
      <c r="AY192" s="7">
        <f>IF(Y192=1,IF(ISNUMBER(AL192),1,0),0)</f>
        <v/>
      </c>
      <c r="AZ192" s="7">
        <f>IF(Y192=1,IF(ISNUMBER(AN192),AN192,0),0)</f>
        <v/>
      </c>
      <c r="BA192" s="7">
        <f>IF(Y192=1,IF(ISNUMBER(AN192),1,0),0)</f>
        <v/>
      </c>
      <c r="BB192" s="7">
        <f>IF(Y192=1,IF(ISNUMBER(T192),T192,0),0)</f>
        <v/>
      </c>
      <c r="BC192" s="7">
        <f>IF(Y192=1,IF(ISNUMBER(T192),1,0),0)</f>
        <v/>
      </c>
      <c r="BD192" s="7">
        <f>IF(Y192=1,AQ192+ROW()/1E9,-1E9)</f>
        <v/>
      </c>
      <c r="BE192" s="7">
        <f>IF(Y192=1,AQ192+ROW()/1E9,1E9)</f>
        <v/>
      </c>
    </row>
    <row r="193">
      <c r="A193" s="16" t="n"/>
      <c r="B193" s="8">
        <f>IF($A193="","",BDP($A193,B$3))</f>
        <v/>
      </c>
      <c r="C193" s="8">
        <f>IF($A193="","",BDP($A193,C$3))</f>
        <v/>
      </c>
      <c r="D193" s="28">
        <f>IF($A193="","",BDP($A193,D$3))</f>
        <v/>
      </c>
      <c r="E193" s="29">
        <f>IF($A193="","",BDP($A193,E$3))</f>
        <v/>
      </c>
      <c r="F193" s="17">
        <f>IF($A193="","",BDP($A193,F$3))</f>
        <v/>
      </c>
      <c r="G193" s="8">
        <f>IF($A193="","",BDP($A193,G$3))</f>
        <v/>
      </c>
      <c r="H193" s="8">
        <f>IF($A193="","",BDP($A193,H$3))</f>
        <v/>
      </c>
      <c r="I193" s="8">
        <f>IF($A193="","",BDP($A193,I$3))</f>
        <v/>
      </c>
      <c r="J193" s="8">
        <f>IF($A193="","",BDP($A193,J$3))</f>
        <v/>
      </c>
      <c r="K193" s="8">
        <f>IF($A193="","",BDP($A193,K$3))</f>
        <v/>
      </c>
      <c r="L193" s="28">
        <f>IF($A193="","",BDP($A193,L$3))</f>
        <v/>
      </c>
      <c r="M193" s="28">
        <f>IF($A193="","",BDP($A193,M$3))</f>
        <v/>
      </c>
      <c r="N193" s="30">
        <f>IF($A193="","",BDP($A193,N$3))</f>
        <v/>
      </c>
      <c r="O193" s="31">
        <f>IF($A193="","",BDP($A193,O$3))</f>
        <v/>
      </c>
      <c r="P193" s="30">
        <f>IF($A193="","",BDH($A193,$N$3,'參數'!$B$5,'參數'!$B$5,"Days=A","Fill=P","Dates=H"))</f>
        <v/>
      </c>
      <c r="Q193" s="30">
        <f>IF($A193="","",BDH($A193,$N$3,'參數'!$B$6,'參數'!$B$6,"Days=A","Fill=P","Dates=H"))</f>
        <v/>
      </c>
      <c r="R193" s="30">
        <f>IF($A193="","",BDH($A193,$N$3,'參數'!$B$7,'參數'!$B$7,"Days=A","Fill=P","Dates=H"))</f>
        <v/>
      </c>
      <c r="S193" s="32">
        <f>IF($A193="","",IFERROR(INDEX('發行人'!$A$5:$A$44,MATCH(B193,'發行人'!$D$5:$D$44,0)),"未對應"))</f>
        <v/>
      </c>
      <c r="T193" s="24">
        <f>IF($A193="","",IFERROR(INDEX('發行人'!$G$5:$G$44,MATCH(B193,'發行人'!$D$5:$D$44,0))+0,""))</f>
        <v/>
      </c>
      <c r="U193" s="18">
        <f>IF(ISNUMBER(E193),YEARFRAC('參數'!$B$4,E193),"")</f>
        <v/>
      </c>
      <c r="V193" s="8">
        <f>IF(U193="","",IF(U193&lt;3,"1-3y",IF(U193&lt;5,"3-5y",IF(U193&lt;7,"5-7y",IF(U193&lt;10,"7-10y","10y+")))))</f>
        <v/>
      </c>
      <c r="W193" s="30">
        <f>IF($A193="","",IFERROR(INDEX('參數'!$B$24:$B$45,MATCH(G193,'參數'!$A$24:$A$45,0)),""))</f>
        <v/>
      </c>
      <c r="X193" s="8">
        <f>IF($A193="","",IFERROR(INDEX('參數'!$C$24:$C$45,MATCH(G193,'參數'!$A$24:$A$45,0)),""))</f>
        <v/>
      </c>
      <c r="Y193" s="30">
        <f>IF(AND(ISNUMBER(N193),ISNUMBER(O193),ISNUMBER(U193)),IF(AND(O193&gt;0,X193&lt;&gt;""),1,0),0)</f>
        <v/>
      </c>
      <c r="Z193" s="17">
        <f>IF(Y193=1,O193*N193,"")</f>
        <v/>
      </c>
      <c r="AA193" s="33">
        <f>IF(Y193=1,IF(ISNUMBER(Q193),N193-Q193,""),"")</f>
        <v/>
      </c>
      <c r="AB193" s="33">
        <f>IF(Y193=1,IF(AND(ISNUMBER(P193),ISNUMBER(R193)),R193*5/12-O193*(P193-R193),""),"")</f>
        <v/>
      </c>
      <c r="AC193" s="30">
        <f>IF(Y193=1,COUNTIFS($X$5:$X$404,X193,$V$5:$V$404,V193,$Y$5:$Y$404,1),"")</f>
        <v/>
      </c>
      <c r="AD193" s="30">
        <f>IF(Y193=1,IFERROR(IF(AC193&gt;='參數'!$B$9,INDEX('分群統計'!$G$13:$K$16,MATCH(X193,'分群統計'!$A$13:$A$16,0),MATCH(V193,'分群統計'!$G$12:$K$12,0)),INDEX('分群統計'!$I$5:$I$8,MATCH(X193,'分群統計'!$A$5:$A$8,0))),""),"")</f>
        <v/>
      </c>
      <c r="AE193" s="18">
        <f>IF(Y193=1,IFERROR(IF(AC193&gt;='參數'!$B$9,INDEX('分群統計'!$L$13:$P$16,MATCH(X193,'分群統計'!$A$13:$A$16,0),MATCH(V193,'分群統計'!$L$12:$P$12,0)),INDEX('分群統計'!$J$5:$J$8,MATCH(X193,'分群統計'!$A$5:$A$8,0))),""),"")</f>
        <v/>
      </c>
      <c r="AF193" s="31">
        <f>IF(ISNUMBER(AE193),IF(AE193&gt;0,MAX(-3,MIN(3,(N193-AD193)/AE193)),0),"")</f>
        <v/>
      </c>
      <c r="AG193" s="30">
        <f>IF(Y193=1,COUNTIFS($B$5:$B$404,B193,$Y$5:$Y$404,1),"")</f>
        <v/>
      </c>
      <c r="AH193" s="30">
        <f>IF(Y193=1,IFERROR(IF(ISNUMBER(INDEX('分群統計'!$G$20:$G$59,MATCH(B193,'分群統計'!$A$20:$A$59,0))),INDEX('分群統計'!$H$20:$H$59,MATCH(B193,'分群統計'!$A$20:$A$59,0))+INDEX('分群統計'!$G$20:$G$59,MATCH(B193,'分群統計'!$A$20:$A$59,0))*AU193,""),""),"")</f>
        <v/>
      </c>
      <c r="AI193" s="34">
        <f>IF(ISNUMBER(AH193),N193-AH193,"")</f>
        <v/>
      </c>
      <c r="AJ193" s="30">
        <f>IF(Y193=1,IFERROR(IF(ISNUMBER(INDEX('分群統計'!$G$5:$G$8,MATCH(X193,'分群統計'!$A$5:$A$8,0))),INDEX('分群統計'!$H$5:$H$8,MATCH(X193,'分群統計'!$A$5:$A$8,0))+INDEX('分群統計'!$G$5:$G$8,MATCH(X193,'分群統計'!$A$5:$A$8,0))*AU193,""),""),"")</f>
        <v/>
      </c>
      <c r="AK193" s="34">
        <f>IF(ISNUMBER(AJ193),N193-AJ193,"")</f>
        <v/>
      </c>
      <c r="AL193" s="21">
        <f>IF(ISNUMBER(AJ193),IF(AJ193&gt;0,AK193/AJ193,""),"")</f>
        <v/>
      </c>
      <c r="AM193" s="31">
        <f>IF(AY193&lt;&gt;1,"",IFERROR(IF(INDEX('分群統計'!$K$5:$K$8,MATCH(X193,'分群統計'!$A$5:$A$8,0))&lt;3,"",IF(INDEX('分群統計'!$M$5:$M$8,MATCH(X193,'分群統計'!$A$5:$A$8,0))&gt;0,MAX(-3,MIN(3,(AX193-INDEX('分群統計'!$L$5:$L$8,MATCH(X193,'分群統計'!$A$5:$A$8,0)))/INDEX('分群統計'!$M$5:$M$8,MATCH(X193,'分群統計'!$A$5:$A$8,0)))),0)),""))</f>
        <v/>
      </c>
      <c r="AN193" s="31">
        <f>IF(ISNUMBER(AB193),IF(Z193&gt;0,AB193/Z193*100,""),"")</f>
        <v/>
      </c>
      <c r="AO193" s="31">
        <f>IF(BA193&lt;&gt;1,"",IFERROR(IF(INDEX('分群統計'!$N$5:$N$8,MATCH(X193,'分群統計'!$A$5:$A$8,0))&lt;3,"",IF(INDEX('分群統計'!$P$5:$P$8,MATCH(X193,'分群統計'!$A$5:$A$8,0))&gt;0,MAX(-3,MIN(3,(AZ193-INDEX('分群統計'!$O$5:$O$8,MATCH(X193,'分群統計'!$A$5:$A$8,0)))/INDEX('分群統計'!$P$5:$P$8,MATCH(X193,'分群統計'!$A$5:$A$8,0)))),0)),""))</f>
        <v/>
      </c>
      <c r="AP193" s="31">
        <f>IF(BC193&lt;&gt;1,"",IFERROR(IF(INDEX('分群統計'!$Q$5:$Q$8,MATCH(X193,'分群統計'!$A$5:$A$8,0))&lt;3,"",IF(INDEX('分群統計'!$S$5:$S$8,MATCH(X193,'分群統計'!$A$5:$A$8,0))&gt;0,MAX(-3,MIN(3,(BB193-INDEX('分群統計'!$R$5:$R$8,MATCH(X193,'分群統計'!$A$5:$A$8,0)))/INDEX('分群統計'!$S$5:$S$8,MATCH(X193,'分群統計'!$A$5:$A$8,0)))),0)),""))</f>
        <v/>
      </c>
      <c r="AQ193" s="31">
        <f>IF(Y193=1,(IF(ISNUMBER(AF193),AF193,0)*'參數'!$B$13+IF(ISNUMBER(AM193),AM193,0)*'參數'!$B$14+IF(ISNUMBER(AO193),AO193,0)*'參數'!$B$15+IF(ISNUMBER(AP193),AP193,0)*'參數'!$B$16)/('參數'!$B$13+'參數'!$B$14+'參數'!$B$15+'參數'!$B$16),"")</f>
        <v/>
      </c>
      <c r="AR193" s="35">
        <f>IF(Y193=1,(SUMPRODUCT(($X$5:$X$404=X193)*($Y$5:$Y$404=1)*($BD$5:$BD$404&gt;BD193))+1)/COUNTIFS($X$5:$X$404,X193,$Y$5:$Y$404,1),"")</f>
        <v/>
      </c>
      <c r="AS193" s="8">
        <f>IF(ISNUMBER(AR193),IF(AR193&lt;='參數'!$B$18,"加碼候選",IF(AR193&gt;'參數'!$B$19,"減碼候選","")),"")</f>
        <v/>
      </c>
      <c r="AT193" s="7">
        <f>IF(Y193=1,N193,0)</f>
        <v/>
      </c>
      <c r="AU193" s="7">
        <f>IF(Y193=1,LN(O193),0)</f>
        <v/>
      </c>
      <c r="AV193" s="36">
        <f>IF(Y193=1,IF(ISNUMBER(F193),F193,0),0)</f>
        <v/>
      </c>
      <c r="AW193" s="7">
        <f>IF(Y193=1,Z193,0)</f>
        <v/>
      </c>
      <c r="AX193" s="7">
        <f>IF(Y193=1,IF(ISNUMBER(AL193),AL193,0),0)</f>
        <v/>
      </c>
      <c r="AY193" s="7">
        <f>IF(Y193=1,IF(ISNUMBER(AL193),1,0),0)</f>
        <v/>
      </c>
      <c r="AZ193" s="7">
        <f>IF(Y193=1,IF(ISNUMBER(AN193),AN193,0),0)</f>
        <v/>
      </c>
      <c r="BA193" s="7">
        <f>IF(Y193=1,IF(ISNUMBER(AN193),1,0),0)</f>
        <v/>
      </c>
      <c r="BB193" s="7">
        <f>IF(Y193=1,IF(ISNUMBER(T193),T193,0),0)</f>
        <v/>
      </c>
      <c r="BC193" s="7">
        <f>IF(Y193=1,IF(ISNUMBER(T193),1,0),0)</f>
        <v/>
      </c>
      <c r="BD193" s="7">
        <f>IF(Y193=1,AQ193+ROW()/1E9,-1E9)</f>
        <v/>
      </c>
      <c r="BE193" s="7">
        <f>IF(Y193=1,AQ193+ROW()/1E9,1E9)</f>
        <v/>
      </c>
    </row>
    <row r="194">
      <c r="A194" s="16" t="n"/>
      <c r="B194" s="8">
        <f>IF($A194="","",BDP($A194,B$3))</f>
        <v/>
      </c>
      <c r="C194" s="8">
        <f>IF($A194="","",BDP($A194,C$3))</f>
        <v/>
      </c>
      <c r="D194" s="28">
        <f>IF($A194="","",BDP($A194,D$3))</f>
        <v/>
      </c>
      <c r="E194" s="29">
        <f>IF($A194="","",BDP($A194,E$3))</f>
        <v/>
      </c>
      <c r="F194" s="17">
        <f>IF($A194="","",BDP($A194,F$3))</f>
        <v/>
      </c>
      <c r="G194" s="8">
        <f>IF($A194="","",BDP($A194,G$3))</f>
        <v/>
      </c>
      <c r="H194" s="8">
        <f>IF($A194="","",BDP($A194,H$3))</f>
        <v/>
      </c>
      <c r="I194" s="8">
        <f>IF($A194="","",BDP($A194,I$3))</f>
        <v/>
      </c>
      <c r="J194" s="8">
        <f>IF($A194="","",BDP($A194,J$3))</f>
        <v/>
      </c>
      <c r="K194" s="8">
        <f>IF($A194="","",BDP($A194,K$3))</f>
        <v/>
      </c>
      <c r="L194" s="28">
        <f>IF($A194="","",BDP($A194,L$3))</f>
        <v/>
      </c>
      <c r="M194" s="28">
        <f>IF($A194="","",BDP($A194,M$3))</f>
        <v/>
      </c>
      <c r="N194" s="30">
        <f>IF($A194="","",BDP($A194,N$3))</f>
        <v/>
      </c>
      <c r="O194" s="31">
        <f>IF($A194="","",BDP($A194,O$3))</f>
        <v/>
      </c>
      <c r="P194" s="30">
        <f>IF($A194="","",BDH($A194,$N$3,'參數'!$B$5,'參數'!$B$5,"Days=A","Fill=P","Dates=H"))</f>
        <v/>
      </c>
      <c r="Q194" s="30">
        <f>IF($A194="","",BDH($A194,$N$3,'參數'!$B$6,'參數'!$B$6,"Days=A","Fill=P","Dates=H"))</f>
        <v/>
      </c>
      <c r="R194" s="30">
        <f>IF($A194="","",BDH($A194,$N$3,'參數'!$B$7,'參數'!$B$7,"Days=A","Fill=P","Dates=H"))</f>
        <v/>
      </c>
      <c r="S194" s="32">
        <f>IF($A194="","",IFERROR(INDEX('發行人'!$A$5:$A$44,MATCH(B194,'發行人'!$D$5:$D$44,0)),"未對應"))</f>
        <v/>
      </c>
      <c r="T194" s="24">
        <f>IF($A194="","",IFERROR(INDEX('發行人'!$G$5:$G$44,MATCH(B194,'發行人'!$D$5:$D$44,0))+0,""))</f>
        <v/>
      </c>
      <c r="U194" s="18">
        <f>IF(ISNUMBER(E194),YEARFRAC('參數'!$B$4,E194),"")</f>
        <v/>
      </c>
      <c r="V194" s="8">
        <f>IF(U194="","",IF(U194&lt;3,"1-3y",IF(U194&lt;5,"3-5y",IF(U194&lt;7,"5-7y",IF(U194&lt;10,"7-10y","10y+")))))</f>
        <v/>
      </c>
      <c r="W194" s="30">
        <f>IF($A194="","",IFERROR(INDEX('參數'!$B$24:$B$45,MATCH(G194,'參數'!$A$24:$A$45,0)),""))</f>
        <v/>
      </c>
      <c r="X194" s="8">
        <f>IF($A194="","",IFERROR(INDEX('參數'!$C$24:$C$45,MATCH(G194,'參數'!$A$24:$A$45,0)),""))</f>
        <v/>
      </c>
      <c r="Y194" s="30">
        <f>IF(AND(ISNUMBER(N194),ISNUMBER(O194),ISNUMBER(U194)),IF(AND(O194&gt;0,X194&lt;&gt;""),1,0),0)</f>
        <v/>
      </c>
      <c r="Z194" s="17">
        <f>IF(Y194=1,O194*N194,"")</f>
        <v/>
      </c>
      <c r="AA194" s="33">
        <f>IF(Y194=1,IF(ISNUMBER(Q194),N194-Q194,""),"")</f>
        <v/>
      </c>
      <c r="AB194" s="33">
        <f>IF(Y194=1,IF(AND(ISNUMBER(P194),ISNUMBER(R194)),R194*5/12-O194*(P194-R194),""),"")</f>
        <v/>
      </c>
      <c r="AC194" s="30">
        <f>IF(Y194=1,COUNTIFS($X$5:$X$404,X194,$V$5:$V$404,V194,$Y$5:$Y$404,1),"")</f>
        <v/>
      </c>
      <c r="AD194" s="30">
        <f>IF(Y194=1,IFERROR(IF(AC194&gt;='參數'!$B$9,INDEX('分群統計'!$G$13:$K$16,MATCH(X194,'分群統計'!$A$13:$A$16,0),MATCH(V194,'分群統計'!$G$12:$K$12,0)),INDEX('分群統計'!$I$5:$I$8,MATCH(X194,'分群統計'!$A$5:$A$8,0))),""),"")</f>
        <v/>
      </c>
      <c r="AE194" s="18">
        <f>IF(Y194=1,IFERROR(IF(AC194&gt;='參數'!$B$9,INDEX('分群統計'!$L$13:$P$16,MATCH(X194,'分群統計'!$A$13:$A$16,0),MATCH(V194,'分群統計'!$L$12:$P$12,0)),INDEX('分群統計'!$J$5:$J$8,MATCH(X194,'分群統計'!$A$5:$A$8,0))),""),"")</f>
        <v/>
      </c>
      <c r="AF194" s="31">
        <f>IF(ISNUMBER(AE194),IF(AE194&gt;0,MAX(-3,MIN(3,(N194-AD194)/AE194)),0),"")</f>
        <v/>
      </c>
      <c r="AG194" s="30">
        <f>IF(Y194=1,COUNTIFS($B$5:$B$404,B194,$Y$5:$Y$404,1),"")</f>
        <v/>
      </c>
      <c r="AH194" s="30">
        <f>IF(Y194=1,IFERROR(IF(ISNUMBER(INDEX('分群統計'!$G$20:$G$59,MATCH(B194,'分群統計'!$A$20:$A$59,0))),INDEX('分群統計'!$H$20:$H$59,MATCH(B194,'分群統計'!$A$20:$A$59,0))+INDEX('分群統計'!$G$20:$G$59,MATCH(B194,'分群統計'!$A$20:$A$59,0))*AU194,""),""),"")</f>
        <v/>
      </c>
      <c r="AI194" s="34">
        <f>IF(ISNUMBER(AH194),N194-AH194,"")</f>
        <v/>
      </c>
      <c r="AJ194" s="30">
        <f>IF(Y194=1,IFERROR(IF(ISNUMBER(INDEX('分群統計'!$G$5:$G$8,MATCH(X194,'分群統計'!$A$5:$A$8,0))),INDEX('分群統計'!$H$5:$H$8,MATCH(X194,'分群統計'!$A$5:$A$8,0))+INDEX('分群統計'!$G$5:$G$8,MATCH(X194,'分群統計'!$A$5:$A$8,0))*AU194,""),""),"")</f>
        <v/>
      </c>
      <c r="AK194" s="34">
        <f>IF(ISNUMBER(AJ194),N194-AJ194,"")</f>
        <v/>
      </c>
      <c r="AL194" s="21">
        <f>IF(ISNUMBER(AJ194),IF(AJ194&gt;0,AK194/AJ194,""),"")</f>
        <v/>
      </c>
      <c r="AM194" s="31">
        <f>IF(AY194&lt;&gt;1,"",IFERROR(IF(INDEX('分群統計'!$K$5:$K$8,MATCH(X194,'分群統計'!$A$5:$A$8,0))&lt;3,"",IF(INDEX('分群統計'!$M$5:$M$8,MATCH(X194,'分群統計'!$A$5:$A$8,0))&gt;0,MAX(-3,MIN(3,(AX194-INDEX('分群統計'!$L$5:$L$8,MATCH(X194,'分群統計'!$A$5:$A$8,0)))/INDEX('分群統計'!$M$5:$M$8,MATCH(X194,'分群統計'!$A$5:$A$8,0)))),0)),""))</f>
        <v/>
      </c>
      <c r="AN194" s="31">
        <f>IF(ISNUMBER(AB194),IF(Z194&gt;0,AB194/Z194*100,""),"")</f>
        <v/>
      </c>
      <c r="AO194" s="31">
        <f>IF(BA194&lt;&gt;1,"",IFERROR(IF(INDEX('分群統計'!$N$5:$N$8,MATCH(X194,'分群統計'!$A$5:$A$8,0))&lt;3,"",IF(INDEX('分群統計'!$P$5:$P$8,MATCH(X194,'分群統計'!$A$5:$A$8,0))&gt;0,MAX(-3,MIN(3,(AZ194-INDEX('分群統計'!$O$5:$O$8,MATCH(X194,'分群統計'!$A$5:$A$8,0)))/INDEX('分群統計'!$P$5:$P$8,MATCH(X194,'分群統計'!$A$5:$A$8,0)))),0)),""))</f>
        <v/>
      </c>
      <c r="AP194" s="31">
        <f>IF(BC194&lt;&gt;1,"",IFERROR(IF(INDEX('分群統計'!$Q$5:$Q$8,MATCH(X194,'分群統計'!$A$5:$A$8,0))&lt;3,"",IF(INDEX('分群統計'!$S$5:$S$8,MATCH(X194,'分群統計'!$A$5:$A$8,0))&gt;0,MAX(-3,MIN(3,(BB194-INDEX('分群統計'!$R$5:$R$8,MATCH(X194,'分群統計'!$A$5:$A$8,0)))/INDEX('分群統計'!$S$5:$S$8,MATCH(X194,'分群統計'!$A$5:$A$8,0)))),0)),""))</f>
        <v/>
      </c>
      <c r="AQ194" s="31">
        <f>IF(Y194=1,(IF(ISNUMBER(AF194),AF194,0)*'參數'!$B$13+IF(ISNUMBER(AM194),AM194,0)*'參數'!$B$14+IF(ISNUMBER(AO194),AO194,0)*'參數'!$B$15+IF(ISNUMBER(AP194),AP194,0)*'參數'!$B$16)/('參數'!$B$13+'參數'!$B$14+'參數'!$B$15+'參數'!$B$16),"")</f>
        <v/>
      </c>
      <c r="AR194" s="35">
        <f>IF(Y194=1,(SUMPRODUCT(($X$5:$X$404=X194)*($Y$5:$Y$404=1)*($BD$5:$BD$404&gt;BD194))+1)/COUNTIFS($X$5:$X$404,X194,$Y$5:$Y$404,1),"")</f>
        <v/>
      </c>
      <c r="AS194" s="8">
        <f>IF(ISNUMBER(AR194),IF(AR194&lt;='參數'!$B$18,"加碼候選",IF(AR194&gt;'參數'!$B$19,"減碼候選","")),"")</f>
        <v/>
      </c>
      <c r="AT194" s="7">
        <f>IF(Y194=1,N194,0)</f>
        <v/>
      </c>
      <c r="AU194" s="7">
        <f>IF(Y194=1,LN(O194),0)</f>
        <v/>
      </c>
      <c r="AV194" s="36">
        <f>IF(Y194=1,IF(ISNUMBER(F194),F194,0),0)</f>
        <v/>
      </c>
      <c r="AW194" s="7">
        <f>IF(Y194=1,Z194,0)</f>
        <v/>
      </c>
      <c r="AX194" s="7">
        <f>IF(Y194=1,IF(ISNUMBER(AL194),AL194,0),0)</f>
        <v/>
      </c>
      <c r="AY194" s="7">
        <f>IF(Y194=1,IF(ISNUMBER(AL194),1,0),0)</f>
        <v/>
      </c>
      <c r="AZ194" s="7">
        <f>IF(Y194=1,IF(ISNUMBER(AN194),AN194,0),0)</f>
        <v/>
      </c>
      <c r="BA194" s="7">
        <f>IF(Y194=1,IF(ISNUMBER(AN194),1,0),0)</f>
        <v/>
      </c>
      <c r="BB194" s="7">
        <f>IF(Y194=1,IF(ISNUMBER(T194),T194,0),0)</f>
        <v/>
      </c>
      <c r="BC194" s="7">
        <f>IF(Y194=1,IF(ISNUMBER(T194),1,0),0)</f>
        <v/>
      </c>
      <c r="BD194" s="7">
        <f>IF(Y194=1,AQ194+ROW()/1E9,-1E9)</f>
        <v/>
      </c>
      <c r="BE194" s="7">
        <f>IF(Y194=1,AQ194+ROW()/1E9,1E9)</f>
        <v/>
      </c>
    </row>
    <row r="195">
      <c r="A195" s="16" t="n"/>
      <c r="B195" s="8">
        <f>IF($A195="","",BDP($A195,B$3))</f>
        <v/>
      </c>
      <c r="C195" s="8">
        <f>IF($A195="","",BDP($A195,C$3))</f>
        <v/>
      </c>
      <c r="D195" s="28">
        <f>IF($A195="","",BDP($A195,D$3))</f>
        <v/>
      </c>
      <c r="E195" s="29">
        <f>IF($A195="","",BDP($A195,E$3))</f>
        <v/>
      </c>
      <c r="F195" s="17">
        <f>IF($A195="","",BDP($A195,F$3))</f>
        <v/>
      </c>
      <c r="G195" s="8">
        <f>IF($A195="","",BDP($A195,G$3))</f>
        <v/>
      </c>
      <c r="H195" s="8">
        <f>IF($A195="","",BDP($A195,H$3))</f>
        <v/>
      </c>
      <c r="I195" s="8">
        <f>IF($A195="","",BDP($A195,I$3))</f>
        <v/>
      </c>
      <c r="J195" s="8">
        <f>IF($A195="","",BDP($A195,J$3))</f>
        <v/>
      </c>
      <c r="K195" s="8">
        <f>IF($A195="","",BDP($A195,K$3))</f>
        <v/>
      </c>
      <c r="L195" s="28">
        <f>IF($A195="","",BDP($A195,L$3))</f>
        <v/>
      </c>
      <c r="M195" s="28">
        <f>IF($A195="","",BDP($A195,M$3))</f>
        <v/>
      </c>
      <c r="N195" s="30">
        <f>IF($A195="","",BDP($A195,N$3))</f>
        <v/>
      </c>
      <c r="O195" s="31">
        <f>IF($A195="","",BDP($A195,O$3))</f>
        <v/>
      </c>
      <c r="P195" s="30">
        <f>IF($A195="","",BDH($A195,$N$3,'參數'!$B$5,'參數'!$B$5,"Days=A","Fill=P","Dates=H"))</f>
        <v/>
      </c>
      <c r="Q195" s="30">
        <f>IF($A195="","",BDH($A195,$N$3,'參數'!$B$6,'參數'!$B$6,"Days=A","Fill=P","Dates=H"))</f>
        <v/>
      </c>
      <c r="R195" s="30">
        <f>IF($A195="","",BDH($A195,$N$3,'參數'!$B$7,'參數'!$B$7,"Days=A","Fill=P","Dates=H"))</f>
        <v/>
      </c>
      <c r="S195" s="32">
        <f>IF($A195="","",IFERROR(INDEX('發行人'!$A$5:$A$44,MATCH(B195,'發行人'!$D$5:$D$44,0)),"未對應"))</f>
        <v/>
      </c>
      <c r="T195" s="24">
        <f>IF($A195="","",IFERROR(INDEX('發行人'!$G$5:$G$44,MATCH(B195,'發行人'!$D$5:$D$44,0))+0,""))</f>
        <v/>
      </c>
      <c r="U195" s="18">
        <f>IF(ISNUMBER(E195),YEARFRAC('參數'!$B$4,E195),"")</f>
        <v/>
      </c>
      <c r="V195" s="8">
        <f>IF(U195="","",IF(U195&lt;3,"1-3y",IF(U195&lt;5,"3-5y",IF(U195&lt;7,"5-7y",IF(U195&lt;10,"7-10y","10y+")))))</f>
        <v/>
      </c>
      <c r="W195" s="30">
        <f>IF($A195="","",IFERROR(INDEX('參數'!$B$24:$B$45,MATCH(G195,'參數'!$A$24:$A$45,0)),""))</f>
        <v/>
      </c>
      <c r="X195" s="8">
        <f>IF($A195="","",IFERROR(INDEX('參數'!$C$24:$C$45,MATCH(G195,'參數'!$A$24:$A$45,0)),""))</f>
        <v/>
      </c>
      <c r="Y195" s="30">
        <f>IF(AND(ISNUMBER(N195),ISNUMBER(O195),ISNUMBER(U195)),IF(AND(O195&gt;0,X195&lt;&gt;""),1,0),0)</f>
        <v/>
      </c>
      <c r="Z195" s="17">
        <f>IF(Y195=1,O195*N195,"")</f>
        <v/>
      </c>
      <c r="AA195" s="33">
        <f>IF(Y195=1,IF(ISNUMBER(Q195),N195-Q195,""),"")</f>
        <v/>
      </c>
      <c r="AB195" s="33">
        <f>IF(Y195=1,IF(AND(ISNUMBER(P195),ISNUMBER(R195)),R195*5/12-O195*(P195-R195),""),"")</f>
        <v/>
      </c>
      <c r="AC195" s="30">
        <f>IF(Y195=1,COUNTIFS($X$5:$X$404,X195,$V$5:$V$404,V195,$Y$5:$Y$404,1),"")</f>
        <v/>
      </c>
      <c r="AD195" s="30">
        <f>IF(Y195=1,IFERROR(IF(AC195&gt;='參數'!$B$9,INDEX('分群統計'!$G$13:$K$16,MATCH(X195,'分群統計'!$A$13:$A$16,0),MATCH(V195,'分群統計'!$G$12:$K$12,0)),INDEX('分群統計'!$I$5:$I$8,MATCH(X195,'分群統計'!$A$5:$A$8,0))),""),"")</f>
        <v/>
      </c>
      <c r="AE195" s="18">
        <f>IF(Y195=1,IFERROR(IF(AC195&gt;='參數'!$B$9,INDEX('分群統計'!$L$13:$P$16,MATCH(X195,'分群統計'!$A$13:$A$16,0),MATCH(V195,'分群統計'!$L$12:$P$12,0)),INDEX('分群統計'!$J$5:$J$8,MATCH(X195,'分群統計'!$A$5:$A$8,0))),""),"")</f>
        <v/>
      </c>
      <c r="AF195" s="31">
        <f>IF(ISNUMBER(AE195),IF(AE195&gt;0,MAX(-3,MIN(3,(N195-AD195)/AE195)),0),"")</f>
        <v/>
      </c>
      <c r="AG195" s="30">
        <f>IF(Y195=1,COUNTIFS($B$5:$B$404,B195,$Y$5:$Y$404,1),"")</f>
        <v/>
      </c>
      <c r="AH195" s="30">
        <f>IF(Y195=1,IFERROR(IF(ISNUMBER(INDEX('分群統計'!$G$20:$G$59,MATCH(B195,'分群統計'!$A$20:$A$59,0))),INDEX('分群統計'!$H$20:$H$59,MATCH(B195,'分群統計'!$A$20:$A$59,0))+INDEX('分群統計'!$G$20:$G$59,MATCH(B195,'分群統計'!$A$20:$A$59,0))*AU195,""),""),"")</f>
        <v/>
      </c>
      <c r="AI195" s="34">
        <f>IF(ISNUMBER(AH195),N195-AH195,"")</f>
        <v/>
      </c>
      <c r="AJ195" s="30">
        <f>IF(Y195=1,IFERROR(IF(ISNUMBER(INDEX('分群統計'!$G$5:$G$8,MATCH(X195,'分群統計'!$A$5:$A$8,0))),INDEX('分群統計'!$H$5:$H$8,MATCH(X195,'分群統計'!$A$5:$A$8,0))+INDEX('分群統計'!$G$5:$G$8,MATCH(X195,'分群統計'!$A$5:$A$8,0))*AU195,""),""),"")</f>
        <v/>
      </c>
      <c r="AK195" s="34">
        <f>IF(ISNUMBER(AJ195),N195-AJ195,"")</f>
        <v/>
      </c>
      <c r="AL195" s="21">
        <f>IF(ISNUMBER(AJ195),IF(AJ195&gt;0,AK195/AJ195,""),"")</f>
        <v/>
      </c>
      <c r="AM195" s="31">
        <f>IF(AY195&lt;&gt;1,"",IFERROR(IF(INDEX('分群統計'!$K$5:$K$8,MATCH(X195,'分群統計'!$A$5:$A$8,0))&lt;3,"",IF(INDEX('分群統計'!$M$5:$M$8,MATCH(X195,'分群統計'!$A$5:$A$8,0))&gt;0,MAX(-3,MIN(3,(AX195-INDEX('分群統計'!$L$5:$L$8,MATCH(X195,'分群統計'!$A$5:$A$8,0)))/INDEX('分群統計'!$M$5:$M$8,MATCH(X195,'分群統計'!$A$5:$A$8,0)))),0)),""))</f>
        <v/>
      </c>
      <c r="AN195" s="31">
        <f>IF(ISNUMBER(AB195),IF(Z195&gt;0,AB195/Z195*100,""),"")</f>
        <v/>
      </c>
      <c r="AO195" s="31">
        <f>IF(BA195&lt;&gt;1,"",IFERROR(IF(INDEX('分群統計'!$N$5:$N$8,MATCH(X195,'分群統計'!$A$5:$A$8,0))&lt;3,"",IF(INDEX('分群統計'!$P$5:$P$8,MATCH(X195,'分群統計'!$A$5:$A$8,0))&gt;0,MAX(-3,MIN(3,(AZ195-INDEX('分群統計'!$O$5:$O$8,MATCH(X195,'分群統計'!$A$5:$A$8,0)))/INDEX('分群統計'!$P$5:$P$8,MATCH(X195,'分群統計'!$A$5:$A$8,0)))),0)),""))</f>
        <v/>
      </c>
      <c r="AP195" s="31">
        <f>IF(BC195&lt;&gt;1,"",IFERROR(IF(INDEX('分群統計'!$Q$5:$Q$8,MATCH(X195,'分群統計'!$A$5:$A$8,0))&lt;3,"",IF(INDEX('分群統計'!$S$5:$S$8,MATCH(X195,'分群統計'!$A$5:$A$8,0))&gt;0,MAX(-3,MIN(3,(BB195-INDEX('分群統計'!$R$5:$R$8,MATCH(X195,'分群統計'!$A$5:$A$8,0)))/INDEX('分群統計'!$S$5:$S$8,MATCH(X195,'分群統計'!$A$5:$A$8,0)))),0)),""))</f>
        <v/>
      </c>
      <c r="AQ195" s="31">
        <f>IF(Y195=1,(IF(ISNUMBER(AF195),AF195,0)*'參數'!$B$13+IF(ISNUMBER(AM195),AM195,0)*'參數'!$B$14+IF(ISNUMBER(AO195),AO195,0)*'參數'!$B$15+IF(ISNUMBER(AP195),AP195,0)*'參數'!$B$16)/('參數'!$B$13+'參數'!$B$14+'參數'!$B$15+'參數'!$B$16),"")</f>
        <v/>
      </c>
      <c r="AR195" s="35">
        <f>IF(Y195=1,(SUMPRODUCT(($X$5:$X$404=X195)*($Y$5:$Y$404=1)*($BD$5:$BD$404&gt;BD195))+1)/COUNTIFS($X$5:$X$404,X195,$Y$5:$Y$404,1),"")</f>
        <v/>
      </c>
      <c r="AS195" s="8">
        <f>IF(ISNUMBER(AR195),IF(AR195&lt;='參數'!$B$18,"加碼候選",IF(AR195&gt;'參數'!$B$19,"減碼候選","")),"")</f>
        <v/>
      </c>
      <c r="AT195" s="7">
        <f>IF(Y195=1,N195,0)</f>
        <v/>
      </c>
      <c r="AU195" s="7">
        <f>IF(Y195=1,LN(O195),0)</f>
        <v/>
      </c>
      <c r="AV195" s="36">
        <f>IF(Y195=1,IF(ISNUMBER(F195),F195,0),0)</f>
        <v/>
      </c>
      <c r="AW195" s="7">
        <f>IF(Y195=1,Z195,0)</f>
        <v/>
      </c>
      <c r="AX195" s="7">
        <f>IF(Y195=1,IF(ISNUMBER(AL195),AL195,0),0)</f>
        <v/>
      </c>
      <c r="AY195" s="7">
        <f>IF(Y195=1,IF(ISNUMBER(AL195),1,0),0)</f>
        <v/>
      </c>
      <c r="AZ195" s="7">
        <f>IF(Y195=1,IF(ISNUMBER(AN195),AN195,0),0)</f>
        <v/>
      </c>
      <c r="BA195" s="7">
        <f>IF(Y195=1,IF(ISNUMBER(AN195),1,0),0)</f>
        <v/>
      </c>
      <c r="BB195" s="7">
        <f>IF(Y195=1,IF(ISNUMBER(T195),T195,0),0)</f>
        <v/>
      </c>
      <c r="BC195" s="7">
        <f>IF(Y195=1,IF(ISNUMBER(T195),1,0),0)</f>
        <v/>
      </c>
      <c r="BD195" s="7">
        <f>IF(Y195=1,AQ195+ROW()/1E9,-1E9)</f>
        <v/>
      </c>
      <c r="BE195" s="7">
        <f>IF(Y195=1,AQ195+ROW()/1E9,1E9)</f>
        <v/>
      </c>
    </row>
    <row r="196">
      <c r="A196" s="16" t="n"/>
      <c r="B196" s="8">
        <f>IF($A196="","",BDP($A196,B$3))</f>
        <v/>
      </c>
      <c r="C196" s="8">
        <f>IF($A196="","",BDP($A196,C$3))</f>
        <v/>
      </c>
      <c r="D196" s="28">
        <f>IF($A196="","",BDP($A196,D$3))</f>
        <v/>
      </c>
      <c r="E196" s="29">
        <f>IF($A196="","",BDP($A196,E$3))</f>
        <v/>
      </c>
      <c r="F196" s="17">
        <f>IF($A196="","",BDP($A196,F$3))</f>
        <v/>
      </c>
      <c r="G196" s="8">
        <f>IF($A196="","",BDP($A196,G$3))</f>
        <v/>
      </c>
      <c r="H196" s="8">
        <f>IF($A196="","",BDP($A196,H$3))</f>
        <v/>
      </c>
      <c r="I196" s="8">
        <f>IF($A196="","",BDP($A196,I$3))</f>
        <v/>
      </c>
      <c r="J196" s="8">
        <f>IF($A196="","",BDP($A196,J$3))</f>
        <v/>
      </c>
      <c r="K196" s="8">
        <f>IF($A196="","",BDP($A196,K$3))</f>
        <v/>
      </c>
      <c r="L196" s="28">
        <f>IF($A196="","",BDP($A196,L$3))</f>
        <v/>
      </c>
      <c r="M196" s="28">
        <f>IF($A196="","",BDP($A196,M$3))</f>
        <v/>
      </c>
      <c r="N196" s="30">
        <f>IF($A196="","",BDP($A196,N$3))</f>
        <v/>
      </c>
      <c r="O196" s="31">
        <f>IF($A196="","",BDP($A196,O$3))</f>
        <v/>
      </c>
      <c r="P196" s="30">
        <f>IF($A196="","",BDH($A196,$N$3,'參數'!$B$5,'參數'!$B$5,"Days=A","Fill=P","Dates=H"))</f>
        <v/>
      </c>
      <c r="Q196" s="30">
        <f>IF($A196="","",BDH($A196,$N$3,'參數'!$B$6,'參數'!$B$6,"Days=A","Fill=P","Dates=H"))</f>
        <v/>
      </c>
      <c r="R196" s="30">
        <f>IF($A196="","",BDH($A196,$N$3,'參數'!$B$7,'參數'!$B$7,"Days=A","Fill=P","Dates=H"))</f>
        <v/>
      </c>
      <c r="S196" s="32">
        <f>IF($A196="","",IFERROR(INDEX('發行人'!$A$5:$A$44,MATCH(B196,'發行人'!$D$5:$D$44,0)),"未對應"))</f>
        <v/>
      </c>
      <c r="T196" s="24">
        <f>IF($A196="","",IFERROR(INDEX('發行人'!$G$5:$G$44,MATCH(B196,'發行人'!$D$5:$D$44,0))+0,""))</f>
        <v/>
      </c>
      <c r="U196" s="18">
        <f>IF(ISNUMBER(E196),YEARFRAC('參數'!$B$4,E196),"")</f>
        <v/>
      </c>
      <c r="V196" s="8">
        <f>IF(U196="","",IF(U196&lt;3,"1-3y",IF(U196&lt;5,"3-5y",IF(U196&lt;7,"5-7y",IF(U196&lt;10,"7-10y","10y+")))))</f>
        <v/>
      </c>
      <c r="W196" s="30">
        <f>IF($A196="","",IFERROR(INDEX('參數'!$B$24:$B$45,MATCH(G196,'參數'!$A$24:$A$45,0)),""))</f>
        <v/>
      </c>
      <c r="X196" s="8">
        <f>IF($A196="","",IFERROR(INDEX('參數'!$C$24:$C$45,MATCH(G196,'參數'!$A$24:$A$45,0)),""))</f>
        <v/>
      </c>
      <c r="Y196" s="30">
        <f>IF(AND(ISNUMBER(N196),ISNUMBER(O196),ISNUMBER(U196)),IF(AND(O196&gt;0,X196&lt;&gt;""),1,0),0)</f>
        <v/>
      </c>
      <c r="Z196" s="17">
        <f>IF(Y196=1,O196*N196,"")</f>
        <v/>
      </c>
      <c r="AA196" s="33">
        <f>IF(Y196=1,IF(ISNUMBER(Q196),N196-Q196,""),"")</f>
        <v/>
      </c>
      <c r="AB196" s="33">
        <f>IF(Y196=1,IF(AND(ISNUMBER(P196),ISNUMBER(R196)),R196*5/12-O196*(P196-R196),""),"")</f>
        <v/>
      </c>
      <c r="AC196" s="30">
        <f>IF(Y196=1,COUNTIFS($X$5:$X$404,X196,$V$5:$V$404,V196,$Y$5:$Y$404,1),"")</f>
        <v/>
      </c>
      <c r="AD196" s="30">
        <f>IF(Y196=1,IFERROR(IF(AC196&gt;='參數'!$B$9,INDEX('分群統計'!$G$13:$K$16,MATCH(X196,'分群統計'!$A$13:$A$16,0),MATCH(V196,'分群統計'!$G$12:$K$12,0)),INDEX('分群統計'!$I$5:$I$8,MATCH(X196,'分群統計'!$A$5:$A$8,0))),""),"")</f>
        <v/>
      </c>
      <c r="AE196" s="18">
        <f>IF(Y196=1,IFERROR(IF(AC196&gt;='參數'!$B$9,INDEX('分群統計'!$L$13:$P$16,MATCH(X196,'分群統計'!$A$13:$A$16,0),MATCH(V196,'分群統計'!$L$12:$P$12,0)),INDEX('分群統計'!$J$5:$J$8,MATCH(X196,'分群統計'!$A$5:$A$8,0))),""),"")</f>
        <v/>
      </c>
      <c r="AF196" s="31">
        <f>IF(ISNUMBER(AE196),IF(AE196&gt;0,MAX(-3,MIN(3,(N196-AD196)/AE196)),0),"")</f>
        <v/>
      </c>
      <c r="AG196" s="30">
        <f>IF(Y196=1,COUNTIFS($B$5:$B$404,B196,$Y$5:$Y$404,1),"")</f>
        <v/>
      </c>
      <c r="AH196" s="30">
        <f>IF(Y196=1,IFERROR(IF(ISNUMBER(INDEX('分群統計'!$G$20:$G$59,MATCH(B196,'分群統計'!$A$20:$A$59,0))),INDEX('分群統計'!$H$20:$H$59,MATCH(B196,'分群統計'!$A$20:$A$59,0))+INDEX('分群統計'!$G$20:$G$59,MATCH(B196,'分群統計'!$A$20:$A$59,0))*AU196,""),""),"")</f>
        <v/>
      </c>
      <c r="AI196" s="34">
        <f>IF(ISNUMBER(AH196),N196-AH196,"")</f>
        <v/>
      </c>
      <c r="AJ196" s="30">
        <f>IF(Y196=1,IFERROR(IF(ISNUMBER(INDEX('分群統計'!$G$5:$G$8,MATCH(X196,'分群統計'!$A$5:$A$8,0))),INDEX('分群統計'!$H$5:$H$8,MATCH(X196,'分群統計'!$A$5:$A$8,0))+INDEX('分群統計'!$G$5:$G$8,MATCH(X196,'分群統計'!$A$5:$A$8,0))*AU196,""),""),"")</f>
        <v/>
      </c>
      <c r="AK196" s="34">
        <f>IF(ISNUMBER(AJ196),N196-AJ196,"")</f>
        <v/>
      </c>
      <c r="AL196" s="21">
        <f>IF(ISNUMBER(AJ196),IF(AJ196&gt;0,AK196/AJ196,""),"")</f>
        <v/>
      </c>
      <c r="AM196" s="31">
        <f>IF(AY196&lt;&gt;1,"",IFERROR(IF(INDEX('分群統計'!$K$5:$K$8,MATCH(X196,'分群統計'!$A$5:$A$8,0))&lt;3,"",IF(INDEX('分群統計'!$M$5:$M$8,MATCH(X196,'分群統計'!$A$5:$A$8,0))&gt;0,MAX(-3,MIN(3,(AX196-INDEX('分群統計'!$L$5:$L$8,MATCH(X196,'分群統計'!$A$5:$A$8,0)))/INDEX('分群統計'!$M$5:$M$8,MATCH(X196,'分群統計'!$A$5:$A$8,0)))),0)),""))</f>
        <v/>
      </c>
      <c r="AN196" s="31">
        <f>IF(ISNUMBER(AB196),IF(Z196&gt;0,AB196/Z196*100,""),"")</f>
        <v/>
      </c>
      <c r="AO196" s="31">
        <f>IF(BA196&lt;&gt;1,"",IFERROR(IF(INDEX('分群統計'!$N$5:$N$8,MATCH(X196,'分群統計'!$A$5:$A$8,0))&lt;3,"",IF(INDEX('分群統計'!$P$5:$P$8,MATCH(X196,'分群統計'!$A$5:$A$8,0))&gt;0,MAX(-3,MIN(3,(AZ196-INDEX('分群統計'!$O$5:$O$8,MATCH(X196,'分群統計'!$A$5:$A$8,0)))/INDEX('分群統計'!$P$5:$P$8,MATCH(X196,'分群統計'!$A$5:$A$8,0)))),0)),""))</f>
        <v/>
      </c>
      <c r="AP196" s="31">
        <f>IF(BC196&lt;&gt;1,"",IFERROR(IF(INDEX('分群統計'!$Q$5:$Q$8,MATCH(X196,'分群統計'!$A$5:$A$8,0))&lt;3,"",IF(INDEX('分群統計'!$S$5:$S$8,MATCH(X196,'分群統計'!$A$5:$A$8,0))&gt;0,MAX(-3,MIN(3,(BB196-INDEX('分群統計'!$R$5:$R$8,MATCH(X196,'分群統計'!$A$5:$A$8,0)))/INDEX('分群統計'!$S$5:$S$8,MATCH(X196,'分群統計'!$A$5:$A$8,0)))),0)),""))</f>
        <v/>
      </c>
      <c r="AQ196" s="31">
        <f>IF(Y196=1,(IF(ISNUMBER(AF196),AF196,0)*'參數'!$B$13+IF(ISNUMBER(AM196),AM196,0)*'參數'!$B$14+IF(ISNUMBER(AO196),AO196,0)*'參數'!$B$15+IF(ISNUMBER(AP196),AP196,0)*'參數'!$B$16)/('參數'!$B$13+'參數'!$B$14+'參數'!$B$15+'參數'!$B$16),"")</f>
        <v/>
      </c>
      <c r="AR196" s="35">
        <f>IF(Y196=1,(SUMPRODUCT(($X$5:$X$404=X196)*($Y$5:$Y$404=1)*($BD$5:$BD$404&gt;BD196))+1)/COUNTIFS($X$5:$X$404,X196,$Y$5:$Y$404,1),"")</f>
        <v/>
      </c>
      <c r="AS196" s="8">
        <f>IF(ISNUMBER(AR196),IF(AR196&lt;='參數'!$B$18,"加碼候選",IF(AR196&gt;'參數'!$B$19,"減碼候選","")),"")</f>
        <v/>
      </c>
      <c r="AT196" s="7">
        <f>IF(Y196=1,N196,0)</f>
        <v/>
      </c>
      <c r="AU196" s="7">
        <f>IF(Y196=1,LN(O196),0)</f>
        <v/>
      </c>
      <c r="AV196" s="36">
        <f>IF(Y196=1,IF(ISNUMBER(F196),F196,0),0)</f>
        <v/>
      </c>
      <c r="AW196" s="7">
        <f>IF(Y196=1,Z196,0)</f>
        <v/>
      </c>
      <c r="AX196" s="7">
        <f>IF(Y196=1,IF(ISNUMBER(AL196),AL196,0),0)</f>
        <v/>
      </c>
      <c r="AY196" s="7">
        <f>IF(Y196=1,IF(ISNUMBER(AL196),1,0),0)</f>
        <v/>
      </c>
      <c r="AZ196" s="7">
        <f>IF(Y196=1,IF(ISNUMBER(AN196),AN196,0),0)</f>
        <v/>
      </c>
      <c r="BA196" s="7">
        <f>IF(Y196=1,IF(ISNUMBER(AN196),1,0),0)</f>
        <v/>
      </c>
      <c r="BB196" s="7">
        <f>IF(Y196=1,IF(ISNUMBER(T196),T196,0),0)</f>
        <v/>
      </c>
      <c r="BC196" s="7">
        <f>IF(Y196=1,IF(ISNUMBER(T196),1,0),0)</f>
        <v/>
      </c>
      <c r="BD196" s="7">
        <f>IF(Y196=1,AQ196+ROW()/1E9,-1E9)</f>
        <v/>
      </c>
      <c r="BE196" s="7">
        <f>IF(Y196=1,AQ196+ROW()/1E9,1E9)</f>
        <v/>
      </c>
    </row>
    <row r="197">
      <c r="A197" s="16" t="n"/>
      <c r="B197" s="8">
        <f>IF($A197="","",BDP($A197,B$3))</f>
        <v/>
      </c>
      <c r="C197" s="8">
        <f>IF($A197="","",BDP($A197,C$3))</f>
        <v/>
      </c>
      <c r="D197" s="28">
        <f>IF($A197="","",BDP($A197,D$3))</f>
        <v/>
      </c>
      <c r="E197" s="29">
        <f>IF($A197="","",BDP($A197,E$3))</f>
        <v/>
      </c>
      <c r="F197" s="17">
        <f>IF($A197="","",BDP($A197,F$3))</f>
        <v/>
      </c>
      <c r="G197" s="8">
        <f>IF($A197="","",BDP($A197,G$3))</f>
        <v/>
      </c>
      <c r="H197" s="8">
        <f>IF($A197="","",BDP($A197,H$3))</f>
        <v/>
      </c>
      <c r="I197" s="8">
        <f>IF($A197="","",BDP($A197,I$3))</f>
        <v/>
      </c>
      <c r="J197" s="8">
        <f>IF($A197="","",BDP($A197,J$3))</f>
        <v/>
      </c>
      <c r="K197" s="8">
        <f>IF($A197="","",BDP($A197,K$3))</f>
        <v/>
      </c>
      <c r="L197" s="28">
        <f>IF($A197="","",BDP($A197,L$3))</f>
        <v/>
      </c>
      <c r="M197" s="28">
        <f>IF($A197="","",BDP($A197,M$3))</f>
        <v/>
      </c>
      <c r="N197" s="30">
        <f>IF($A197="","",BDP($A197,N$3))</f>
        <v/>
      </c>
      <c r="O197" s="31">
        <f>IF($A197="","",BDP($A197,O$3))</f>
        <v/>
      </c>
      <c r="P197" s="30">
        <f>IF($A197="","",BDH($A197,$N$3,'參數'!$B$5,'參數'!$B$5,"Days=A","Fill=P","Dates=H"))</f>
        <v/>
      </c>
      <c r="Q197" s="30">
        <f>IF($A197="","",BDH($A197,$N$3,'參數'!$B$6,'參數'!$B$6,"Days=A","Fill=P","Dates=H"))</f>
        <v/>
      </c>
      <c r="R197" s="30">
        <f>IF($A197="","",BDH($A197,$N$3,'參數'!$B$7,'參數'!$B$7,"Days=A","Fill=P","Dates=H"))</f>
        <v/>
      </c>
      <c r="S197" s="32">
        <f>IF($A197="","",IFERROR(INDEX('發行人'!$A$5:$A$44,MATCH(B197,'發行人'!$D$5:$D$44,0)),"未對應"))</f>
        <v/>
      </c>
      <c r="T197" s="24">
        <f>IF($A197="","",IFERROR(INDEX('發行人'!$G$5:$G$44,MATCH(B197,'發行人'!$D$5:$D$44,0))+0,""))</f>
        <v/>
      </c>
      <c r="U197" s="18">
        <f>IF(ISNUMBER(E197),YEARFRAC('參數'!$B$4,E197),"")</f>
        <v/>
      </c>
      <c r="V197" s="8">
        <f>IF(U197="","",IF(U197&lt;3,"1-3y",IF(U197&lt;5,"3-5y",IF(U197&lt;7,"5-7y",IF(U197&lt;10,"7-10y","10y+")))))</f>
        <v/>
      </c>
      <c r="W197" s="30">
        <f>IF($A197="","",IFERROR(INDEX('參數'!$B$24:$B$45,MATCH(G197,'參數'!$A$24:$A$45,0)),""))</f>
        <v/>
      </c>
      <c r="X197" s="8">
        <f>IF($A197="","",IFERROR(INDEX('參數'!$C$24:$C$45,MATCH(G197,'參數'!$A$24:$A$45,0)),""))</f>
        <v/>
      </c>
      <c r="Y197" s="30">
        <f>IF(AND(ISNUMBER(N197),ISNUMBER(O197),ISNUMBER(U197)),IF(AND(O197&gt;0,X197&lt;&gt;""),1,0),0)</f>
        <v/>
      </c>
      <c r="Z197" s="17">
        <f>IF(Y197=1,O197*N197,"")</f>
        <v/>
      </c>
      <c r="AA197" s="33">
        <f>IF(Y197=1,IF(ISNUMBER(Q197),N197-Q197,""),"")</f>
        <v/>
      </c>
      <c r="AB197" s="33">
        <f>IF(Y197=1,IF(AND(ISNUMBER(P197),ISNUMBER(R197)),R197*5/12-O197*(P197-R197),""),"")</f>
        <v/>
      </c>
      <c r="AC197" s="30">
        <f>IF(Y197=1,COUNTIFS($X$5:$X$404,X197,$V$5:$V$404,V197,$Y$5:$Y$404,1),"")</f>
        <v/>
      </c>
      <c r="AD197" s="30">
        <f>IF(Y197=1,IFERROR(IF(AC197&gt;='參數'!$B$9,INDEX('分群統計'!$G$13:$K$16,MATCH(X197,'分群統計'!$A$13:$A$16,0),MATCH(V197,'分群統計'!$G$12:$K$12,0)),INDEX('分群統計'!$I$5:$I$8,MATCH(X197,'分群統計'!$A$5:$A$8,0))),""),"")</f>
        <v/>
      </c>
      <c r="AE197" s="18">
        <f>IF(Y197=1,IFERROR(IF(AC197&gt;='參數'!$B$9,INDEX('分群統計'!$L$13:$P$16,MATCH(X197,'分群統計'!$A$13:$A$16,0),MATCH(V197,'分群統計'!$L$12:$P$12,0)),INDEX('分群統計'!$J$5:$J$8,MATCH(X197,'分群統計'!$A$5:$A$8,0))),""),"")</f>
        <v/>
      </c>
      <c r="AF197" s="31">
        <f>IF(ISNUMBER(AE197),IF(AE197&gt;0,MAX(-3,MIN(3,(N197-AD197)/AE197)),0),"")</f>
        <v/>
      </c>
      <c r="AG197" s="30">
        <f>IF(Y197=1,COUNTIFS($B$5:$B$404,B197,$Y$5:$Y$404,1),"")</f>
        <v/>
      </c>
      <c r="AH197" s="30">
        <f>IF(Y197=1,IFERROR(IF(ISNUMBER(INDEX('分群統計'!$G$20:$G$59,MATCH(B197,'分群統計'!$A$20:$A$59,0))),INDEX('分群統計'!$H$20:$H$59,MATCH(B197,'分群統計'!$A$20:$A$59,0))+INDEX('分群統計'!$G$20:$G$59,MATCH(B197,'分群統計'!$A$20:$A$59,0))*AU197,""),""),"")</f>
        <v/>
      </c>
      <c r="AI197" s="34">
        <f>IF(ISNUMBER(AH197),N197-AH197,"")</f>
        <v/>
      </c>
      <c r="AJ197" s="30">
        <f>IF(Y197=1,IFERROR(IF(ISNUMBER(INDEX('分群統計'!$G$5:$G$8,MATCH(X197,'分群統計'!$A$5:$A$8,0))),INDEX('分群統計'!$H$5:$H$8,MATCH(X197,'分群統計'!$A$5:$A$8,0))+INDEX('分群統計'!$G$5:$G$8,MATCH(X197,'分群統計'!$A$5:$A$8,0))*AU197,""),""),"")</f>
        <v/>
      </c>
      <c r="AK197" s="34">
        <f>IF(ISNUMBER(AJ197),N197-AJ197,"")</f>
        <v/>
      </c>
      <c r="AL197" s="21">
        <f>IF(ISNUMBER(AJ197),IF(AJ197&gt;0,AK197/AJ197,""),"")</f>
        <v/>
      </c>
      <c r="AM197" s="31">
        <f>IF(AY197&lt;&gt;1,"",IFERROR(IF(INDEX('分群統計'!$K$5:$K$8,MATCH(X197,'分群統計'!$A$5:$A$8,0))&lt;3,"",IF(INDEX('分群統計'!$M$5:$M$8,MATCH(X197,'分群統計'!$A$5:$A$8,0))&gt;0,MAX(-3,MIN(3,(AX197-INDEX('分群統計'!$L$5:$L$8,MATCH(X197,'分群統計'!$A$5:$A$8,0)))/INDEX('分群統計'!$M$5:$M$8,MATCH(X197,'分群統計'!$A$5:$A$8,0)))),0)),""))</f>
        <v/>
      </c>
      <c r="AN197" s="31">
        <f>IF(ISNUMBER(AB197),IF(Z197&gt;0,AB197/Z197*100,""),"")</f>
        <v/>
      </c>
      <c r="AO197" s="31">
        <f>IF(BA197&lt;&gt;1,"",IFERROR(IF(INDEX('分群統計'!$N$5:$N$8,MATCH(X197,'分群統計'!$A$5:$A$8,0))&lt;3,"",IF(INDEX('分群統計'!$P$5:$P$8,MATCH(X197,'分群統計'!$A$5:$A$8,0))&gt;0,MAX(-3,MIN(3,(AZ197-INDEX('分群統計'!$O$5:$O$8,MATCH(X197,'分群統計'!$A$5:$A$8,0)))/INDEX('分群統計'!$P$5:$P$8,MATCH(X197,'分群統計'!$A$5:$A$8,0)))),0)),""))</f>
        <v/>
      </c>
      <c r="AP197" s="31">
        <f>IF(BC197&lt;&gt;1,"",IFERROR(IF(INDEX('分群統計'!$Q$5:$Q$8,MATCH(X197,'分群統計'!$A$5:$A$8,0))&lt;3,"",IF(INDEX('分群統計'!$S$5:$S$8,MATCH(X197,'分群統計'!$A$5:$A$8,0))&gt;0,MAX(-3,MIN(3,(BB197-INDEX('分群統計'!$R$5:$R$8,MATCH(X197,'分群統計'!$A$5:$A$8,0)))/INDEX('分群統計'!$S$5:$S$8,MATCH(X197,'分群統計'!$A$5:$A$8,0)))),0)),""))</f>
        <v/>
      </c>
      <c r="AQ197" s="31">
        <f>IF(Y197=1,(IF(ISNUMBER(AF197),AF197,0)*'參數'!$B$13+IF(ISNUMBER(AM197),AM197,0)*'參數'!$B$14+IF(ISNUMBER(AO197),AO197,0)*'參數'!$B$15+IF(ISNUMBER(AP197),AP197,0)*'參數'!$B$16)/('參數'!$B$13+'參數'!$B$14+'參數'!$B$15+'參數'!$B$16),"")</f>
        <v/>
      </c>
      <c r="AR197" s="35">
        <f>IF(Y197=1,(SUMPRODUCT(($X$5:$X$404=X197)*($Y$5:$Y$404=1)*($BD$5:$BD$404&gt;BD197))+1)/COUNTIFS($X$5:$X$404,X197,$Y$5:$Y$404,1),"")</f>
        <v/>
      </c>
      <c r="AS197" s="8">
        <f>IF(ISNUMBER(AR197),IF(AR197&lt;='參數'!$B$18,"加碼候選",IF(AR197&gt;'參數'!$B$19,"減碼候選","")),"")</f>
        <v/>
      </c>
      <c r="AT197" s="7">
        <f>IF(Y197=1,N197,0)</f>
        <v/>
      </c>
      <c r="AU197" s="7">
        <f>IF(Y197=1,LN(O197),0)</f>
        <v/>
      </c>
      <c r="AV197" s="36">
        <f>IF(Y197=1,IF(ISNUMBER(F197),F197,0),0)</f>
        <v/>
      </c>
      <c r="AW197" s="7">
        <f>IF(Y197=1,Z197,0)</f>
        <v/>
      </c>
      <c r="AX197" s="7">
        <f>IF(Y197=1,IF(ISNUMBER(AL197),AL197,0),0)</f>
        <v/>
      </c>
      <c r="AY197" s="7">
        <f>IF(Y197=1,IF(ISNUMBER(AL197),1,0),0)</f>
        <v/>
      </c>
      <c r="AZ197" s="7">
        <f>IF(Y197=1,IF(ISNUMBER(AN197),AN197,0),0)</f>
        <v/>
      </c>
      <c r="BA197" s="7">
        <f>IF(Y197=1,IF(ISNUMBER(AN197),1,0),0)</f>
        <v/>
      </c>
      <c r="BB197" s="7">
        <f>IF(Y197=1,IF(ISNUMBER(T197),T197,0),0)</f>
        <v/>
      </c>
      <c r="BC197" s="7">
        <f>IF(Y197=1,IF(ISNUMBER(T197),1,0),0)</f>
        <v/>
      </c>
      <c r="BD197" s="7">
        <f>IF(Y197=1,AQ197+ROW()/1E9,-1E9)</f>
        <v/>
      </c>
      <c r="BE197" s="7">
        <f>IF(Y197=1,AQ197+ROW()/1E9,1E9)</f>
        <v/>
      </c>
    </row>
    <row r="198">
      <c r="A198" s="16" t="n"/>
      <c r="B198" s="8">
        <f>IF($A198="","",BDP($A198,B$3))</f>
        <v/>
      </c>
      <c r="C198" s="8">
        <f>IF($A198="","",BDP($A198,C$3))</f>
        <v/>
      </c>
      <c r="D198" s="28">
        <f>IF($A198="","",BDP($A198,D$3))</f>
        <v/>
      </c>
      <c r="E198" s="29">
        <f>IF($A198="","",BDP($A198,E$3))</f>
        <v/>
      </c>
      <c r="F198" s="17">
        <f>IF($A198="","",BDP($A198,F$3))</f>
        <v/>
      </c>
      <c r="G198" s="8">
        <f>IF($A198="","",BDP($A198,G$3))</f>
        <v/>
      </c>
      <c r="H198" s="8">
        <f>IF($A198="","",BDP($A198,H$3))</f>
        <v/>
      </c>
      <c r="I198" s="8">
        <f>IF($A198="","",BDP($A198,I$3))</f>
        <v/>
      </c>
      <c r="J198" s="8">
        <f>IF($A198="","",BDP($A198,J$3))</f>
        <v/>
      </c>
      <c r="K198" s="8">
        <f>IF($A198="","",BDP($A198,K$3))</f>
        <v/>
      </c>
      <c r="L198" s="28">
        <f>IF($A198="","",BDP($A198,L$3))</f>
        <v/>
      </c>
      <c r="M198" s="28">
        <f>IF($A198="","",BDP($A198,M$3))</f>
        <v/>
      </c>
      <c r="N198" s="30">
        <f>IF($A198="","",BDP($A198,N$3))</f>
        <v/>
      </c>
      <c r="O198" s="31">
        <f>IF($A198="","",BDP($A198,O$3))</f>
        <v/>
      </c>
      <c r="P198" s="30">
        <f>IF($A198="","",BDH($A198,$N$3,'參數'!$B$5,'參數'!$B$5,"Days=A","Fill=P","Dates=H"))</f>
        <v/>
      </c>
      <c r="Q198" s="30">
        <f>IF($A198="","",BDH($A198,$N$3,'參數'!$B$6,'參數'!$B$6,"Days=A","Fill=P","Dates=H"))</f>
        <v/>
      </c>
      <c r="R198" s="30">
        <f>IF($A198="","",BDH($A198,$N$3,'參數'!$B$7,'參數'!$B$7,"Days=A","Fill=P","Dates=H"))</f>
        <v/>
      </c>
      <c r="S198" s="32">
        <f>IF($A198="","",IFERROR(INDEX('發行人'!$A$5:$A$44,MATCH(B198,'發行人'!$D$5:$D$44,0)),"未對應"))</f>
        <v/>
      </c>
      <c r="T198" s="24">
        <f>IF($A198="","",IFERROR(INDEX('發行人'!$G$5:$G$44,MATCH(B198,'發行人'!$D$5:$D$44,0))+0,""))</f>
        <v/>
      </c>
      <c r="U198" s="18">
        <f>IF(ISNUMBER(E198),YEARFRAC('參數'!$B$4,E198),"")</f>
        <v/>
      </c>
      <c r="V198" s="8">
        <f>IF(U198="","",IF(U198&lt;3,"1-3y",IF(U198&lt;5,"3-5y",IF(U198&lt;7,"5-7y",IF(U198&lt;10,"7-10y","10y+")))))</f>
        <v/>
      </c>
      <c r="W198" s="30">
        <f>IF($A198="","",IFERROR(INDEX('參數'!$B$24:$B$45,MATCH(G198,'參數'!$A$24:$A$45,0)),""))</f>
        <v/>
      </c>
      <c r="X198" s="8">
        <f>IF($A198="","",IFERROR(INDEX('參數'!$C$24:$C$45,MATCH(G198,'參數'!$A$24:$A$45,0)),""))</f>
        <v/>
      </c>
      <c r="Y198" s="30">
        <f>IF(AND(ISNUMBER(N198),ISNUMBER(O198),ISNUMBER(U198)),IF(AND(O198&gt;0,X198&lt;&gt;""),1,0),0)</f>
        <v/>
      </c>
      <c r="Z198" s="17">
        <f>IF(Y198=1,O198*N198,"")</f>
        <v/>
      </c>
      <c r="AA198" s="33">
        <f>IF(Y198=1,IF(ISNUMBER(Q198),N198-Q198,""),"")</f>
        <v/>
      </c>
      <c r="AB198" s="33">
        <f>IF(Y198=1,IF(AND(ISNUMBER(P198),ISNUMBER(R198)),R198*5/12-O198*(P198-R198),""),"")</f>
        <v/>
      </c>
      <c r="AC198" s="30">
        <f>IF(Y198=1,COUNTIFS($X$5:$X$404,X198,$V$5:$V$404,V198,$Y$5:$Y$404,1),"")</f>
        <v/>
      </c>
      <c r="AD198" s="30">
        <f>IF(Y198=1,IFERROR(IF(AC198&gt;='參數'!$B$9,INDEX('分群統計'!$G$13:$K$16,MATCH(X198,'分群統計'!$A$13:$A$16,0),MATCH(V198,'分群統計'!$G$12:$K$12,0)),INDEX('分群統計'!$I$5:$I$8,MATCH(X198,'分群統計'!$A$5:$A$8,0))),""),"")</f>
        <v/>
      </c>
      <c r="AE198" s="18">
        <f>IF(Y198=1,IFERROR(IF(AC198&gt;='參數'!$B$9,INDEX('分群統計'!$L$13:$P$16,MATCH(X198,'分群統計'!$A$13:$A$16,0),MATCH(V198,'分群統計'!$L$12:$P$12,0)),INDEX('分群統計'!$J$5:$J$8,MATCH(X198,'分群統計'!$A$5:$A$8,0))),""),"")</f>
        <v/>
      </c>
      <c r="AF198" s="31">
        <f>IF(ISNUMBER(AE198),IF(AE198&gt;0,MAX(-3,MIN(3,(N198-AD198)/AE198)),0),"")</f>
        <v/>
      </c>
      <c r="AG198" s="30">
        <f>IF(Y198=1,COUNTIFS($B$5:$B$404,B198,$Y$5:$Y$404,1),"")</f>
        <v/>
      </c>
      <c r="AH198" s="30">
        <f>IF(Y198=1,IFERROR(IF(ISNUMBER(INDEX('分群統計'!$G$20:$G$59,MATCH(B198,'分群統計'!$A$20:$A$59,0))),INDEX('分群統計'!$H$20:$H$59,MATCH(B198,'分群統計'!$A$20:$A$59,0))+INDEX('分群統計'!$G$20:$G$59,MATCH(B198,'分群統計'!$A$20:$A$59,0))*AU198,""),""),"")</f>
        <v/>
      </c>
      <c r="AI198" s="34">
        <f>IF(ISNUMBER(AH198),N198-AH198,"")</f>
        <v/>
      </c>
      <c r="AJ198" s="30">
        <f>IF(Y198=1,IFERROR(IF(ISNUMBER(INDEX('分群統計'!$G$5:$G$8,MATCH(X198,'分群統計'!$A$5:$A$8,0))),INDEX('分群統計'!$H$5:$H$8,MATCH(X198,'分群統計'!$A$5:$A$8,0))+INDEX('分群統計'!$G$5:$G$8,MATCH(X198,'分群統計'!$A$5:$A$8,0))*AU198,""),""),"")</f>
        <v/>
      </c>
      <c r="AK198" s="34">
        <f>IF(ISNUMBER(AJ198),N198-AJ198,"")</f>
        <v/>
      </c>
      <c r="AL198" s="21">
        <f>IF(ISNUMBER(AJ198),IF(AJ198&gt;0,AK198/AJ198,""),"")</f>
        <v/>
      </c>
      <c r="AM198" s="31">
        <f>IF(AY198&lt;&gt;1,"",IFERROR(IF(INDEX('分群統計'!$K$5:$K$8,MATCH(X198,'分群統計'!$A$5:$A$8,0))&lt;3,"",IF(INDEX('分群統計'!$M$5:$M$8,MATCH(X198,'分群統計'!$A$5:$A$8,0))&gt;0,MAX(-3,MIN(3,(AX198-INDEX('分群統計'!$L$5:$L$8,MATCH(X198,'分群統計'!$A$5:$A$8,0)))/INDEX('分群統計'!$M$5:$M$8,MATCH(X198,'分群統計'!$A$5:$A$8,0)))),0)),""))</f>
        <v/>
      </c>
      <c r="AN198" s="31">
        <f>IF(ISNUMBER(AB198),IF(Z198&gt;0,AB198/Z198*100,""),"")</f>
        <v/>
      </c>
      <c r="AO198" s="31">
        <f>IF(BA198&lt;&gt;1,"",IFERROR(IF(INDEX('分群統計'!$N$5:$N$8,MATCH(X198,'分群統計'!$A$5:$A$8,0))&lt;3,"",IF(INDEX('分群統計'!$P$5:$P$8,MATCH(X198,'分群統計'!$A$5:$A$8,0))&gt;0,MAX(-3,MIN(3,(AZ198-INDEX('分群統計'!$O$5:$O$8,MATCH(X198,'分群統計'!$A$5:$A$8,0)))/INDEX('分群統計'!$P$5:$P$8,MATCH(X198,'分群統計'!$A$5:$A$8,0)))),0)),""))</f>
        <v/>
      </c>
      <c r="AP198" s="31">
        <f>IF(BC198&lt;&gt;1,"",IFERROR(IF(INDEX('分群統計'!$Q$5:$Q$8,MATCH(X198,'分群統計'!$A$5:$A$8,0))&lt;3,"",IF(INDEX('分群統計'!$S$5:$S$8,MATCH(X198,'分群統計'!$A$5:$A$8,0))&gt;0,MAX(-3,MIN(3,(BB198-INDEX('分群統計'!$R$5:$R$8,MATCH(X198,'分群統計'!$A$5:$A$8,0)))/INDEX('分群統計'!$S$5:$S$8,MATCH(X198,'分群統計'!$A$5:$A$8,0)))),0)),""))</f>
        <v/>
      </c>
      <c r="AQ198" s="31">
        <f>IF(Y198=1,(IF(ISNUMBER(AF198),AF198,0)*'參數'!$B$13+IF(ISNUMBER(AM198),AM198,0)*'參數'!$B$14+IF(ISNUMBER(AO198),AO198,0)*'參數'!$B$15+IF(ISNUMBER(AP198),AP198,0)*'參數'!$B$16)/('參數'!$B$13+'參數'!$B$14+'參數'!$B$15+'參數'!$B$16),"")</f>
        <v/>
      </c>
      <c r="AR198" s="35">
        <f>IF(Y198=1,(SUMPRODUCT(($X$5:$X$404=X198)*($Y$5:$Y$404=1)*($BD$5:$BD$404&gt;BD198))+1)/COUNTIFS($X$5:$X$404,X198,$Y$5:$Y$404,1),"")</f>
        <v/>
      </c>
      <c r="AS198" s="8">
        <f>IF(ISNUMBER(AR198),IF(AR198&lt;='參數'!$B$18,"加碼候選",IF(AR198&gt;'參數'!$B$19,"減碼候選","")),"")</f>
        <v/>
      </c>
      <c r="AT198" s="7">
        <f>IF(Y198=1,N198,0)</f>
        <v/>
      </c>
      <c r="AU198" s="7">
        <f>IF(Y198=1,LN(O198),0)</f>
        <v/>
      </c>
      <c r="AV198" s="36">
        <f>IF(Y198=1,IF(ISNUMBER(F198),F198,0),0)</f>
        <v/>
      </c>
      <c r="AW198" s="7">
        <f>IF(Y198=1,Z198,0)</f>
        <v/>
      </c>
      <c r="AX198" s="7">
        <f>IF(Y198=1,IF(ISNUMBER(AL198),AL198,0),0)</f>
        <v/>
      </c>
      <c r="AY198" s="7">
        <f>IF(Y198=1,IF(ISNUMBER(AL198),1,0),0)</f>
        <v/>
      </c>
      <c r="AZ198" s="7">
        <f>IF(Y198=1,IF(ISNUMBER(AN198),AN198,0),0)</f>
        <v/>
      </c>
      <c r="BA198" s="7">
        <f>IF(Y198=1,IF(ISNUMBER(AN198),1,0),0)</f>
        <v/>
      </c>
      <c r="BB198" s="7">
        <f>IF(Y198=1,IF(ISNUMBER(T198),T198,0),0)</f>
        <v/>
      </c>
      <c r="BC198" s="7">
        <f>IF(Y198=1,IF(ISNUMBER(T198),1,0),0)</f>
        <v/>
      </c>
      <c r="BD198" s="7">
        <f>IF(Y198=1,AQ198+ROW()/1E9,-1E9)</f>
        <v/>
      </c>
      <c r="BE198" s="7">
        <f>IF(Y198=1,AQ198+ROW()/1E9,1E9)</f>
        <v/>
      </c>
    </row>
    <row r="199">
      <c r="A199" s="16" t="n"/>
      <c r="B199" s="8">
        <f>IF($A199="","",BDP($A199,B$3))</f>
        <v/>
      </c>
      <c r="C199" s="8">
        <f>IF($A199="","",BDP($A199,C$3))</f>
        <v/>
      </c>
      <c r="D199" s="28">
        <f>IF($A199="","",BDP($A199,D$3))</f>
        <v/>
      </c>
      <c r="E199" s="29">
        <f>IF($A199="","",BDP($A199,E$3))</f>
        <v/>
      </c>
      <c r="F199" s="17">
        <f>IF($A199="","",BDP($A199,F$3))</f>
        <v/>
      </c>
      <c r="G199" s="8">
        <f>IF($A199="","",BDP($A199,G$3))</f>
        <v/>
      </c>
      <c r="H199" s="8">
        <f>IF($A199="","",BDP($A199,H$3))</f>
        <v/>
      </c>
      <c r="I199" s="8">
        <f>IF($A199="","",BDP($A199,I$3))</f>
        <v/>
      </c>
      <c r="J199" s="8">
        <f>IF($A199="","",BDP($A199,J$3))</f>
        <v/>
      </c>
      <c r="K199" s="8">
        <f>IF($A199="","",BDP($A199,K$3))</f>
        <v/>
      </c>
      <c r="L199" s="28">
        <f>IF($A199="","",BDP($A199,L$3))</f>
        <v/>
      </c>
      <c r="M199" s="28">
        <f>IF($A199="","",BDP($A199,M$3))</f>
        <v/>
      </c>
      <c r="N199" s="30">
        <f>IF($A199="","",BDP($A199,N$3))</f>
        <v/>
      </c>
      <c r="O199" s="31">
        <f>IF($A199="","",BDP($A199,O$3))</f>
        <v/>
      </c>
      <c r="P199" s="30">
        <f>IF($A199="","",BDH($A199,$N$3,'參數'!$B$5,'參數'!$B$5,"Days=A","Fill=P","Dates=H"))</f>
        <v/>
      </c>
      <c r="Q199" s="30">
        <f>IF($A199="","",BDH($A199,$N$3,'參數'!$B$6,'參數'!$B$6,"Days=A","Fill=P","Dates=H"))</f>
        <v/>
      </c>
      <c r="R199" s="30">
        <f>IF($A199="","",BDH($A199,$N$3,'參數'!$B$7,'參數'!$B$7,"Days=A","Fill=P","Dates=H"))</f>
        <v/>
      </c>
      <c r="S199" s="32">
        <f>IF($A199="","",IFERROR(INDEX('發行人'!$A$5:$A$44,MATCH(B199,'發行人'!$D$5:$D$44,0)),"未對應"))</f>
        <v/>
      </c>
      <c r="T199" s="24">
        <f>IF($A199="","",IFERROR(INDEX('發行人'!$G$5:$G$44,MATCH(B199,'發行人'!$D$5:$D$44,0))+0,""))</f>
        <v/>
      </c>
      <c r="U199" s="18">
        <f>IF(ISNUMBER(E199),YEARFRAC('參數'!$B$4,E199),"")</f>
        <v/>
      </c>
      <c r="V199" s="8">
        <f>IF(U199="","",IF(U199&lt;3,"1-3y",IF(U199&lt;5,"3-5y",IF(U199&lt;7,"5-7y",IF(U199&lt;10,"7-10y","10y+")))))</f>
        <v/>
      </c>
      <c r="W199" s="30">
        <f>IF($A199="","",IFERROR(INDEX('參數'!$B$24:$B$45,MATCH(G199,'參數'!$A$24:$A$45,0)),""))</f>
        <v/>
      </c>
      <c r="X199" s="8">
        <f>IF($A199="","",IFERROR(INDEX('參數'!$C$24:$C$45,MATCH(G199,'參數'!$A$24:$A$45,0)),""))</f>
        <v/>
      </c>
      <c r="Y199" s="30">
        <f>IF(AND(ISNUMBER(N199),ISNUMBER(O199),ISNUMBER(U199)),IF(AND(O199&gt;0,X199&lt;&gt;""),1,0),0)</f>
        <v/>
      </c>
      <c r="Z199" s="17">
        <f>IF(Y199=1,O199*N199,"")</f>
        <v/>
      </c>
      <c r="AA199" s="33">
        <f>IF(Y199=1,IF(ISNUMBER(Q199),N199-Q199,""),"")</f>
        <v/>
      </c>
      <c r="AB199" s="33">
        <f>IF(Y199=1,IF(AND(ISNUMBER(P199),ISNUMBER(R199)),R199*5/12-O199*(P199-R199),""),"")</f>
        <v/>
      </c>
      <c r="AC199" s="30">
        <f>IF(Y199=1,COUNTIFS($X$5:$X$404,X199,$V$5:$V$404,V199,$Y$5:$Y$404,1),"")</f>
        <v/>
      </c>
      <c r="AD199" s="30">
        <f>IF(Y199=1,IFERROR(IF(AC199&gt;='參數'!$B$9,INDEX('分群統計'!$G$13:$K$16,MATCH(X199,'分群統計'!$A$13:$A$16,0),MATCH(V199,'分群統計'!$G$12:$K$12,0)),INDEX('分群統計'!$I$5:$I$8,MATCH(X199,'分群統計'!$A$5:$A$8,0))),""),"")</f>
        <v/>
      </c>
      <c r="AE199" s="18">
        <f>IF(Y199=1,IFERROR(IF(AC199&gt;='參數'!$B$9,INDEX('分群統計'!$L$13:$P$16,MATCH(X199,'分群統計'!$A$13:$A$16,0),MATCH(V199,'分群統計'!$L$12:$P$12,0)),INDEX('分群統計'!$J$5:$J$8,MATCH(X199,'分群統計'!$A$5:$A$8,0))),""),"")</f>
        <v/>
      </c>
      <c r="AF199" s="31">
        <f>IF(ISNUMBER(AE199),IF(AE199&gt;0,MAX(-3,MIN(3,(N199-AD199)/AE199)),0),"")</f>
        <v/>
      </c>
      <c r="AG199" s="30">
        <f>IF(Y199=1,COUNTIFS($B$5:$B$404,B199,$Y$5:$Y$404,1),"")</f>
        <v/>
      </c>
      <c r="AH199" s="30">
        <f>IF(Y199=1,IFERROR(IF(ISNUMBER(INDEX('分群統計'!$G$20:$G$59,MATCH(B199,'分群統計'!$A$20:$A$59,0))),INDEX('分群統計'!$H$20:$H$59,MATCH(B199,'分群統計'!$A$20:$A$59,0))+INDEX('分群統計'!$G$20:$G$59,MATCH(B199,'分群統計'!$A$20:$A$59,0))*AU199,""),""),"")</f>
        <v/>
      </c>
      <c r="AI199" s="34">
        <f>IF(ISNUMBER(AH199),N199-AH199,"")</f>
        <v/>
      </c>
      <c r="AJ199" s="30">
        <f>IF(Y199=1,IFERROR(IF(ISNUMBER(INDEX('分群統計'!$G$5:$G$8,MATCH(X199,'分群統計'!$A$5:$A$8,0))),INDEX('分群統計'!$H$5:$H$8,MATCH(X199,'分群統計'!$A$5:$A$8,0))+INDEX('分群統計'!$G$5:$G$8,MATCH(X199,'分群統計'!$A$5:$A$8,0))*AU199,""),""),"")</f>
        <v/>
      </c>
      <c r="AK199" s="34">
        <f>IF(ISNUMBER(AJ199),N199-AJ199,"")</f>
        <v/>
      </c>
      <c r="AL199" s="21">
        <f>IF(ISNUMBER(AJ199),IF(AJ199&gt;0,AK199/AJ199,""),"")</f>
        <v/>
      </c>
      <c r="AM199" s="31">
        <f>IF(AY199&lt;&gt;1,"",IFERROR(IF(INDEX('分群統計'!$K$5:$K$8,MATCH(X199,'分群統計'!$A$5:$A$8,0))&lt;3,"",IF(INDEX('分群統計'!$M$5:$M$8,MATCH(X199,'分群統計'!$A$5:$A$8,0))&gt;0,MAX(-3,MIN(3,(AX199-INDEX('分群統計'!$L$5:$L$8,MATCH(X199,'分群統計'!$A$5:$A$8,0)))/INDEX('分群統計'!$M$5:$M$8,MATCH(X199,'分群統計'!$A$5:$A$8,0)))),0)),""))</f>
        <v/>
      </c>
      <c r="AN199" s="31">
        <f>IF(ISNUMBER(AB199),IF(Z199&gt;0,AB199/Z199*100,""),"")</f>
        <v/>
      </c>
      <c r="AO199" s="31">
        <f>IF(BA199&lt;&gt;1,"",IFERROR(IF(INDEX('分群統計'!$N$5:$N$8,MATCH(X199,'分群統計'!$A$5:$A$8,0))&lt;3,"",IF(INDEX('分群統計'!$P$5:$P$8,MATCH(X199,'分群統計'!$A$5:$A$8,0))&gt;0,MAX(-3,MIN(3,(AZ199-INDEX('分群統計'!$O$5:$O$8,MATCH(X199,'分群統計'!$A$5:$A$8,0)))/INDEX('分群統計'!$P$5:$P$8,MATCH(X199,'分群統計'!$A$5:$A$8,0)))),0)),""))</f>
        <v/>
      </c>
      <c r="AP199" s="31">
        <f>IF(BC199&lt;&gt;1,"",IFERROR(IF(INDEX('分群統計'!$Q$5:$Q$8,MATCH(X199,'分群統計'!$A$5:$A$8,0))&lt;3,"",IF(INDEX('分群統計'!$S$5:$S$8,MATCH(X199,'分群統計'!$A$5:$A$8,0))&gt;0,MAX(-3,MIN(3,(BB199-INDEX('分群統計'!$R$5:$R$8,MATCH(X199,'分群統計'!$A$5:$A$8,0)))/INDEX('分群統計'!$S$5:$S$8,MATCH(X199,'分群統計'!$A$5:$A$8,0)))),0)),""))</f>
        <v/>
      </c>
      <c r="AQ199" s="31">
        <f>IF(Y199=1,(IF(ISNUMBER(AF199),AF199,0)*'參數'!$B$13+IF(ISNUMBER(AM199),AM199,0)*'參數'!$B$14+IF(ISNUMBER(AO199),AO199,0)*'參數'!$B$15+IF(ISNUMBER(AP199),AP199,0)*'參數'!$B$16)/('參數'!$B$13+'參數'!$B$14+'參數'!$B$15+'參數'!$B$16),"")</f>
        <v/>
      </c>
      <c r="AR199" s="35">
        <f>IF(Y199=1,(SUMPRODUCT(($X$5:$X$404=X199)*($Y$5:$Y$404=1)*($BD$5:$BD$404&gt;BD199))+1)/COUNTIFS($X$5:$X$404,X199,$Y$5:$Y$404,1),"")</f>
        <v/>
      </c>
      <c r="AS199" s="8">
        <f>IF(ISNUMBER(AR199),IF(AR199&lt;='參數'!$B$18,"加碼候選",IF(AR199&gt;'參數'!$B$19,"減碼候選","")),"")</f>
        <v/>
      </c>
      <c r="AT199" s="7">
        <f>IF(Y199=1,N199,0)</f>
        <v/>
      </c>
      <c r="AU199" s="7">
        <f>IF(Y199=1,LN(O199),0)</f>
        <v/>
      </c>
      <c r="AV199" s="36">
        <f>IF(Y199=1,IF(ISNUMBER(F199),F199,0),0)</f>
        <v/>
      </c>
      <c r="AW199" s="7">
        <f>IF(Y199=1,Z199,0)</f>
        <v/>
      </c>
      <c r="AX199" s="7">
        <f>IF(Y199=1,IF(ISNUMBER(AL199),AL199,0),0)</f>
        <v/>
      </c>
      <c r="AY199" s="7">
        <f>IF(Y199=1,IF(ISNUMBER(AL199),1,0),0)</f>
        <v/>
      </c>
      <c r="AZ199" s="7">
        <f>IF(Y199=1,IF(ISNUMBER(AN199),AN199,0),0)</f>
        <v/>
      </c>
      <c r="BA199" s="7">
        <f>IF(Y199=1,IF(ISNUMBER(AN199),1,0),0)</f>
        <v/>
      </c>
      <c r="BB199" s="7">
        <f>IF(Y199=1,IF(ISNUMBER(T199),T199,0),0)</f>
        <v/>
      </c>
      <c r="BC199" s="7">
        <f>IF(Y199=1,IF(ISNUMBER(T199),1,0),0)</f>
        <v/>
      </c>
      <c r="BD199" s="7">
        <f>IF(Y199=1,AQ199+ROW()/1E9,-1E9)</f>
        <v/>
      </c>
      <c r="BE199" s="7">
        <f>IF(Y199=1,AQ199+ROW()/1E9,1E9)</f>
        <v/>
      </c>
    </row>
    <row r="200">
      <c r="A200" s="16" t="n"/>
      <c r="B200" s="8">
        <f>IF($A200="","",BDP($A200,B$3))</f>
        <v/>
      </c>
      <c r="C200" s="8">
        <f>IF($A200="","",BDP($A200,C$3))</f>
        <v/>
      </c>
      <c r="D200" s="28">
        <f>IF($A200="","",BDP($A200,D$3))</f>
        <v/>
      </c>
      <c r="E200" s="29">
        <f>IF($A200="","",BDP($A200,E$3))</f>
        <v/>
      </c>
      <c r="F200" s="17">
        <f>IF($A200="","",BDP($A200,F$3))</f>
        <v/>
      </c>
      <c r="G200" s="8">
        <f>IF($A200="","",BDP($A200,G$3))</f>
        <v/>
      </c>
      <c r="H200" s="8">
        <f>IF($A200="","",BDP($A200,H$3))</f>
        <v/>
      </c>
      <c r="I200" s="8">
        <f>IF($A200="","",BDP($A200,I$3))</f>
        <v/>
      </c>
      <c r="J200" s="8">
        <f>IF($A200="","",BDP($A200,J$3))</f>
        <v/>
      </c>
      <c r="K200" s="8">
        <f>IF($A200="","",BDP($A200,K$3))</f>
        <v/>
      </c>
      <c r="L200" s="28">
        <f>IF($A200="","",BDP($A200,L$3))</f>
        <v/>
      </c>
      <c r="M200" s="28">
        <f>IF($A200="","",BDP($A200,M$3))</f>
        <v/>
      </c>
      <c r="N200" s="30">
        <f>IF($A200="","",BDP($A200,N$3))</f>
        <v/>
      </c>
      <c r="O200" s="31">
        <f>IF($A200="","",BDP($A200,O$3))</f>
        <v/>
      </c>
      <c r="P200" s="30">
        <f>IF($A200="","",BDH($A200,$N$3,'參數'!$B$5,'參數'!$B$5,"Days=A","Fill=P","Dates=H"))</f>
        <v/>
      </c>
      <c r="Q200" s="30">
        <f>IF($A200="","",BDH($A200,$N$3,'參數'!$B$6,'參數'!$B$6,"Days=A","Fill=P","Dates=H"))</f>
        <v/>
      </c>
      <c r="R200" s="30">
        <f>IF($A200="","",BDH($A200,$N$3,'參數'!$B$7,'參數'!$B$7,"Days=A","Fill=P","Dates=H"))</f>
        <v/>
      </c>
      <c r="S200" s="32">
        <f>IF($A200="","",IFERROR(INDEX('發行人'!$A$5:$A$44,MATCH(B200,'發行人'!$D$5:$D$44,0)),"未對應"))</f>
        <v/>
      </c>
      <c r="T200" s="24">
        <f>IF($A200="","",IFERROR(INDEX('發行人'!$G$5:$G$44,MATCH(B200,'發行人'!$D$5:$D$44,0))+0,""))</f>
        <v/>
      </c>
      <c r="U200" s="18">
        <f>IF(ISNUMBER(E200),YEARFRAC('參數'!$B$4,E200),"")</f>
        <v/>
      </c>
      <c r="V200" s="8">
        <f>IF(U200="","",IF(U200&lt;3,"1-3y",IF(U200&lt;5,"3-5y",IF(U200&lt;7,"5-7y",IF(U200&lt;10,"7-10y","10y+")))))</f>
        <v/>
      </c>
      <c r="W200" s="30">
        <f>IF($A200="","",IFERROR(INDEX('參數'!$B$24:$B$45,MATCH(G200,'參數'!$A$24:$A$45,0)),""))</f>
        <v/>
      </c>
      <c r="X200" s="8">
        <f>IF($A200="","",IFERROR(INDEX('參數'!$C$24:$C$45,MATCH(G200,'參數'!$A$24:$A$45,0)),""))</f>
        <v/>
      </c>
      <c r="Y200" s="30">
        <f>IF(AND(ISNUMBER(N200),ISNUMBER(O200),ISNUMBER(U200)),IF(AND(O200&gt;0,X200&lt;&gt;""),1,0),0)</f>
        <v/>
      </c>
      <c r="Z200" s="17">
        <f>IF(Y200=1,O200*N200,"")</f>
        <v/>
      </c>
      <c r="AA200" s="33">
        <f>IF(Y200=1,IF(ISNUMBER(Q200),N200-Q200,""),"")</f>
        <v/>
      </c>
      <c r="AB200" s="33">
        <f>IF(Y200=1,IF(AND(ISNUMBER(P200),ISNUMBER(R200)),R200*5/12-O200*(P200-R200),""),"")</f>
        <v/>
      </c>
      <c r="AC200" s="30">
        <f>IF(Y200=1,COUNTIFS($X$5:$X$404,X200,$V$5:$V$404,V200,$Y$5:$Y$404,1),"")</f>
        <v/>
      </c>
      <c r="AD200" s="30">
        <f>IF(Y200=1,IFERROR(IF(AC200&gt;='參數'!$B$9,INDEX('分群統計'!$G$13:$K$16,MATCH(X200,'分群統計'!$A$13:$A$16,0),MATCH(V200,'分群統計'!$G$12:$K$12,0)),INDEX('分群統計'!$I$5:$I$8,MATCH(X200,'分群統計'!$A$5:$A$8,0))),""),"")</f>
        <v/>
      </c>
      <c r="AE200" s="18">
        <f>IF(Y200=1,IFERROR(IF(AC200&gt;='參數'!$B$9,INDEX('分群統計'!$L$13:$P$16,MATCH(X200,'分群統計'!$A$13:$A$16,0),MATCH(V200,'分群統計'!$L$12:$P$12,0)),INDEX('分群統計'!$J$5:$J$8,MATCH(X200,'分群統計'!$A$5:$A$8,0))),""),"")</f>
        <v/>
      </c>
      <c r="AF200" s="31">
        <f>IF(ISNUMBER(AE200),IF(AE200&gt;0,MAX(-3,MIN(3,(N200-AD200)/AE200)),0),"")</f>
        <v/>
      </c>
      <c r="AG200" s="30">
        <f>IF(Y200=1,COUNTIFS($B$5:$B$404,B200,$Y$5:$Y$404,1),"")</f>
        <v/>
      </c>
      <c r="AH200" s="30">
        <f>IF(Y200=1,IFERROR(IF(ISNUMBER(INDEX('分群統計'!$G$20:$G$59,MATCH(B200,'分群統計'!$A$20:$A$59,0))),INDEX('分群統計'!$H$20:$H$59,MATCH(B200,'分群統計'!$A$20:$A$59,0))+INDEX('分群統計'!$G$20:$G$59,MATCH(B200,'分群統計'!$A$20:$A$59,0))*AU200,""),""),"")</f>
        <v/>
      </c>
      <c r="AI200" s="34">
        <f>IF(ISNUMBER(AH200),N200-AH200,"")</f>
        <v/>
      </c>
      <c r="AJ200" s="30">
        <f>IF(Y200=1,IFERROR(IF(ISNUMBER(INDEX('分群統計'!$G$5:$G$8,MATCH(X200,'分群統計'!$A$5:$A$8,0))),INDEX('分群統計'!$H$5:$H$8,MATCH(X200,'分群統計'!$A$5:$A$8,0))+INDEX('分群統計'!$G$5:$G$8,MATCH(X200,'分群統計'!$A$5:$A$8,0))*AU200,""),""),"")</f>
        <v/>
      </c>
      <c r="AK200" s="34">
        <f>IF(ISNUMBER(AJ200),N200-AJ200,"")</f>
        <v/>
      </c>
      <c r="AL200" s="21">
        <f>IF(ISNUMBER(AJ200),IF(AJ200&gt;0,AK200/AJ200,""),"")</f>
        <v/>
      </c>
      <c r="AM200" s="31">
        <f>IF(AY200&lt;&gt;1,"",IFERROR(IF(INDEX('分群統計'!$K$5:$K$8,MATCH(X200,'分群統計'!$A$5:$A$8,0))&lt;3,"",IF(INDEX('分群統計'!$M$5:$M$8,MATCH(X200,'分群統計'!$A$5:$A$8,0))&gt;0,MAX(-3,MIN(3,(AX200-INDEX('分群統計'!$L$5:$L$8,MATCH(X200,'分群統計'!$A$5:$A$8,0)))/INDEX('分群統計'!$M$5:$M$8,MATCH(X200,'分群統計'!$A$5:$A$8,0)))),0)),""))</f>
        <v/>
      </c>
      <c r="AN200" s="31">
        <f>IF(ISNUMBER(AB200),IF(Z200&gt;0,AB200/Z200*100,""),"")</f>
        <v/>
      </c>
      <c r="AO200" s="31">
        <f>IF(BA200&lt;&gt;1,"",IFERROR(IF(INDEX('分群統計'!$N$5:$N$8,MATCH(X200,'分群統計'!$A$5:$A$8,0))&lt;3,"",IF(INDEX('分群統計'!$P$5:$P$8,MATCH(X200,'分群統計'!$A$5:$A$8,0))&gt;0,MAX(-3,MIN(3,(AZ200-INDEX('分群統計'!$O$5:$O$8,MATCH(X200,'分群統計'!$A$5:$A$8,0)))/INDEX('分群統計'!$P$5:$P$8,MATCH(X200,'分群統計'!$A$5:$A$8,0)))),0)),""))</f>
        <v/>
      </c>
      <c r="AP200" s="31">
        <f>IF(BC200&lt;&gt;1,"",IFERROR(IF(INDEX('分群統計'!$Q$5:$Q$8,MATCH(X200,'分群統計'!$A$5:$A$8,0))&lt;3,"",IF(INDEX('分群統計'!$S$5:$S$8,MATCH(X200,'分群統計'!$A$5:$A$8,0))&gt;0,MAX(-3,MIN(3,(BB200-INDEX('分群統計'!$R$5:$R$8,MATCH(X200,'分群統計'!$A$5:$A$8,0)))/INDEX('分群統計'!$S$5:$S$8,MATCH(X200,'分群統計'!$A$5:$A$8,0)))),0)),""))</f>
        <v/>
      </c>
      <c r="AQ200" s="31">
        <f>IF(Y200=1,(IF(ISNUMBER(AF200),AF200,0)*'參數'!$B$13+IF(ISNUMBER(AM200),AM200,0)*'參數'!$B$14+IF(ISNUMBER(AO200),AO200,0)*'參數'!$B$15+IF(ISNUMBER(AP200),AP200,0)*'參數'!$B$16)/('參數'!$B$13+'參數'!$B$14+'參數'!$B$15+'參數'!$B$16),"")</f>
        <v/>
      </c>
      <c r="AR200" s="35">
        <f>IF(Y200=1,(SUMPRODUCT(($X$5:$X$404=X200)*($Y$5:$Y$404=1)*($BD$5:$BD$404&gt;BD200))+1)/COUNTIFS($X$5:$X$404,X200,$Y$5:$Y$404,1),"")</f>
        <v/>
      </c>
      <c r="AS200" s="8">
        <f>IF(ISNUMBER(AR200),IF(AR200&lt;='參數'!$B$18,"加碼候選",IF(AR200&gt;'參數'!$B$19,"減碼候選","")),"")</f>
        <v/>
      </c>
      <c r="AT200" s="7">
        <f>IF(Y200=1,N200,0)</f>
        <v/>
      </c>
      <c r="AU200" s="7">
        <f>IF(Y200=1,LN(O200),0)</f>
        <v/>
      </c>
      <c r="AV200" s="36">
        <f>IF(Y200=1,IF(ISNUMBER(F200),F200,0),0)</f>
        <v/>
      </c>
      <c r="AW200" s="7">
        <f>IF(Y200=1,Z200,0)</f>
        <v/>
      </c>
      <c r="AX200" s="7">
        <f>IF(Y200=1,IF(ISNUMBER(AL200),AL200,0),0)</f>
        <v/>
      </c>
      <c r="AY200" s="7">
        <f>IF(Y200=1,IF(ISNUMBER(AL200),1,0),0)</f>
        <v/>
      </c>
      <c r="AZ200" s="7">
        <f>IF(Y200=1,IF(ISNUMBER(AN200),AN200,0),0)</f>
        <v/>
      </c>
      <c r="BA200" s="7">
        <f>IF(Y200=1,IF(ISNUMBER(AN200),1,0),0)</f>
        <v/>
      </c>
      <c r="BB200" s="7">
        <f>IF(Y200=1,IF(ISNUMBER(T200),T200,0),0)</f>
        <v/>
      </c>
      <c r="BC200" s="7">
        <f>IF(Y200=1,IF(ISNUMBER(T200),1,0),0)</f>
        <v/>
      </c>
      <c r="BD200" s="7">
        <f>IF(Y200=1,AQ200+ROW()/1E9,-1E9)</f>
        <v/>
      </c>
      <c r="BE200" s="7">
        <f>IF(Y200=1,AQ200+ROW()/1E9,1E9)</f>
        <v/>
      </c>
    </row>
    <row r="201">
      <c r="A201" s="16" t="n"/>
      <c r="B201" s="8">
        <f>IF($A201="","",BDP($A201,B$3))</f>
        <v/>
      </c>
      <c r="C201" s="8">
        <f>IF($A201="","",BDP($A201,C$3))</f>
        <v/>
      </c>
      <c r="D201" s="28">
        <f>IF($A201="","",BDP($A201,D$3))</f>
        <v/>
      </c>
      <c r="E201" s="29">
        <f>IF($A201="","",BDP($A201,E$3))</f>
        <v/>
      </c>
      <c r="F201" s="17">
        <f>IF($A201="","",BDP($A201,F$3))</f>
        <v/>
      </c>
      <c r="G201" s="8">
        <f>IF($A201="","",BDP($A201,G$3))</f>
        <v/>
      </c>
      <c r="H201" s="8">
        <f>IF($A201="","",BDP($A201,H$3))</f>
        <v/>
      </c>
      <c r="I201" s="8">
        <f>IF($A201="","",BDP($A201,I$3))</f>
        <v/>
      </c>
      <c r="J201" s="8">
        <f>IF($A201="","",BDP($A201,J$3))</f>
        <v/>
      </c>
      <c r="K201" s="8">
        <f>IF($A201="","",BDP($A201,K$3))</f>
        <v/>
      </c>
      <c r="L201" s="28">
        <f>IF($A201="","",BDP($A201,L$3))</f>
        <v/>
      </c>
      <c r="M201" s="28">
        <f>IF($A201="","",BDP($A201,M$3))</f>
        <v/>
      </c>
      <c r="N201" s="30">
        <f>IF($A201="","",BDP($A201,N$3))</f>
        <v/>
      </c>
      <c r="O201" s="31">
        <f>IF($A201="","",BDP($A201,O$3))</f>
        <v/>
      </c>
      <c r="P201" s="30">
        <f>IF($A201="","",BDH($A201,$N$3,'參數'!$B$5,'參數'!$B$5,"Days=A","Fill=P","Dates=H"))</f>
        <v/>
      </c>
      <c r="Q201" s="30">
        <f>IF($A201="","",BDH($A201,$N$3,'參數'!$B$6,'參數'!$B$6,"Days=A","Fill=P","Dates=H"))</f>
        <v/>
      </c>
      <c r="R201" s="30">
        <f>IF($A201="","",BDH($A201,$N$3,'參數'!$B$7,'參數'!$B$7,"Days=A","Fill=P","Dates=H"))</f>
        <v/>
      </c>
      <c r="S201" s="32">
        <f>IF($A201="","",IFERROR(INDEX('發行人'!$A$5:$A$44,MATCH(B201,'發行人'!$D$5:$D$44,0)),"未對應"))</f>
        <v/>
      </c>
      <c r="T201" s="24">
        <f>IF($A201="","",IFERROR(INDEX('發行人'!$G$5:$G$44,MATCH(B201,'發行人'!$D$5:$D$44,0))+0,""))</f>
        <v/>
      </c>
      <c r="U201" s="18">
        <f>IF(ISNUMBER(E201),YEARFRAC('參數'!$B$4,E201),"")</f>
        <v/>
      </c>
      <c r="V201" s="8">
        <f>IF(U201="","",IF(U201&lt;3,"1-3y",IF(U201&lt;5,"3-5y",IF(U201&lt;7,"5-7y",IF(U201&lt;10,"7-10y","10y+")))))</f>
        <v/>
      </c>
      <c r="W201" s="30">
        <f>IF($A201="","",IFERROR(INDEX('參數'!$B$24:$B$45,MATCH(G201,'參數'!$A$24:$A$45,0)),""))</f>
        <v/>
      </c>
      <c r="X201" s="8">
        <f>IF($A201="","",IFERROR(INDEX('參數'!$C$24:$C$45,MATCH(G201,'參數'!$A$24:$A$45,0)),""))</f>
        <v/>
      </c>
      <c r="Y201" s="30">
        <f>IF(AND(ISNUMBER(N201),ISNUMBER(O201),ISNUMBER(U201)),IF(AND(O201&gt;0,X201&lt;&gt;""),1,0),0)</f>
        <v/>
      </c>
      <c r="Z201" s="17">
        <f>IF(Y201=1,O201*N201,"")</f>
        <v/>
      </c>
      <c r="AA201" s="33">
        <f>IF(Y201=1,IF(ISNUMBER(Q201),N201-Q201,""),"")</f>
        <v/>
      </c>
      <c r="AB201" s="33">
        <f>IF(Y201=1,IF(AND(ISNUMBER(P201),ISNUMBER(R201)),R201*5/12-O201*(P201-R201),""),"")</f>
        <v/>
      </c>
      <c r="AC201" s="30">
        <f>IF(Y201=1,COUNTIFS($X$5:$X$404,X201,$V$5:$V$404,V201,$Y$5:$Y$404,1),"")</f>
        <v/>
      </c>
      <c r="AD201" s="30">
        <f>IF(Y201=1,IFERROR(IF(AC201&gt;='參數'!$B$9,INDEX('分群統計'!$G$13:$K$16,MATCH(X201,'分群統計'!$A$13:$A$16,0),MATCH(V201,'分群統計'!$G$12:$K$12,0)),INDEX('分群統計'!$I$5:$I$8,MATCH(X201,'分群統計'!$A$5:$A$8,0))),""),"")</f>
        <v/>
      </c>
      <c r="AE201" s="18">
        <f>IF(Y201=1,IFERROR(IF(AC201&gt;='參數'!$B$9,INDEX('分群統計'!$L$13:$P$16,MATCH(X201,'分群統計'!$A$13:$A$16,0),MATCH(V201,'分群統計'!$L$12:$P$12,0)),INDEX('分群統計'!$J$5:$J$8,MATCH(X201,'分群統計'!$A$5:$A$8,0))),""),"")</f>
        <v/>
      </c>
      <c r="AF201" s="31">
        <f>IF(ISNUMBER(AE201),IF(AE201&gt;0,MAX(-3,MIN(3,(N201-AD201)/AE201)),0),"")</f>
        <v/>
      </c>
      <c r="AG201" s="30">
        <f>IF(Y201=1,COUNTIFS($B$5:$B$404,B201,$Y$5:$Y$404,1),"")</f>
        <v/>
      </c>
      <c r="AH201" s="30">
        <f>IF(Y201=1,IFERROR(IF(ISNUMBER(INDEX('分群統計'!$G$20:$G$59,MATCH(B201,'分群統計'!$A$20:$A$59,0))),INDEX('分群統計'!$H$20:$H$59,MATCH(B201,'分群統計'!$A$20:$A$59,0))+INDEX('分群統計'!$G$20:$G$59,MATCH(B201,'分群統計'!$A$20:$A$59,0))*AU201,""),""),"")</f>
        <v/>
      </c>
      <c r="AI201" s="34">
        <f>IF(ISNUMBER(AH201),N201-AH201,"")</f>
        <v/>
      </c>
      <c r="AJ201" s="30">
        <f>IF(Y201=1,IFERROR(IF(ISNUMBER(INDEX('分群統計'!$G$5:$G$8,MATCH(X201,'分群統計'!$A$5:$A$8,0))),INDEX('分群統計'!$H$5:$H$8,MATCH(X201,'分群統計'!$A$5:$A$8,0))+INDEX('分群統計'!$G$5:$G$8,MATCH(X201,'分群統計'!$A$5:$A$8,0))*AU201,""),""),"")</f>
        <v/>
      </c>
      <c r="AK201" s="34">
        <f>IF(ISNUMBER(AJ201),N201-AJ201,"")</f>
        <v/>
      </c>
      <c r="AL201" s="21">
        <f>IF(ISNUMBER(AJ201),IF(AJ201&gt;0,AK201/AJ201,""),"")</f>
        <v/>
      </c>
      <c r="AM201" s="31">
        <f>IF(AY201&lt;&gt;1,"",IFERROR(IF(INDEX('分群統計'!$K$5:$K$8,MATCH(X201,'分群統計'!$A$5:$A$8,0))&lt;3,"",IF(INDEX('分群統計'!$M$5:$M$8,MATCH(X201,'分群統計'!$A$5:$A$8,0))&gt;0,MAX(-3,MIN(3,(AX201-INDEX('分群統計'!$L$5:$L$8,MATCH(X201,'分群統計'!$A$5:$A$8,0)))/INDEX('分群統計'!$M$5:$M$8,MATCH(X201,'分群統計'!$A$5:$A$8,0)))),0)),""))</f>
        <v/>
      </c>
      <c r="AN201" s="31">
        <f>IF(ISNUMBER(AB201),IF(Z201&gt;0,AB201/Z201*100,""),"")</f>
        <v/>
      </c>
      <c r="AO201" s="31">
        <f>IF(BA201&lt;&gt;1,"",IFERROR(IF(INDEX('分群統計'!$N$5:$N$8,MATCH(X201,'分群統計'!$A$5:$A$8,0))&lt;3,"",IF(INDEX('分群統計'!$P$5:$P$8,MATCH(X201,'分群統計'!$A$5:$A$8,0))&gt;0,MAX(-3,MIN(3,(AZ201-INDEX('分群統計'!$O$5:$O$8,MATCH(X201,'分群統計'!$A$5:$A$8,0)))/INDEX('分群統計'!$P$5:$P$8,MATCH(X201,'分群統計'!$A$5:$A$8,0)))),0)),""))</f>
        <v/>
      </c>
      <c r="AP201" s="31">
        <f>IF(BC201&lt;&gt;1,"",IFERROR(IF(INDEX('分群統計'!$Q$5:$Q$8,MATCH(X201,'分群統計'!$A$5:$A$8,0))&lt;3,"",IF(INDEX('分群統計'!$S$5:$S$8,MATCH(X201,'分群統計'!$A$5:$A$8,0))&gt;0,MAX(-3,MIN(3,(BB201-INDEX('分群統計'!$R$5:$R$8,MATCH(X201,'分群統計'!$A$5:$A$8,0)))/INDEX('分群統計'!$S$5:$S$8,MATCH(X201,'分群統計'!$A$5:$A$8,0)))),0)),""))</f>
        <v/>
      </c>
      <c r="AQ201" s="31">
        <f>IF(Y201=1,(IF(ISNUMBER(AF201),AF201,0)*'參數'!$B$13+IF(ISNUMBER(AM201),AM201,0)*'參數'!$B$14+IF(ISNUMBER(AO201),AO201,0)*'參數'!$B$15+IF(ISNUMBER(AP201),AP201,0)*'參數'!$B$16)/('參數'!$B$13+'參數'!$B$14+'參數'!$B$15+'參數'!$B$16),"")</f>
        <v/>
      </c>
      <c r="AR201" s="35">
        <f>IF(Y201=1,(SUMPRODUCT(($X$5:$X$404=X201)*($Y$5:$Y$404=1)*($BD$5:$BD$404&gt;BD201))+1)/COUNTIFS($X$5:$X$404,X201,$Y$5:$Y$404,1),"")</f>
        <v/>
      </c>
      <c r="AS201" s="8">
        <f>IF(ISNUMBER(AR201),IF(AR201&lt;='參數'!$B$18,"加碼候選",IF(AR201&gt;'參數'!$B$19,"減碼候選","")),"")</f>
        <v/>
      </c>
      <c r="AT201" s="7">
        <f>IF(Y201=1,N201,0)</f>
        <v/>
      </c>
      <c r="AU201" s="7">
        <f>IF(Y201=1,LN(O201),0)</f>
        <v/>
      </c>
      <c r="AV201" s="36">
        <f>IF(Y201=1,IF(ISNUMBER(F201),F201,0),0)</f>
        <v/>
      </c>
      <c r="AW201" s="7">
        <f>IF(Y201=1,Z201,0)</f>
        <v/>
      </c>
      <c r="AX201" s="7">
        <f>IF(Y201=1,IF(ISNUMBER(AL201),AL201,0),0)</f>
        <v/>
      </c>
      <c r="AY201" s="7">
        <f>IF(Y201=1,IF(ISNUMBER(AL201),1,0),0)</f>
        <v/>
      </c>
      <c r="AZ201" s="7">
        <f>IF(Y201=1,IF(ISNUMBER(AN201),AN201,0),0)</f>
        <v/>
      </c>
      <c r="BA201" s="7">
        <f>IF(Y201=1,IF(ISNUMBER(AN201),1,0),0)</f>
        <v/>
      </c>
      <c r="BB201" s="7">
        <f>IF(Y201=1,IF(ISNUMBER(T201),T201,0),0)</f>
        <v/>
      </c>
      <c r="BC201" s="7">
        <f>IF(Y201=1,IF(ISNUMBER(T201),1,0),0)</f>
        <v/>
      </c>
      <c r="BD201" s="7">
        <f>IF(Y201=1,AQ201+ROW()/1E9,-1E9)</f>
        <v/>
      </c>
      <c r="BE201" s="7">
        <f>IF(Y201=1,AQ201+ROW()/1E9,1E9)</f>
        <v/>
      </c>
    </row>
    <row r="202">
      <c r="A202" s="16" t="n"/>
      <c r="B202" s="8">
        <f>IF($A202="","",BDP($A202,B$3))</f>
        <v/>
      </c>
      <c r="C202" s="8">
        <f>IF($A202="","",BDP($A202,C$3))</f>
        <v/>
      </c>
      <c r="D202" s="28">
        <f>IF($A202="","",BDP($A202,D$3))</f>
        <v/>
      </c>
      <c r="E202" s="29">
        <f>IF($A202="","",BDP($A202,E$3))</f>
        <v/>
      </c>
      <c r="F202" s="17">
        <f>IF($A202="","",BDP($A202,F$3))</f>
        <v/>
      </c>
      <c r="G202" s="8">
        <f>IF($A202="","",BDP($A202,G$3))</f>
        <v/>
      </c>
      <c r="H202" s="8">
        <f>IF($A202="","",BDP($A202,H$3))</f>
        <v/>
      </c>
      <c r="I202" s="8">
        <f>IF($A202="","",BDP($A202,I$3))</f>
        <v/>
      </c>
      <c r="J202" s="8">
        <f>IF($A202="","",BDP($A202,J$3))</f>
        <v/>
      </c>
      <c r="K202" s="8">
        <f>IF($A202="","",BDP($A202,K$3))</f>
        <v/>
      </c>
      <c r="L202" s="28">
        <f>IF($A202="","",BDP($A202,L$3))</f>
        <v/>
      </c>
      <c r="M202" s="28">
        <f>IF($A202="","",BDP($A202,M$3))</f>
        <v/>
      </c>
      <c r="N202" s="30">
        <f>IF($A202="","",BDP($A202,N$3))</f>
        <v/>
      </c>
      <c r="O202" s="31">
        <f>IF($A202="","",BDP($A202,O$3))</f>
        <v/>
      </c>
      <c r="P202" s="30">
        <f>IF($A202="","",BDH($A202,$N$3,'參數'!$B$5,'參數'!$B$5,"Days=A","Fill=P","Dates=H"))</f>
        <v/>
      </c>
      <c r="Q202" s="30">
        <f>IF($A202="","",BDH($A202,$N$3,'參數'!$B$6,'參數'!$B$6,"Days=A","Fill=P","Dates=H"))</f>
        <v/>
      </c>
      <c r="R202" s="30">
        <f>IF($A202="","",BDH($A202,$N$3,'參數'!$B$7,'參數'!$B$7,"Days=A","Fill=P","Dates=H"))</f>
        <v/>
      </c>
      <c r="S202" s="32">
        <f>IF($A202="","",IFERROR(INDEX('發行人'!$A$5:$A$44,MATCH(B202,'發行人'!$D$5:$D$44,0)),"未對應"))</f>
        <v/>
      </c>
      <c r="T202" s="24">
        <f>IF($A202="","",IFERROR(INDEX('發行人'!$G$5:$G$44,MATCH(B202,'發行人'!$D$5:$D$44,0))+0,""))</f>
        <v/>
      </c>
      <c r="U202" s="18">
        <f>IF(ISNUMBER(E202),YEARFRAC('參數'!$B$4,E202),"")</f>
        <v/>
      </c>
      <c r="V202" s="8">
        <f>IF(U202="","",IF(U202&lt;3,"1-3y",IF(U202&lt;5,"3-5y",IF(U202&lt;7,"5-7y",IF(U202&lt;10,"7-10y","10y+")))))</f>
        <v/>
      </c>
      <c r="W202" s="30">
        <f>IF($A202="","",IFERROR(INDEX('參數'!$B$24:$B$45,MATCH(G202,'參數'!$A$24:$A$45,0)),""))</f>
        <v/>
      </c>
      <c r="X202" s="8">
        <f>IF($A202="","",IFERROR(INDEX('參數'!$C$24:$C$45,MATCH(G202,'參數'!$A$24:$A$45,0)),""))</f>
        <v/>
      </c>
      <c r="Y202" s="30">
        <f>IF(AND(ISNUMBER(N202),ISNUMBER(O202),ISNUMBER(U202)),IF(AND(O202&gt;0,X202&lt;&gt;""),1,0),0)</f>
        <v/>
      </c>
      <c r="Z202" s="17">
        <f>IF(Y202=1,O202*N202,"")</f>
        <v/>
      </c>
      <c r="AA202" s="33">
        <f>IF(Y202=1,IF(ISNUMBER(Q202),N202-Q202,""),"")</f>
        <v/>
      </c>
      <c r="AB202" s="33">
        <f>IF(Y202=1,IF(AND(ISNUMBER(P202),ISNUMBER(R202)),R202*5/12-O202*(P202-R202),""),"")</f>
        <v/>
      </c>
      <c r="AC202" s="30">
        <f>IF(Y202=1,COUNTIFS($X$5:$X$404,X202,$V$5:$V$404,V202,$Y$5:$Y$404,1),"")</f>
        <v/>
      </c>
      <c r="AD202" s="30">
        <f>IF(Y202=1,IFERROR(IF(AC202&gt;='參數'!$B$9,INDEX('分群統計'!$G$13:$K$16,MATCH(X202,'分群統計'!$A$13:$A$16,0),MATCH(V202,'分群統計'!$G$12:$K$12,0)),INDEX('分群統計'!$I$5:$I$8,MATCH(X202,'分群統計'!$A$5:$A$8,0))),""),"")</f>
        <v/>
      </c>
      <c r="AE202" s="18">
        <f>IF(Y202=1,IFERROR(IF(AC202&gt;='參數'!$B$9,INDEX('分群統計'!$L$13:$P$16,MATCH(X202,'分群統計'!$A$13:$A$16,0),MATCH(V202,'分群統計'!$L$12:$P$12,0)),INDEX('分群統計'!$J$5:$J$8,MATCH(X202,'分群統計'!$A$5:$A$8,0))),""),"")</f>
        <v/>
      </c>
      <c r="AF202" s="31">
        <f>IF(ISNUMBER(AE202),IF(AE202&gt;0,MAX(-3,MIN(3,(N202-AD202)/AE202)),0),"")</f>
        <v/>
      </c>
      <c r="AG202" s="30">
        <f>IF(Y202=1,COUNTIFS($B$5:$B$404,B202,$Y$5:$Y$404,1),"")</f>
        <v/>
      </c>
      <c r="AH202" s="30">
        <f>IF(Y202=1,IFERROR(IF(ISNUMBER(INDEX('分群統計'!$G$20:$G$59,MATCH(B202,'分群統計'!$A$20:$A$59,0))),INDEX('分群統計'!$H$20:$H$59,MATCH(B202,'分群統計'!$A$20:$A$59,0))+INDEX('分群統計'!$G$20:$G$59,MATCH(B202,'分群統計'!$A$20:$A$59,0))*AU202,""),""),"")</f>
        <v/>
      </c>
      <c r="AI202" s="34">
        <f>IF(ISNUMBER(AH202),N202-AH202,"")</f>
        <v/>
      </c>
      <c r="AJ202" s="30">
        <f>IF(Y202=1,IFERROR(IF(ISNUMBER(INDEX('分群統計'!$G$5:$G$8,MATCH(X202,'分群統計'!$A$5:$A$8,0))),INDEX('分群統計'!$H$5:$H$8,MATCH(X202,'分群統計'!$A$5:$A$8,0))+INDEX('分群統計'!$G$5:$G$8,MATCH(X202,'分群統計'!$A$5:$A$8,0))*AU202,""),""),"")</f>
        <v/>
      </c>
      <c r="AK202" s="34">
        <f>IF(ISNUMBER(AJ202),N202-AJ202,"")</f>
        <v/>
      </c>
      <c r="AL202" s="21">
        <f>IF(ISNUMBER(AJ202),IF(AJ202&gt;0,AK202/AJ202,""),"")</f>
        <v/>
      </c>
      <c r="AM202" s="31">
        <f>IF(AY202&lt;&gt;1,"",IFERROR(IF(INDEX('分群統計'!$K$5:$K$8,MATCH(X202,'分群統計'!$A$5:$A$8,0))&lt;3,"",IF(INDEX('分群統計'!$M$5:$M$8,MATCH(X202,'分群統計'!$A$5:$A$8,0))&gt;0,MAX(-3,MIN(3,(AX202-INDEX('分群統計'!$L$5:$L$8,MATCH(X202,'分群統計'!$A$5:$A$8,0)))/INDEX('分群統計'!$M$5:$M$8,MATCH(X202,'分群統計'!$A$5:$A$8,0)))),0)),""))</f>
        <v/>
      </c>
      <c r="AN202" s="31">
        <f>IF(ISNUMBER(AB202),IF(Z202&gt;0,AB202/Z202*100,""),"")</f>
        <v/>
      </c>
      <c r="AO202" s="31">
        <f>IF(BA202&lt;&gt;1,"",IFERROR(IF(INDEX('分群統計'!$N$5:$N$8,MATCH(X202,'分群統計'!$A$5:$A$8,0))&lt;3,"",IF(INDEX('分群統計'!$P$5:$P$8,MATCH(X202,'分群統計'!$A$5:$A$8,0))&gt;0,MAX(-3,MIN(3,(AZ202-INDEX('分群統計'!$O$5:$O$8,MATCH(X202,'分群統計'!$A$5:$A$8,0)))/INDEX('分群統計'!$P$5:$P$8,MATCH(X202,'分群統計'!$A$5:$A$8,0)))),0)),""))</f>
        <v/>
      </c>
      <c r="AP202" s="31">
        <f>IF(BC202&lt;&gt;1,"",IFERROR(IF(INDEX('分群統計'!$Q$5:$Q$8,MATCH(X202,'分群統計'!$A$5:$A$8,0))&lt;3,"",IF(INDEX('分群統計'!$S$5:$S$8,MATCH(X202,'分群統計'!$A$5:$A$8,0))&gt;0,MAX(-3,MIN(3,(BB202-INDEX('分群統計'!$R$5:$R$8,MATCH(X202,'分群統計'!$A$5:$A$8,0)))/INDEX('分群統計'!$S$5:$S$8,MATCH(X202,'分群統計'!$A$5:$A$8,0)))),0)),""))</f>
        <v/>
      </c>
      <c r="AQ202" s="31">
        <f>IF(Y202=1,(IF(ISNUMBER(AF202),AF202,0)*'參數'!$B$13+IF(ISNUMBER(AM202),AM202,0)*'參數'!$B$14+IF(ISNUMBER(AO202),AO202,0)*'參數'!$B$15+IF(ISNUMBER(AP202),AP202,0)*'參數'!$B$16)/('參數'!$B$13+'參數'!$B$14+'參數'!$B$15+'參數'!$B$16),"")</f>
        <v/>
      </c>
      <c r="AR202" s="35">
        <f>IF(Y202=1,(SUMPRODUCT(($X$5:$X$404=X202)*($Y$5:$Y$404=1)*($BD$5:$BD$404&gt;BD202))+1)/COUNTIFS($X$5:$X$404,X202,$Y$5:$Y$404,1),"")</f>
        <v/>
      </c>
      <c r="AS202" s="8">
        <f>IF(ISNUMBER(AR202),IF(AR202&lt;='參數'!$B$18,"加碼候選",IF(AR202&gt;'參數'!$B$19,"減碼候選","")),"")</f>
        <v/>
      </c>
      <c r="AT202" s="7">
        <f>IF(Y202=1,N202,0)</f>
        <v/>
      </c>
      <c r="AU202" s="7">
        <f>IF(Y202=1,LN(O202),0)</f>
        <v/>
      </c>
      <c r="AV202" s="36">
        <f>IF(Y202=1,IF(ISNUMBER(F202),F202,0),0)</f>
        <v/>
      </c>
      <c r="AW202" s="7">
        <f>IF(Y202=1,Z202,0)</f>
        <v/>
      </c>
      <c r="AX202" s="7">
        <f>IF(Y202=1,IF(ISNUMBER(AL202),AL202,0),0)</f>
        <v/>
      </c>
      <c r="AY202" s="7">
        <f>IF(Y202=1,IF(ISNUMBER(AL202),1,0),0)</f>
        <v/>
      </c>
      <c r="AZ202" s="7">
        <f>IF(Y202=1,IF(ISNUMBER(AN202),AN202,0),0)</f>
        <v/>
      </c>
      <c r="BA202" s="7">
        <f>IF(Y202=1,IF(ISNUMBER(AN202),1,0),0)</f>
        <v/>
      </c>
      <c r="BB202" s="7">
        <f>IF(Y202=1,IF(ISNUMBER(T202),T202,0),0)</f>
        <v/>
      </c>
      <c r="BC202" s="7">
        <f>IF(Y202=1,IF(ISNUMBER(T202),1,0),0)</f>
        <v/>
      </c>
      <c r="BD202" s="7">
        <f>IF(Y202=1,AQ202+ROW()/1E9,-1E9)</f>
        <v/>
      </c>
      <c r="BE202" s="7">
        <f>IF(Y202=1,AQ202+ROW()/1E9,1E9)</f>
        <v/>
      </c>
    </row>
    <row r="203">
      <c r="A203" s="16" t="n"/>
      <c r="B203" s="8">
        <f>IF($A203="","",BDP($A203,B$3))</f>
        <v/>
      </c>
      <c r="C203" s="8">
        <f>IF($A203="","",BDP($A203,C$3))</f>
        <v/>
      </c>
      <c r="D203" s="28">
        <f>IF($A203="","",BDP($A203,D$3))</f>
        <v/>
      </c>
      <c r="E203" s="29">
        <f>IF($A203="","",BDP($A203,E$3))</f>
        <v/>
      </c>
      <c r="F203" s="17">
        <f>IF($A203="","",BDP($A203,F$3))</f>
        <v/>
      </c>
      <c r="G203" s="8">
        <f>IF($A203="","",BDP($A203,G$3))</f>
        <v/>
      </c>
      <c r="H203" s="8">
        <f>IF($A203="","",BDP($A203,H$3))</f>
        <v/>
      </c>
      <c r="I203" s="8">
        <f>IF($A203="","",BDP($A203,I$3))</f>
        <v/>
      </c>
      <c r="J203" s="8">
        <f>IF($A203="","",BDP($A203,J$3))</f>
        <v/>
      </c>
      <c r="K203" s="8">
        <f>IF($A203="","",BDP($A203,K$3))</f>
        <v/>
      </c>
      <c r="L203" s="28">
        <f>IF($A203="","",BDP($A203,L$3))</f>
        <v/>
      </c>
      <c r="M203" s="28">
        <f>IF($A203="","",BDP($A203,M$3))</f>
        <v/>
      </c>
      <c r="N203" s="30">
        <f>IF($A203="","",BDP($A203,N$3))</f>
        <v/>
      </c>
      <c r="O203" s="31">
        <f>IF($A203="","",BDP($A203,O$3))</f>
        <v/>
      </c>
      <c r="P203" s="30">
        <f>IF($A203="","",BDH($A203,$N$3,'參數'!$B$5,'參數'!$B$5,"Days=A","Fill=P","Dates=H"))</f>
        <v/>
      </c>
      <c r="Q203" s="30">
        <f>IF($A203="","",BDH($A203,$N$3,'參數'!$B$6,'參數'!$B$6,"Days=A","Fill=P","Dates=H"))</f>
        <v/>
      </c>
      <c r="R203" s="30">
        <f>IF($A203="","",BDH($A203,$N$3,'參數'!$B$7,'參數'!$B$7,"Days=A","Fill=P","Dates=H"))</f>
        <v/>
      </c>
      <c r="S203" s="32">
        <f>IF($A203="","",IFERROR(INDEX('發行人'!$A$5:$A$44,MATCH(B203,'發行人'!$D$5:$D$44,0)),"未對應"))</f>
        <v/>
      </c>
      <c r="T203" s="24">
        <f>IF($A203="","",IFERROR(INDEX('發行人'!$G$5:$G$44,MATCH(B203,'發行人'!$D$5:$D$44,0))+0,""))</f>
        <v/>
      </c>
      <c r="U203" s="18">
        <f>IF(ISNUMBER(E203),YEARFRAC('參數'!$B$4,E203),"")</f>
        <v/>
      </c>
      <c r="V203" s="8">
        <f>IF(U203="","",IF(U203&lt;3,"1-3y",IF(U203&lt;5,"3-5y",IF(U203&lt;7,"5-7y",IF(U203&lt;10,"7-10y","10y+")))))</f>
        <v/>
      </c>
      <c r="W203" s="30">
        <f>IF($A203="","",IFERROR(INDEX('參數'!$B$24:$B$45,MATCH(G203,'參數'!$A$24:$A$45,0)),""))</f>
        <v/>
      </c>
      <c r="X203" s="8">
        <f>IF($A203="","",IFERROR(INDEX('參數'!$C$24:$C$45,MATCH(G203,'參數'!$A$24:$A$45,0)),""))</f>
        <v/>
      </c>
      <c r="Y203" s="30">
        <f>IF(AND(ISNUMBER(N203),ISNUMBER(O203),ISNUMBER(U203)),IF(AND(O203&gt;0,X203&lt;&gt;""),1,0),0)</f>
        <v/>
      </c>
      <c r="Z203" s="17">
        <f>IF(Y203=1,O203*N203,"")</f>
        <v/>
      </c>
      <c r="AA203" s="33">
        <f>IF(Y203=1,IF(ISNUMBER(Q203),N203-Q203,""),"")</f>
        <v/>
      </c>
      <c r="AB203" s="33">
        <f>IF(Y203=1,IF(AND(ISNUMBER(P203),ISNUMBER(R203)),R203*5/12-O203*(P203-R203),""),"")</f>
        <v/>
      </c>
      <c r="AC203" s="30">
        <f>IF(Y203=1,COUNTIFS($X$5:$X$404,X203,$V$5:$V$404,V203,$Y$5:$Y$404,1),"")</f>
        <v/>
      </c>
      <c r="AD203" s="30">
        <f>IF(Y203=1,IFERROR(IF(AC203&gt;='參數'!$B$9,INDEX('分群統計'!$G$13:$K$16,MATCH(X203,'分群統計'!$A$13:$A$16,0),MATCH(V203,'分群統計'!$G$12:$K$12,0)),INDEX('分群統計'!$I$5:$I$8,MATCH(X203,'分群統計'!$A$5:$A$8,0))),""),"")</f>
        <v/>
      </c>
      <c r="AE203" s="18">
        <f>IF(Y203=1,IFERROR(IF(AC203&gt;='參數'!$B$9,INDEX('分群統計'!$L$13:$P$16,MATCH(X203,'分群統計'!$A$13:$A$16,0),MATCH(V203,'分群統計'!$L$12:$P$12,0)),INDEX('分群統計'!$J$5:$J$8,MATCH(X203,'分群統計'!$A$5:$A$8,0))),""),"")</f>
        <v/>
      </c>
      <c r="AF203" s="31">
        <f>IF(ISNUMBER(AE203),IF(AE203&gt;0,MAX(-3,MIN(3,(N203-AD203)/AE203)),0),"")</f>
        <v/>
      </c>
      <c r="AG203" s="30">
        <f>IF(Y203=1,COUNTIFS($B$5:$B$404,B203,$Y$5:$Y$404,1),"")</f>
        <v/>
      </c>
      <c r="AH203" s="30">
        <f>IF(Y203=1,IFERROR(IF(ISNUMBER(INDEX('分群統計'!$G$20:$G$59,MATCH(B203,'分群統計'!$A$20:$A$59,0))),INDEX('分群統計'!$H$20:$H$59,MATCH(B203,'分群統計'!$A$20:$A$59,0))+INDEX('分群統計'!$G$20:$G$59,MATCH(B203,'分群統計'!$A$20:$A$59,0))*AU203,""),""),"")</f>
        <v/>
      </c>
      <c r="AI203" s="34">
        <f>IF(ISNUMBER(AH203),N203-AH203,"")</f>
        <v/>
      </c>
      <c r="AJ203" s="30">
        <f>IF(Y203=1,IFERROR(IF(ISNUMBER(INDEX('分群統計'!$G$5:$G$8,MATCH(X203,'分群統計'!$A$5:$A$8,0))),INDEX('分群統計'!$H$5:$H$8,MATCH(X203,'分群統計'!$A$5:$A$8,0))+INDEX('分群統計'!$G$5:$G$8,MATCH(X203,'分群統計'!$A$5:$A$8,0))*AU203,""),""),"")</f>
        <v/>
      </c>
      <c r="AK203" s="34">
        <f>IF(ISNUMBER(AJ203),N203-AJ203,"")</f>
        <v/>
      </c>
      <c r="AL203" s="21">
        <f>IF(ISNUMBER(AJ203),IF(AJ203&gt;0,AK203/AJ203,""),"")</f>
        <v/>
      </c>
      <c r="AM203" s="31">
        <f>IF(AY203&lt;&gt;1,"",IFERROR(IF(INDEX('分群統計'!$K$5:$K$8,MATCH(X203,'分群統計'!$A$5:$A$8,0))&lt;3,"",IF(INDEX('分群統計'!$M$5:$M$8,MATCH(X203,'分群統計'!$A$5:$A$8,0))&gt;0,MAX(-3,MIN(3,(AX203-INDEX('分群統計'!$L$5:$L$8,MATCH(X203,'分群統計'!$A$5:$A$8,0)))/INDEX('分群統計'!$M$5:$M$8,MATCH(X203,'分群統計'!$A$5:$A$8,0)))),0)),""))</f>
        <v/>
      </c>
      <c r="AN203" s="31">
        <f>IF(ISNUMBER(AB203),IF(Z203&gt;0,AB203/Z203*100,""),"")</f>
        <v/>
      </c>
      <c r="AO203" s="31">
        <f>IF(BA203&lt;&gt;1,"",IFERROR(IF(INDEX('分群統計'!$N$5:$N$8,MATCH(X203,'分群統計'!$A$5:$A$8,0))&lt;3,"",IF(INDEX('分群統計'!$P$5:$P$8,MATCH(X203,'分群統計'!$A$5:$A$8,0))&gt;0,MAX(-3,MIN(3,(AZ203-INDEX('分群統計'!$O$5:$O$8,MATCH(X203,'分群統計'!$A$5:$A$8,0)))/INDEX('分群統計'!$P$5:$P$8,MATCH(X203,'分群統計'!$A$5:$A$8,0)))),0)),""))</f>
        <v/>
      </c>
      <c r="AP203" s="31">
        <f>IF(BC203&lt;&gt;1,"",IFERROR(IF(INDEX('分群統計'!$Q$5:$Q$8,MATCH(X203,'分群統計'!$A$5:$A$8,0))&lt;3,"",IF(INDEX('分群統計'!$S$5:$S$8,MATCH(X203,'分群統計'!$A$5:$A$8,0))&gt;0,MAX(-3,MIN(3,(BB203-INDEX('分群統計'!$R$5:$R$8,MATCH(X203,'分群統計'!$A$5:$A$8,0)))/INDEX('分群統計'!$S$5:$S$8,MATCH(X203,'分群統計'!$A$5:$A$8,0)))),0)),""))</f>
        <v/>
      </c>
      <c r="AQ203" s="31">
        <f>IF(Y203=1,(IF(ISNUMBER(AF203),AF203,0)*'參數'!$B$13+IF(ISNUMBER(AM203),AM203,0)*'參數'!$B$14+IF(ISNUMBER(AO203),AO203,0)*'參數'!$B$15+IF(ISNUMBER(AP203),AP203,0)*'參數'!$B$16)/('參數'!$B$13+'參數'!$B$14+'參數'!$B$15+'參數'!$B$16),"")</f>
        <v/>
      </c>
      <c r="AR203" s="35">
        <f>IF(Y203=1,(SUMPRODUCT(($X$5:$X$404=X203)*($Y$5:$Y$404=1)*($BD$5:$BD$404&gt;BD203))+1)/COUNTIFS($X$5:$X$404,X203,$Y$5:$Y$404,1),"")</f>
        <v/>
      </c>
      <c r="AS203" s="8">
        <f>IF(ISNUMBER(AR203),IF(AR203&lt;='參數'!$B$18,"加碼候選",IF(AR203&gt;'參數'!$B$19,"減碼候選","")),"")</f>
        <v/>
      </c>
      <c r="AT203" s="7">
        <f>IF(Y203=1,N203,0)</f>
        <v/>
      </c>
      <c r="AU203" s="7">
        <f>IF(Y203=1,LN(O203),0)</f>
        <v/>
      </c>
      <c r="AV203" s="36">
        <f>IF(Y203=1,IF(ISNUMBER(F203),F203,0),0)</f>
        <v/>
      </c>
      <c r="AW203" s="7">
        <f>IF(Y203=1,Z203,0)</f>
        <v/>
      </c>
      <c r="AX203" s="7">
        <f>IF(Y203=1,IF(ISNUMBER(AL203),AL203,0),0)</f>
        <v/>
      </c>
      <c r="AY203" s="7">
        <f>IF(Y203=1,IF(ISNUMBER(AL203),1,0),0)</f>
        <v/>
      </c>
      <c r="AZ203" s="7">
        <f>IF(Y203=1,IF(ISNUMBER(AN203),AN203,0),0)</f>
        <v/>
      </c>
      <c r="BA203" s="7">
        <f>IF(Y203=1,IF(ISNUMBER(AN203),1,0),0)</f>
        <v/>
      </c>
      <c r="BB203" s="7">
        <f>IF(Y203=1,IF(ISNUMBER(T203),T203,0),0)</f>
        <v/>
      </c>
      <c r="BC203" s="7">
        <f>IF(Y203=1,IF(ISNUMBER(T203),1,0),0)</f>
        <v/>
      </c>
      <c r="BD203" s="7">
        <f>IF(Y203=1,AQ203+ROW()/1E9,-1E9)</f>
        <v/>
      </c>
      <c r="BE203" s="7">
        <f>IF(Y203=1,AQ203+ROW()/1E9,1E9)</f>
        <v/>
      </c>
    </row>
    <row r="204">
      <c r="A204" s="16" t="n"/>
      <c r="B204" s="8">
        <f>IF($A204="","",BDP($A204,B$3))</f>
        <v/>
      </c>
      <c r="C204" s="8">
        <f>IF($A204="","",BDP($A204,C$3))</f>
        <v/>
      </c>
      <c r="D204" s="28">
        <f>IF($A204="","",BDP($A204,D$3))</f>
        <v/>
      </c>
      <c r="E204" s="29">
        <f>IF($A204="","",BDP($A204,E$3))</f>
        <v/>
      </c>
      <c r="F204" s="17">
        <f>IF($A204="","",BDP($A204,F$3))</f>
        <v/>
      </c>
      <c r="G204" s="8">
        <f>IF($A204="","",BDP($A204,G$3))</f>
        <v/>
      </c>
      <c r="H204" s="8">
        <f>IF($A204="","",BDP($A204,H$3))</f>
        <v/>
      </c>
      <c r="I204" s="8">
        <f>IF($A204="","",BDP($A204,I$3))</f>
        <v/>
      </c>
      <c r="J204" s="8">
        <f>IF($A204="","",BDP($A204,J$3))</f>
        <v/>
      </c>
      <c r="K204" s="8">
        <f>IF($A204="","",BDP($A204,K$3))</f>
        <v/>
      </c>
      <c r="L204" s="28">
        <f>IF($A204="","",BDP($A204,L$3))</f>
        <v/>
      </c>
      <c r="M204" s="28">
        <f>IF($A204="","",BDP($A204,M$3))</f>
        <v/>
      </c>
      <c r="N204" s="30">
        <f>IF($A204="","",BDP($A204,N$3))</f>
        <v/>
      </c>
      <c r="O204" s="31">
        <f>IF($A204="","",BDP($A204,O$3))</f>
        <v/>
      </c>
      <c r="P204" s="30">
        <f>IF($A204="","",BDH($A204,$N$3,'參數'!$B$5,'參數'!$B$5,"Days=A","Fill=P","Dates=H"))</f>
        <v/>
      </c>
      <c r="Q204" s="30">
        <f>IF($A204="","",BDH($A204,$N$3,'參數'!$B$6,'參數'!$B$6,"Days=A","Fill=P","Dates=H"))</f>
        <v/>
      </c>
      <c r="R204" s="30">
        <f>IF($A204="","",BDH($A204,$N$3,'參數'!$B$7,'參數'!$B$7,"Days=A","Fill=P","Dates=H"))</f>
        <v/>
      </c>
      <c r="S204" s="32">
        <f>IF($A204="","",IFERROR(INDEX('發行人'!$A$5:$A$44,MATCH(B204,'發行人'!$D$5:$D$44,0)),"未對應"))</f>
        <v/>
      </c>
      <c r="T204" s="24">
        <f>IF($A204="","",IFERROR(INDEX('發行人'!$G$5:$G$44,MATCH(B204,'發行人'!$D$5:$D$44,0))+0,""))</f>
        <v/>
      </c>
      <c r="U204" s="18">
        <f>IF(ISNUMBER(E204),YEARFRAC('參數'!$B$4,E204),"")</f>
        <v/>
      </c>
      <c r="V204" s="8">
        <f>IF(U204="","",IF(U204&lt;3,"1-3y",IF(U204&lt;5,"3-5y",IF(U204&lt;7,"5-7y",IF(U204&lt;10,"7-10y","10y+")))))</f>
        <v/>
      </c>
      <c r="W204" s="30">
        <f>IF($A204="","",IFERROR(INDEX('參數'!$B$24:$B$45,MATCH(G204,'參數'!$A$24:$A$45,0)),""))</f>
        <v/>
      </c>
      <c r="X204" s="8">
        <f>IF($A204="","",IFERROR(INDEX('參數'!$C$24:$C$45,MATCH(G204,'參數'!$A$24:$A$45,0)),""))</f>
        <v/>
      </c>
      <c r="Y204" s="30">
        <f>IF(AND(ISNUMBER(N204),ISNUMBER(O204),ISNUMBER(U204)),IF(AND(O204&gt;0,X204&lt;&gt;""),1,0),0)</f>
        <v/>
      </c>
      <c r="Z204" s="17">
        <f>IF(Y204=1,O204*N204,"")</f>
        <v/>
      </c>
      <c r="AA204" s="33">
        <f>IF(Y204=1,IF(ISNUMBER(Q204),N204-Q204,""),"")</f>
        <v/>
      </c>
      <c r="AB204" s="33">
        <f>IF(Y204=1,IF(AND(ISNUMBER(P204),ISNUMBER(R204)),R204*5/12-O204*(P204-R204),""),"")</f>
        <v/>
      </c>
      <c r="AC204" s="30">
        <f>IF(Y204=1,COUNTIFS($X$5:$X$404,X204,$V$5:$V$404,V204,$Y$5:$Y$404,1),"")</f>
        <v/>
      </c>
      <c r="AD204" s="30">
        <f>IF(Y204=1,IFERROR(IF(AC204&gt;='參數'!$B$9,INDEX('分群統計'!$G$13:$K$16,MATCH(X204,'分群統計'!$A$13:$A$16,0),MATCH(V204,'分群統計'!$G$12:$K$12,0)),INDEX('分群統計'!$I$5:$I$8,MATCH(X204,'分群統計'!$A$5:$A$8,0))),""),"")</f>
        <v/>
      </c>
      <c r="AE204" s="18">
        <f>IF(Y204=1,IFERROR(IF(AC204&gt;='參數'!$B$9,INDEX('分群統計'!$L$13:$P$16,MATCH(X204,'分群統計'!$A$13:$A$16,0),MATCH(V204,'分群統計'!$L$12:$P$12,0)),INDEX('分群統計'!$J$5:$J$8,MATCH(X204,'分群統計'!$A$5:$A$8,0))),""),"")</f>
        <v/>
      </c>
      <c r="AF204" s="31">
        <f>IF(ISNUMBER(AE204),IF(AE204&gt;0,MAX(-3,MIN(3,(N204-AD204)/AE204)),0),"")</f>
        <v/>
      </c>
      <c r="AG204" s="30">
        <f>IF(Y204=1,COUNTIFS($B$5:$B$404,B204,$Y$5:$Y$404,1),"")</f>
        <v/>
      </c>
      <c r="AH204" s="30">
        <f>IF(Y204=1,IFERROR(IF(ISNUMBER(INDEX('分群統計'!$G$20:$G$59,MATCH(B204,'分群統計'!$A$20:$A$59,0))),INDEX('分群統計'!$H$20:$H$59,MATCH(B204,'分群統計'!$A$20:$A$59,0))+INDEX('分群統計'!$G$20:$G$59,MATCH(B204,'分群統計'!$A$20:$A$59,0))*AU204,""),""),"")</f>
        <v/>
      </c>
      <c r="AI204" s="34">
        <f>IF(ISNUMBER(AH204),N204-AH204,"")</f>
        <v/>
      </c>
      <c r="AJ204" s="30">
        <f>IF(Y204=1,IFERROR(IF(ISNUMBER(INDEX('分群統計'!$G$5:$G$8,MATCH(X204,'分群統計'!$A$5:$A$8,0))),INDEX('分群統計'!$H$5:$H$8,MATCH(X204,'分群統計'!$A$5:$A$8,0))+INDEX('分群統計'!$G$5:$G$8,MATCH(X204,'分群統計'!$A$5:$A$8,0))*AU204,""),""),"")</f>
        <v/>
      </c>
      <c r="AK204" s="34">
        <f>IF(ISNUMBER(AJ204),N204-AJ204,"")</f>
        <v/>
      </c>
      <c r="AL204" s="21">
        <f>IF(ISNUMBER(AJ204),IF(AJ204&gt;0,AK204/AJ204,""),"")</f>
        <v/>
      </c>
      <c r="AM204" s="31">
        <f>IF(AY204&lt;&gt;1,"",IFERROR(IF(INDEX('分群統計'!$K$5:$K$8,MATCH(X204,'分群統計'!$A$5:$A$8,0))&lt;3,"",IF(INDEX('分群統計'!$M$5:$M$8,MATCH(X204,'分群統計'!$A$5:$A$8,0))&gt;0,MAX(-3,MIN(3,(AX204-INDEX('分群統計'!$L$5:$L$8,MATCH(X204,'分群統計'!$A$5:$A$8,0)))/INDEX('分群統計'!$M$5:$M$8,MATCH(X204,'分群統計'!$A$5:$A$8,0)))),0)),""))</f>
        <v/>
      </c>
      <c r="AN204" s="31">
        <f>IF(ISNUMBER(AB204),IF(Z204&gt;0,AB204/Z204*100,""),"")</f>
        <v/>
      </c>
      <c r="AO204" s="31">
        <f>IF(BA204&lt;&gt;1,"",IFERROR(IF(INDEX('分群統計'!$N$5:$N$8,MATCH(X204,'分群統計'!$A$5:$A$8,0))&lt;3,"",IF(INDEX('分群統計'!$P$5:$P$8,MATCH(X204,'分群統計'!$A$5:$A$8,0))&gt;0,MAX(-3,MIN(3,(AZ204-INDEX('分群統計'!$O$5:$O$8,MATCH(X204,'分群統計'!$A$5:$A$8,0)))/INDEX('分群統計'!$P$5:$P$8,MATCH(X204,'分群統計'!$A$5:$A$8,0)))),0)),""))</f>
        <v/>
      </c>
      <c r="AP204" s="31">
        <f>IF(BC204&lt;&gt;1,"",IFERROR(IF(INDEX('分群統計'!$Q$5:$Q$8,MATCH(X204,'分群統計'!$A$5:$A$8,0))&lt;3,"",IF(INDEX('分群統計'!$S$5:$S$8,MATCH(X204,'分群統計'!$A$5:$A$8,0))&gt;0,MAX(-3,MIN(3,(BB204-INDEX('分群統計'!$R$5:$R$8,MATCH(X204,'分群統計'!$A$5:$A$8,0)))/INDEX('分群統計'!$S$5:$S$8,MATCH(X204,'分群統計'!$A$5:$A$8,0)))),0)),""))</f>
        <v/>
      </c>
      <c r="AQ204" s="31">
        <f>IF(Y204=1,(IF(ISNUMBER(AF204),AF204,0)*'參數'!$B$13+IF(ISNUMBER(AM204),AM204,0)*'參數'!$B$14+IF(ISNUMBER(AO204),AO204,0)*'參數'!$B$15+IF(ISNUMBER(AP204),AP204,0)*'參數'!$B$16)/('參數'!$B$13+'參數'!$B$14+'參數'!$B$15+'參數'!$B$16),"")</f>
        <v/>
      </c>
      <c r="AR204" s="35">
        <f>IF(Y204=1,(SUMPRODUCT(($X$5:$X$404=X204)*($Y$5:$Y$404=1)*($BD$5:$BD$404&gt;BD204))+1)/COUNTIFS($X$5:$X$404,X204,$Y$5:$Y$404,1),"")</f>
        <v/>
      </c>
      <c r="AS204" s="8">
        <f>IF(ISNUMBER(AR204),IF(AR204&lt;='參數'!$B$18,"加碼候選",IF(AR204&gt;'參數'!$B$19,"減碼候選","")),"")</f>
        <v/>
      </c>
      <c r="AT204" s="7">
        <f>IF(Y204=1,N204,0)</f>
        <v/>
      </c>
      <c r="AU204" s="7">
        <f>IF(Y204=1,LN(O204),0)</f>
        <v/>
      </c>
      <c r="AV204" s="36">
        <f>IF(Y204=1,IF(ISNUMBER(F204),F204,0),0)</f>
        <v/>
      </c>
      <c r="AW204" s="7">
        <f>IF(Y204=1,Z204,0)</f>
        <v/>
      </c>
      <c r="AX204" s="7">
        <f>IF(Y204=1,IF(ISNUMBER(AL204),AL204,0),0)</f>
        <v/>
      </c>
      <c r="AY204" s="7">
        <f>IF(Y204=1,IF(ISNUMBER(AL204),1,0),0)</f>
        <v/>
      </c>
      <c r="AZ204" s="7">
        <f>IF(Y204=1,IF(ISNUMBER(AN204),AN204,0),0)</f>
        <v/>
      </c>
      <c r="BA204" s="7">
        <f>IF(Y204=1,IF(ISNUMBER(AN204),1,0),0)</f>
        <v/>
      </c>
      <c r="BB204" s="7">
        <f>IF(Y204=1,IF(ISNUMBER(T204),T204,0),0)</f>
        <v/>
      </c>
      <c r="BC204" s="7">
        <f>IF(Y204=1,IF(ISNUMBER(T204),1,0),0)</f>
        <v/>
      </c>
      <c r="BD204" s="7">
        <f>IF(Y204=1,AQ204+ROW()/1E9,-1E9)</f>
        <v/>
      </c>
      <c r="BE204" s="7">
        <f>IF(Y204=1,AQ204+ROW()/1E9,1E9)</f>
        <v/>
      </c>
    </row>
    <row r="205">
      <c r="A205" s="16" t="n"/>
      <c r="B205" s="8">
        <f>IF($A205="","",BDP($A205,B$3))</f>
        <v/>
      </c>
      <c r="C205" s="8">
        <f>IF($A205="","",BDP($A205,C$3))</f>
        <v/>
      </c>
      <c r="D205" s="28">
        <f>IF($A205="","",BDP($A205,D$3))</f>
        <v/>
      </c>
      <c r="E205" s="29">
        <f>IF($A205="","",BDP($A205,E$3))</f>
        <v/>
      </c>
      <c r="F205" s="17">
        <f>IF($A205="","",BDP($A205,F$3))</f>
        <v/>
      </c>
      <c r="G205" s="8">
        <f>IF($A205="","",BDP($A205,G$3))</f>
        <v/>
      </c>
      <c r="H205" s="8">
        <f>IF($A205="","",BDP($A205,H$3))</f>
        <v/>
      </c>
      <c r="I205" s="8">
        <f>IF($A205="","",BDP($A205,I$3))</f>
        <v/>
      </c>
      <c r="J205" s="8">
        <f>IF($A205="","",BDP($A205,J$3))</f>
        <v/>
      </c>
      <c r="K205" s="8">
        <f>IF($A205="","",BDP($A205,K$3))</f>
        <v/>
      </c>
      <c r="L205" s="28">
        <f>IF($A205="","",BDP($A205,L$3))</f>
        <v/>
      </c>
      <c r="M205" s="28">
        <f>IF($A205="","",BDP($A205,M$3))</f>
        <v/>
      </c>
      <c r="N205" s="30">
        <f>IF($A205="","",BDP($A205,N$3))</f>
        <v/>
      </c>
      <c r="O205" s="31">
        <f>IF($A205="","",BDP($A205,O$3))</f>
        <v/>
      </c>
      <c r="P205" s="30">
        <f>IF($A205="","",BDH($A205,$N$3,'參數'!$B$5,'參數'!$B$5,"Days=A","Fill=P","Dates=H"))</f>
        <v/>
      </c>
      <c r="Q205" s="30">
        <f>IF($A205="","",BDH($A205,$N$3,'參數'!$B$6,'參數'!$B$6,"Days=A","Fill=P","Dates=H"))</f>
        <v/>
      </c>
      <c r="R205" s="30">
        <f>IF($A205="","",BDH($A205,$N$3,'參數'!$B$7,'參數'!$B$7,"Days=A","Fill=P","Dates=H"))</f>
        <v/>
      </c>
      <c r="S205" s="32">
        <f>IF($A205="","",IFERROR(INDEX('發行人'!$A$5:$A$44,MATCH(B205,'發行人'!$D$5:$D$44,0)),"未對應"))</f>
        <v/>
      </c>
      <c r="T205" s="24">
        <f>IF($A205="","",IFERROR(INDEX('發行人'!$G$5:$G$44,MATCH(B205,'發行人'!$D$5:$D$44,0))+0,""))</f>
        <v/>
      </c>
      <c r="U205" s="18">
        <f>IF(ISNUMBER(E205),YEARFRAC('參數'!$B$4,E205),"")</f>
        <v/>
      </c>
      <c r="V205" s="8">
        <f>IF(U205="","",IF(U205&lt;3,"1-3y",IF(U205&lt;5,"3-5y",IF(U205&lt;7,"5-7y",IF(U205&lt;10,"7-10y","10y+")))))</f>
        <v/>
      </c>
      <c r="W205" s="30">
        <f>IF($A205="","",IFERROR(INDEX('參數'!$B$24:$B$45,MATCH(G205,'參數'!$A$24:$A$45,0)),""))</f>
        <v/>
      </c>
      <c r="X205" s="8">
        <f>IF($A205="","",IFERROR(INDEX('參數'!$C$24:$C$45,MATCH(G205,'參數'!$A$24:$A$45,0)),""))</f>
        <v/>
      </c>
      <c r="Y205" s="30">
        <f>IF(AND(ISNUMBER(N205),ISNUMBER(O205),ISNUMBER(U205)),IF(AND(O205&gt;0,X205&lt;&gt;""),1,0),0)</f>
        <v/>
      </c>
      <c r="Z205" s="17">
        <f>IF(Y205=1,O205*N205,"")</f>
        <v/>
      </c>
      <c r="AA205" s="33">
        <f>IF(Y205=1,IF(ISNUMBER(Q205),N205-Q205,""),"")</f>
        <v/>
      </c>
      <c r="AB205" s="33">
        <f>IF(Y205=1,IF(AND(ISNUMBER(P205),ISNUMBER(R205)),R205*5/12-O205*(P205-R205),""),"")</f>
        <v/>
      </c>
      <c r="AC205" s="30">
        <f>IF(Y205=1,COUNTIFS($X$5:$X$404,X205,$V$5:$V$404,V205,$Y$5:$Y$404,1),"")</f>
        <v/>
      </c>
      <c r="AD205" s="30">
        <f>IF(Y205=1,IFERROR(IF(AC205&gt;='參數'!$B$9,INDEX('分群統計'!$G$13:$K$16,MATCH(X205,'分群統計'!$A$13:$A$16,0),MATCH(V205,'分群統計'!$G$12:$K$12,0)),INDEX('分群統計'!$I$5:$I$8,MATCH(X205,'分群統計'!$A$5:$A$8,0))),""),"")</f>
        <v/>
      </c>
      <c r="AE205" s="18">
        <f>IF(Y205=1,IFERROR(IF(AC205&gt;='參數'!$B$9,INDEX('分群統計'!$L$13:$P$16,MATCH(X205,'分群統計'!$A$13:$A$16,0),MATCH(V205,'分群統計'!$L$12:$P$12,0)),INDEX('分群統計'!$J$5:$J$8,MATCH(X205,'分群統計'!$A$5:$A$8,0))),""),"")</f>
        <v/>
      </c>
      <c r="AF205" s="31">
        <f>IF(ISNUMBER(AE205),IF(AE205&gt;0,MAX(-3,MIN(3,(N205-AD205)/AE205)),0),"")</f>
        <v/>
      </c>
      <c r="AG205" s="30">
        <f>IF(Y205=1,COUNTIFS($B$5:$B$404,B205,$Y$5:$Y$404,1),"")</f>
        <v/>
      </c>
      <c r="AH205" s="30">
        <f>IF(Y205=1,IFERROR(IF(ISNUMBER(INDEX('分群統計'!$G$20:$G$59,MATCH(B205,'分群統計'!$A$20:$A$59,0))),INDEX('分群統計'!$H$20:$H$59,MATCH(B205,'分群統計'!$A$20:$A$59,0))+INDEX('分群統計'!$G$20:$G$59,MATCH(B205,'分群統計'!$A$20:$A$59,0))*AU205,""),""),"")</f>
        <v/>
      </c>
      <c r="AI205" s="34">
        <f>IF(ISNUMBER(AH205),N205-AH205,"")</f>
        <v/>
      </c>
      <c r="AJ205" s="30">
        <f>IF(Y205=1,IFERROR(IF(ISNUMBER(INDEX('分群統計'!$G$5:$G$8,MATCH(X205,'分群統計'!$A$5:$A$8,0))),INDEX('分群統計'!$H$5:$H$8,MATCH(X205,'分群統計'!$A$5:$A$8,0))+INDEX('分群統計'!$G$5:$G$8,MATCH(X205,'分群統計'!$A$5:$A$8,0))*AU205,""),""),"")</f>
        <v/>
      </c>
      <c r="AK205" s="34">
        <f>IF(ISNUMBER(AJ205),N205-AJ205,"")</f>
        <v/>
      </c>
      <c r="AL205" s="21">
        <f>IF(ISNUMBER(AJ205),IF(AJ205&gt;0,AK205/AJ205,""),"")</f>
        <v/>
      </c>
      <c r="AM205" s="31">
        <f>IF(AY205&lt;&gt;1,"",IFERROR(IF(INDEX('分群統計'!$K$5:$K$8,MATCH(X205,'分群統計'!$A$5:$A$8,0))&lt;3,"",IF(INDEX('分群統計'!$M$5:$M$8,MATCH(X205,'分群統計'!$A$5:$A$8,0))&gt;0,MAX(-3,MIN(3,(AX205-INDEX('分群統計'!$L$5:$L$8,MATCH(X205,'分群統計'!$A$5:$A$8,0)))/INDEX('分群統計'!$M$5:$M$8,MATCH(X205,'分群統計'!$A$5:$A$8,0)))),0)),""))</f>
        <v/>
      </c>
      <c r="AN205" s="31">
        <f>IF(ISNUMBER(AB205),IF(Z205&gt;0,AB205/Z205*100,""),"")</f>
        <v/>
      </c>
      <c r="AO205" s="31">
        <f>IF(BA205&lt;&gt;1,"",IFERROR(IF(INDEX('分群統計'!$N$5:$N$8,MATCH(X205,'分群統計'!$A$5:$A$8,0))&lt;3,"",IF(INDEX('分群統計'!$P$5:$P$8,MATCH(X205,'分群統計'!$A$5:$A$8,0))&gt;0,MAX(-3,MIN(3,(AZ205-INDEX('分群統計'!$O$5:$O$8,MATCH(X205,'分群統計'!$A$5:$A$8,0)))/INDEX('分群統計'!$P$5:$P$8,MATCH(X205,'分群統計'!$A$5:$A$8,0)))),0)),""))</f>
        <v/>
      </c>
      <c r="AP205" s="31">
        <f>IF(BC205&lt;&gt;1,"",IFERROR(IF(INDEX('分群統計'!$Q$5:$Q$8,MATCH(X205,'分群統計'!$A$5:$A$8,0))&lt;3,"",IF(INDEX('分群統計'!$S$5:$S$8,MATCH(X205,'分群統計'!$A$5:$A$8,0))&gt;0,MAX(-3,MIN(3,(BB205-INDEX('分群統計'!$R$5:$R$8,MATCH(X205,'分群統計'!$A$5:$A$8,0)))/INDEX('分群統計'!$S$5:$S$8,MATCH(X205,'分群統計'!$A$5:$A$8,0)))),0)),""))</f>
        <v/>
      </c>
      <c r="AQ205" s="31">
        <f>IF(Y205=1,(IF(ISNUMBER(AF205),AF205,0)*'參數'!$B$13+IF(ISNUMBER(AM205),AM205,0)*'參數'!$B$14+IF(ISNUMBER(AO205),AO205,0)*'參數'!$B$15+IF(ISNUMBER(AP205),AP205,0)*'參數'!$B$16)/('參數'!$B$13+'參數'!$B$14+'參數'!$B$15+'參數'!$B$16),"")</f>
        <v/>
      </c>
      <c r="AR205" s="35">
        <f>IF(Y205=1,(SUMPRODUCT(($X$5:$X$404=X205)*($Y$5:$Y$404=1)*($BD$5:$BD$404&gt;BD205))+1)/COUNTIFS($X$5:$X$404,X205,$Y$5:$Y$404,1),"")</f>
        <v/>
      </c>
      <c r="AS205" s="8">
        <f>IF(ISNUMBER(AR205),IF(AR205&lt;='參數'!$B$18,"加碼候選",IF(AR205&gt;'參數'!$B$19,"減碼候選","")),"")</f>
        <v/>
      </c>
      <c r="AT205" s="7">
        <f>IF(Y205=1,N205,0)</f>
        <v/>
      </c>
      <c r="AU205" s="7">
        <f>IF(Y205=1,LN(O205),0)</f>
        <v/>
      </c>
      <c r="AV205" s="36">
        <f>IF(Y205=1,IF(ISNUMBER(F205),F205,0),0)</f>
        <v/>
      </c>
      <c r="AW205" s="7">
        <f>IF(Y205=1,Z205,0)</f>
        <v/>
      </c>
      <c r="AX205" s="7">
        <f>IF(Y205=1,IF(ISNUMBER(AL205),AL205,0),0)</f>
        <v/>
      </c>
      <c r="AY205" s="7">
        <f>IF(Y205=1,IF(ISNUMBER(AL205),1,0),0)</f>
        <v/>
      </c>
      <c r="AZ205" s="7">
        <f>IF(Y205=1,IF(ISNUMBER(AN205),AN205,0),0)</f>
        <v/>
      </c>
      <c r="BA205" s="7">
        <f>IF(Y205=1,IF(ISNUMBER(AN205),1,0),0)</f>
        <v/>
      </c>
      <c r="BB205" s="7">
        <f>IF(Y205=1,IF(ISNUMBER(T205),T205,0),0)</f>
        <v/>
      </c>
      <c r="BC205" s="7">
        <f>IF(Y205=1,IF(ISNUMBER(T205),1,0),0)</f>
        <v/>
      </c>
      <c r="BD205" s="7">
        <f>IF(Y205=1,AQ205+ROW()/1E9,-1E9)</f>
        <v/>
      </c>
      <c r="BE205" s="7">
        <f>IF(Y205=1,AQ205+ROW()/1E9,1E9)</f>
        <v/>
      </c>
    </row>
    <row r="206">
      <c r="A206" s="16" t="n"/>
      <c r="B206" s="8">
        <f>IF($A206="","",BDP($A206,B$3))</f>
        <v/>
      </c>
      <c r="C206" s="8">
        <f>IF($A206="","",BDP($A206,C$3))</f>
        <v/>
      </c>
      <c r="D206" s="28">
        <f>IF($A206="","",BDP($A206,D$3))</f>
        <v/>
      </c>
      <c r="E206" s="29">
        <f>IF($A206="","",BDP($A206,E$3))</f>
        <v/>
      </c>
      <c r="F206" s="17">
        <f>IF($A206="","",BDP($A206,F$3))</f>
        <v/>
      </c>
      <c r="G206" s="8">
        <f>IF($A206="","",BDP($A206,G$3))</f>
        <v/>
      </c>
      <c r="H206" s="8">
        <f>IF($A206="","",BDP($A206,H$3))</f>
        <v/>
      </c>
      <c r="I206" s="8">
        <f>IF($A206="","",BDP($A206,I$3))</f>
        <v/>
      </c>
      <c r="J206" s="8">
        <f>IF($A206="","",BDP($A206,J$3))</f>
        <v/>
      </c>
      <c r="K206" s="8">
        <f>IF($A206="","",BDP($A206,K$3))</f>
        <v/>
      </c>
      <c r="L206" s="28">
        <f>IF($A206="","",BDP($A206,L$3))</f>
        <v/>
      </c>
      <c r="M206" s="28">
        <f>IF($A206="","",BDP($A206,M$3))</f>
        <v/>
      </c>
      <c r="N206" s="30">
        <f>IF($A206="","",BDP($A206,N$3))</f>
        <v/>
      </c>
      <c r="O206" s="31">
        <f>IF($A206="","",BDP($A206,O$3))</f>
        <v/>
      </c>
      <c r="P206" s="30">
        <f>IF($A206="","",BDH($A206,$N$3,'參數'!$B$5,'參數'!$B$5,"Days=A","Fill=P","Dates=H"))</f>
        <v/>
      </c>
      <c r="Q206" s="30">
        <f>IF($A206="","",BDH($A206,$N$3,'參數'!$B$6,'參數'!$B$6,"Days=A","Fill=P","Dates=H"))</f>
        <v/>
      </c>
      <c r="R206" s="30">
        <f>IF($A206="","",BDH($A206,$N$3,'參數'!$B$7,'參數'!$B$7,"Days=A","Fill=P","Dates=H"))</f>
        <v/>
      </c>
      <c r="S206" s="32">
        <f>IF($A206="","",IFERROR(INDEX('發行人'!$A$5:$A$44,MATCH(B206,'發行人'!$D$5:$D$44,0)),"未對應"))</f>
        <v/>
      </c>
      <c r="T206" s="24">
        <f>IF($A206="","",IFERROR(INDEX('發行人'!$G$5:$G$44,MATCH(B206,'發行人'!$D$5:$D$44,0))+0,""))</f>
        <v/>
      </c>
      <c r="U206" s="18">
        <f>IF(ISNUMBER(E206),YEARFRAC('參數'!$B$4,E206),"")</f>
        <v/>
      </c>
      <c r="V206" s="8">
        <f>IF(U206="","",IF(U206&lt;3,"1-3y",IF(U206&lt;5,"3-5y",IF(U206&lt;7,"5-7y",IF(U206&lt;10,"7-10y","10y+")))))</f>
        <v/>
      </c>
      <c r="W206" s="30">
        <f>IF($A206="","",IFERROR(INDEX('參數'!$B$24:$B$45,MATCH(G206,'參數'!$A$24:$A$45,0)),""))</f>
        <v/>
      </c>
      <c r="X206" s="8">
        <f>IF($A206="","",IFERROR(INDEX('參數'!$C$24:$C$45,MATCH(G206,'參數'!$A$24:$A$45,0)),""))</f>
        <v/>
      </c>
      <c r="Y206" s="30">
        <f>IF(AND(ISNUMBER(N206),ISNUMBER(O206),ISNUMBER(U206)),IF(AND(O206&gt;0,X206&lt;&gt;""),1,0),0)</f>
        <v/>
      </c>
      <c r="Z206" s="17">
        <f>IF(Y206=1,O206*N206,"")</f>
        <v/>
      </c>
      <c r="AA206" s="33">
        <f>IF(Y206=1,IF(ISNUMBER(Q206),N206-Q206,""),"")</f>
        <v/>
      </c>
      <c r="AB206" s="33">
        <f>IF(Y206=1,IF(AND(ISNUMBER(P206),ISNUMBER(R206)),R206*5/12-O206*(P206-R206),""),"")</f>
        <v/>
      </c>
      <c r="AC206" s="30">
        <f>IF(Y206=1,COUNTIFS($X$5:$X$404,X206,$V$5:$V$404,V206,$Y$5:$Y$404,1),"")</f>
        <v/>
      </c>
      <c r="AD206" s="30">
        <f>IF(Y206=1,IFERROR(IF(AC206&gt;='參數'!$B$9,INDEX('分群統計'!$G$13:$K$16,MATCH(X206,'分群統計'!$A$13:$A$16,0),MATCH(V206,'分群統計'!$G$12:$K$12,0)),INDEX('分群統計'!$I$5:$I$8,MATCH(X206,'分群統計'!$A$5:$A$8,0))),""),"")</f>
        <v/>
      </c>
      <c r="AE206" s="18">
        <f>IF(Y206=1,IFERROR(IF(AC206&gt;='參數'!$B$9,INDEX('分群統計'!$L$13:$P$16,MATCH(X206,'分群統計'!$A$13:$A$16,0),MATCH(V206,'分群統計'!$L$12:$P$12,0)),INDEX('分群統計'!$J$5:$J$8,MATCH(X206,'分群統計'!$A$5:$A$8,0))),""),"")</f>
        <v/>
      </c>
      <c r="AF206" s="31">
        <f>IF(ISNUMBER(AE206),IF(AE206&gt;0,MAX(-3,MIN(3,(N206-AD206)/AE206)),0),"")</f>
        <v/>
      </c>
      <c r="AG206" s="30">
        <f>IF(Y206=1,COUNTIFS($B$5:$B$404,B206,$Y$5:$Y$404,1),"")</f>
        <v/>
      </c>
      <c r="AH206" s="30">
        <f>IF(Y206=1,IFERROR(IF(ISNUMBER(INDEX('分群統計'!$G$20:$G$59,MATCH(B206,'分群統計'!$A$20:$A$59,0))),INDEX('分群統計'!$H$20:$H$59,MATCH(B206,'分群統計'!$A$20:$A$59,0))+INDEX('分群統計'!$G$20:$G$59,MATCH(B206,'分群統計'!$A$20:$A$59,0))*AU206,""),""),"")</f>
        <v/>
      </c>
      <c r="AI206" s="34">
        <f>IF(ISNUMBER(AH206),N206-AH206,"")</f>
        <v/>
      </c>
      <c r="AJ206" s="30">
        <f>IF(Y206=1,IFERROR(IF(ISNUMBER(INDEX('分群統計'!$G$5:$G$8,MATCH(X206,'分群統計'!$A$5:$A$8,0))),INDEX('分群統計'!$H$5:$H$8,MATCH(X206,'分群統計'!$A$5:$A$8,0))+INDEX('分群統計'!$G$5:$G$8,MATCH(X206,'分群統計'!$A$5:$A$8,0))*AU206,""),""),"")</f>
        <v/>
      </c>
      <c r="AK206" s="34">
        <f>IF(ISNUMBER(AJ206),N206-AJ206,"")</f>
        <v/>
      </c>
      <c r="AL206" s="21">
        <f>IF(ISNUMBER(AJ206),IF(AJ206&gt;0,AK206/AJ206,""),"")</f>
        <v/>
      </c>
      <c r="AM206" s="31">
        <f>IF(AY206&lt;&gt;1,"",IFERROR(IF(INDEX('分群統計'!$K$5:$K$8,MATCH(X206,'分群統計'!$A$5:$A$8,0))&lt;3,"",IF(INDEX('分群統計'!$M$5:$M$8,MATCH(X206,'分群統計'!$A$5:$A$8,0))&gt;0,MAX(-3,MIN(3,(AX206-INDEX('分群統計'!$L$5:$L$8,MATCH(X206,'分群統計'!$A$5:$A$8,0)))/INDEX('分群統計'!$M$5:$M$8,MATCH(X206,'分群統計'!$A$5:$A$8,0)))),0)),""))</f>
        <v/>
      </c>
      <c r="AN206" s="31">
        <f>IF(ISNUMBER(AB206),IF(Z206&gt;0,AB206/Z206*100,""),"")</f>
        <v/>
      </c>
      <c r="AO206" s="31">
        <f>IF(BA206&lt;&gt;1,"",IFERROR(IF(INDEX('分群統計'!$N$5:$N$8,MATCH(X206,'分群統計'!$A$5:$A$8,0))&lt;3,"",IF(INDEX('分群統計'!$P$5:$P$8,MATCH(X206,'分群統計'!$A$5:$A$8,0))&gt;0,MAX(-3,MIN(3,(AZ206-INDEX('分群統計'!$O$5:$O$8,MATCH(X206,'分群統計'!$A$5:$A$8,0)))/INDEX('分群統計'!$P$5:$P$8,MATCH(X206,'分群統計'!$A$5:$A$8,0)))),0)),""))</f>
        <v/>
      </c>
      <c r="AP206" s="31">
        <f>IF(BC206&lt;&gt;1,"",IFERROR(IF(INDEX('分群統計'!$Q$5:$Q$8,MATCH(X206,'分群統計'!$A$5:$A$8,0))&lt;3,"",IF(INDEX('分群統計'!$S$5:$S$8,MATCH(X206,'分群統計'!$A$5:$A$8,0))&gt;0,MAX(-3,MIN(3,(BB206-INDEX('分群統計'!$R$5:$R$8,MATCH(X206,'分群統計'!$A$5:$A$8,0)))/INDEX('分群統計'!$S$5:$S$8,MATCH(X206,'分群統計'!$A$5:$A$8,0)))),0)),""))</f>
        <v/>
      </c>
      <c r="AQ206" s="31">
        <f>IF(Y206=1,(IF(ISNUMBER(AF206),AF206,0)*'參數'!$B$13+IF(ISNUMBER(AM206),AM206,0)*'參數'!$B$14+IF(ISNUMBER(AO206),AO206,0)*'參數'!$B$15+IF(ISNUMBER(AP206),AP206,0)*'參數'!$B$16)/('參數'!$B$13+'參數'!$B$14+'參數'!$B$15+'參數'!$B$16),"")</f>
        <v/>
      </c>
      <c r="AR206" s="35">
        <f>IF(Y206=1,(SUMPRODUCT(($X$5:$X$404=X206)*($Y$5:$Y$404=1)*($BD$5:$BD$404&gt;BD206))+1)/COUNTIFS($X$5:$X$404,X206,$Y$5:$Y$404,1),"")</f>
        <v/>
      </c>
      <c r="AS206" s="8">
        <f>IF(ISNUMBER(AR206),IF(AR206&lt;='參數'!$B$18,"加碼候選",IF(AR206&gt;'參數'!$B$19,"減碼候選","")),"")</f>
        <v/>
      </c>
      <c r="AT206" s="7">
        <f>IF(Y206=1,N206,0)</f>
        <v/>
      </c>
      <c r="AU206" s="7">
        <f>IF(Y206=1,LN(O206),0)</f>
        <v/>
      </c>
      <c r="AV206" s="36">
        <f>IF(Y206=1,IF(ISNUMBER(F206),F206,0),0)</f>
        <v/>
      </c>
      <c r="AW206" s="7">
        <f>IF(Y206=1,Z206,0)</f>
        <v/>
      </c>
      <c r="AX206" s="7">
        <f>IF(Y206=1,IF(ISNUMBER(AL206),AL206,0),0)</f>
        <v/>
      </c>
      <c r="AY206" s="7">
        <f>IF(Y206=1,IF(ISNUMBER(AL206),1,0),0)</f>
        <v/>
      </c>
      <c r="AZ206" s="7">
        <f>IF(Y206=1,IF(ISNUMBER(AN206),AN206,0),0)</f>
        <v/>
      </c>
      <c r="BA206" s="7">
        <f>IF(Y206=1,IF(ISNUMBER(AN206),1,0),0)</f>
        <v/>
      </c>
      <c r="BB206" s="7">
        <f>IF(Y206=1,IF(ISNUMBER(T206),T206,0),0)</f>
        <v/>
      </c>
      <c r="BC206" s="7">
        <f>IF(Y206=1,IF(ISNUMBER(T206),1,0),0)</f>
        <v/>
      </c>
      <c r="BD206" s="7">
        <f>IF(Y206=1,AQ206+ROW()/1E9,-1E9)</f>
        <v/>
      </c>
      <c r="BE206" s="7">
        <f>IF(Y206=1,AQ206+ROW()/1E9,1E9)</f>
        <v/>
      </c>
    </row>
    <row r="207">
      <c r="A207" s="16" t="n"/>
      <c r="B207" s="8">
        <f>IF($A207="","",BDP($A207,B$3))</f>
        <v/>
      </c>
      <c r="C207" s="8">
        <f>IF($A207="","",BDP($A207,C$3))</f>
        <v/>
      </c>
      <c r="D207" s="28">
        <f>IF($A207="","",BDP($A207,D$3))</f>
        <v/>
      </c>
      <c r="E207" s="29">
        <f>IF($A207="","",BDP($A207,E$3))</f>
        <v/>
      </c>
      <c r="F207" s="17">
        <f>IF($A207="","",BDP($A207,F$3))</f>
        <v/>
      </c>
      <c r="G207" s="8">
        <f>IF($A207="","",BDP($A207,G$3))</f>
        <v/>
      </c>
      <c r="H207" s="8">
        <f>IF($A207="","",BDP($A207,H$3))</f>
        <v/>
      </c>
      <c r="I207" s="8">
        <f>IF($A207="","",BDP($A207,I$3))</f>
        <v/>
      </c>
      <c r="J207" s="8">
        <f>IF($A207="","",BDP($A207,J$3))</f>
        <v/>
      </c>
      <c r="K207" s="8">
        <f>IF($A207="","",BDP($A207,K$3))</f>
        <v/>
      </c>
      <c r="L207" s="28">
        <f>IF($A207="","",BDP($A207,L$3))</f>
        <v/>
      </c>
      <c r="M207" s="28">
        <f>IF($A207="","",BDP($A207,M$3))</f>
        <v/>
      </c>
      <c r="N207" s="30">
        <f>IF($A207="","",BDP($A207,N$3))</f>
        <v/>
      </c>
      <c r="O207" s="31">
        <f>IF($A207="","",BDP($A207,O$3))</f>
        <v/>
      </c>
      <c r="P207" s="30">
        <f>IF($A207="","",BDH($A207,$N$3,'參數'!$B$5,'參數'!$B$5,"Days=A","Fill=P","Dates=H"))</f>
        <v/>
      </c>
      <c r="Q207" s="30">
        <f>IF($A207="","",BDH($A207,$N$3,'參數'!$B$6,'參數'!$B$6,"Days=A","Fill=P","Dates=H"))</f>
        <v/>
      </c>
      <c r="R207" s="30">
        <f>IF($A207="","",BDH($A207,$N$3,'參數'!$B$7,'參數'!$B$7,"Days=A","Fill=P","Dates=H"))</f>
        <v/>
      </c>
      <c r="S207" s="32">
        <f>IF($A207="","",IFERROR(INDEX('發行人'!$A$5:$A$44,MATCH(B207,'發行人'!$D$5:$D$44,0)),"未對應"))</f>
        <v/>
      </c>
      <c r="T207" s="24">
        <f>IF($A207="","",IFERROR(INDEX('發行人'!$G$5:$G$44,MATCH(B207,'發行人'!$D$5:$D$44,0))+0,""))</f>
        <v/>
      </c>
      <c r="U207" s="18">
        <f>IF(ISNUMBER(E207),YEARFRAC('參數'!$B$4,E207),"")</f>
        <v/>
      </c>
      <c r="V207" s="8">
        <f>IF(U207="","",IF(U207&lt;3,"1-3y",IF(U207&lt;5,"3-5y",IF(U207&lt;7,"5-7y",IF(U207&lt;10,"7-10y","10y+")))))</f>
        <v/>
      </c>
      <c r="W207" s="30">
        <f>IF($A207="","",IFERROR(INDEX('參數'!$B$24:$B$45,MATCH(G207,'參數'!$A$24:$A$45,0)),""))</f>
        <v/>
      </c>
      <c r="X207" s="8">
        <f>IF($A207="","",IFERROR(INDEX('參數'!$C$24:$C$45,MATCH(G207,'參數'!$A$24:$A$45,0)),""))</f>
        <v/>
      </c>
      <c r="Y207" s="30">
        <f>IF(AND(ISNUMBER(N207),ISNUMBER(O207),ISNUMBER(U207)),IF(AND(O207&gt;0,X207&lt;&gt;""),1,0),0)</f>
        <v/>
      </c>
      <c r="Z207" s="17">
        <f>IF(Y207=1,O207*N207,"")</f>
        <v/>
      </c>
      <c r="AA207" s="33">
        <f>IF(Y207=1,IF(ISNUMBER(Q207),N207-Q207,""),"")</f>
        <v/>
      </c>
      <c r="AB207" s="33">
        <f>IF(Y207=1,IF(AND(ISNUMBER(P207),ISNUMBER(R207)),R207*5/12-O207*(P207-R207),""),"")</f>
        <v/>
      </c>
      <c r="AC207" s="30">
        <f>IF(Y207=1,COUNTIFS($X$5:$X$404,X207,$V$5:$V$404,V207,$Y$5:$Y$404,1),"")</f>
        <v/>
      </c>
      <c r="AD207" s="30">
        <f>IF(Y207=1,IFERROR(IF(AC207&gt;='參數'!$B$9,INDEX('分群統計'!$G$13:$K$16,MATCH(X207,'分群統計'!$A$13:$A$16,0),MATCH(V207,'分群統計'!$G$12:$K$12,0)),INDEX('分群統計'!$I$5:$I$8,MATCH(X207,'分群統計'!$A$5:$A$8,0))),""),"")</f>
        <v/>
      </c>
      <c r="AE207" s="18">
        <f>IF(Y207=1,IFERROR(IF(AC207&gt;='參數'!$B$9,INDEX('分群統計'!$L$13:$P$16,MATCH(X207,'分群統計'!$A$13:$A$16,0),MATCH(V207,'分群統計'!$L$12:$P$12,0)),INDEX('分群統計'!$J$5:$J$8,MATCH(X207,'分群統計'!$A$5:$A$8,0))),""),"")</f>
        <v/>
      </c>
      <c r="AF207" s="31">
        <f>IF(ISNUMBER(AE207),IF(AE207&gt;0,MAX(-3,MIN(3,(N207-AD207)/AE207)),0),"")</f>
        <v/>
      </c>
      <c r="AG207" s="30">
        <f>IF(Y207=1,COUNTIFS($B$5:$B$404,B207,$Y$5:$Y$404,1),"")</f>
        <v/>
      </c>
      <c r="AH207" s="30">
        <f>IF(Y207=1,IFERROR(IF(ISNUMBER(INDEX('分群統計'!$G$20:$G$59,MATCH(B207,'分群統計'!$A$20:$A$59,0))),INDEX('分群統計'!$H$20:$H$59,MATCH(B207,'分群統計'!$A$20:$A$59,0))+INDEX('分群統計'!$G$20:$G$59,MATCH(B207,'分群統計'!$A$20:$A$59,0))*AU207,""),""),"")</f>
        <v/>
      </c>
      <c r="AI207" s="34">
        <f>IF(ISNUMBER(AH207),N207-AH207,"")</f>
        <v/>
      </c>
      <c r="AJ207" s="30">
        <f>IF(Y207=1,IFERROR(IF(ISNUMBER(INDEX('分群統計'!$G$5:$G$8,MATCH(X207,'分群統計'!$A$5:$A$8,0))),INDEX('分群統計'!$H$5:$H$8,MATCH(X207,'分群統計'!$A$5:$A$8,0))+INDEX('分群統計'!$G$5:$G$8,MATCH(X207,'分群統計'!$A$5:$A$8,0))*AU207,""),""),"")</f>
        <v/>
      </c>
      <c r="AK207" s="34">
        <f>IF(ISNUMBER(AJ207),N207-AJ207,"")</f>
        <v/>
      </c>
      <c r="AL207" s="21">
        <f>IF(ISNUMBER(AJ207),IF(AJ207&gt;0,AK207/AJ207,""),"")</f>
        <v/>
      </c>
      <c r="AM207" s="31">
        <f>IF(AY207&lt;&gt;1,"",IFERROR(IF(INDEX('分群統計'!$K$5:$K$8,MATCH(X207,'分群統計'!$A$5:$A$8,0))&lt;3,"",IF(INDEX('分群統計'!$M$5:$M$8,MATCH(X207,'分群統計'!$A$5:$A$8,0))&gt;0,MAX(-3,MIN(3,(AX207-INDEX('分群統計'!$L$5:$L$8,MATCH(X207,'分群統計'!$A$5:$A$8,0)))/INDEX('分群統計'!$M$5:$M$8,MATCH(X207,'分群統計'!$A$5:$A$8,0)))),0)),""))</f>
        <v/>
      </c>
      <c r="AN207" s="31">
        <f>IF(ISNUMBER(AB207),IF(Z207&gt;0,AB207/Z207*100,""),"")</f>
        <v/>
      </c>
      <c r="AO207" s="31">
        <f>IF(BA207&lt;&gt;1,"",IFERROR(IF(INDEX('分群統計'!$N$5:$N$8,MATCH(X207,'分群統計'!$A$5:$A$8,0))&lt;3,"",IF(INDEX('分群統計'!$P$5:$P$8,MATCH(X207,'分群統計'!$A$5:$A$8,0))&gt;0,MAX(-3,MIN(3,(AZ207-INDEX('分群統計'!$O$5:$O$8,MATCH(X207,'分群統計'!$A$5:$A$8,0)))/INDEX('分群統計'!$P$5:$P$8,MATCH(X207,'分群統計'!$A$5:$A$8,0)))),0)),""))</f>
        <v/>
      </c>
      <c r="AP207" s="31">
        <f>IF(BC207&lt;&gt;1,"",IFERROR(IF(INDEX('分群統計'!$Q$5:$Q$8,MATCH(X207,'分群統計'!$A$5:$A$8,0))&lt;3,"",IF(INDEX('分群統計'!$S$5:$S$8,MATCH(X207,'分群統計'!$A$5:$A$8,0))&gt;0,MAX(-3,MIN(3,(BB207-INDEX('分群統計'!$R$5:$R$8,MATCH(X207,'分群統計'!$A$5:$A$8,0)))/INDEX('分群統計'!$S$5:$S$8,MATCH(X207,'分群統計'!$A$5:$A$8,0)))),0)),""))</f>
        <v/>
      </c>
      <c r="AQ207" s="31">
        <f>IF(Y207=1,(IF(ISNUMBER(AF207),AF207,0)*'參數'!$B$13+IF(ISNUMBER(AM207),AM207,0)*'參數'!$B$14+IF(ISNUMBER(AO207),AO207,0)*'參數'!$B$15+IF(ISNUMBER(AP207),AP207,0)*'參數'!$B$16)/('參數'!$B$13+'參數'!$B$14+'參數'!$B$15+'參數'!$B$16),"")</f>
        <v/>
      </c>
      <c r="AR207" s="35">
        <f>IF(Y207=1,(SUMPRODUCT(($X$5:$X$404=X207)*($Y$5:$Y$404=1)*($BD$5:$BD$404&gt;BD207))+1)/COUNTIFS($X$5:$X$404,X207,$Y$5:$Y$404,1),"")</f>
        <v/>
      </c>
      <c r="AS207" s="8">
        <f>IF(ISNUMBER(AR207),IF(AR207&lt;='參數'!$B$18,"加碼候選",IF(AR207&gt;'參數'!$B$19,"減碼候選","")),"")</f>
        <v/>
      </c>
      <c r="AT207" s="7">
        <f>IF(Y207=1,N207,0)</f>
        <v/>
      </c>
      <c r="AU207" s="7">
        <f>IF(Y207=1,LN(O207),0)</f>
        <v/>
      </c>
      <c r="AV207" s="36">
        <f>IF(Y207=1,IF(ISNUMBER(F207),F207,0),0)</f>
        <v/>
      </c>
      <c r="AW207" s="7">
        <f>IF(Y207=1,Z207,0)</f>
        <v/>
      </c>
      <c r="AX207" s="7">
        <f>IF(Y207=1,IF(ISNUMBER(AL207),AL207,0),0)</f>
        <v/>
      </c>
      <c r="AY207" s="7">
        <f>IF(Y207=1,IF(ISNUMBER(AL207),1,0),0)</f>
        <v/>
      </c>
      <c r="AZ207" s="7">
        <f>IF(Y207=1,IF(ISNUMBER(AN207),AN207,0),0)</f>
        <v/>
      </c>
      <c r="BA207" s="7">
        <f>IF(Y207=1,IF(ISNUMBER(AN207),1,0),0)</f>
        <v/>
      </c>
      <c r="BB207" s="7">
        <f>IF(Y207=1,IF(ISNUMBER(T207),T207,0),0)</f>
        <v/>
      </c>
      <c r="BC207" s="7">
        <f>IF(Y207=1,IF(ISNUMBER(T207),1,0),0)</f>
        <v/>
      </c>
      <c r="BD207" s="7">
        <f>IF(Y207=1,AQ207+ROW()/1E9,-1E9)</f>
        <v/>
      </c>
      <c r="BE207" s="7">
        <f>IF(Y207=1,AQ207+ROW()/1E9,1E9)</f>
        <v/>
      </c>
    </row>
    <row r="208">
      <c r="A208" s="16" t="n"/>
      <c r="B208" s="8">
        <f>IF($A208="","",BDP($A208,B$3))</f>
        <v/>
      </c>
      <c r="C208" s="8">
        <f>IF($A208="","",BDP($A208,C$3))</f>
        <v/>
      </c>
      <c r="D208" s="28">
        <f>IF($A208="","",BDP($A208,D$3))</f>
        <v/>
      </c>
      <c r="E208" s="29">
        <f>IF($A208="","",BDP($A208,E$3))</f>
        <v/>
      </c>
      <c r="F208" s="17">
        <f>IF($A208="","",BDP($A208,F$3))</f>
        <v/>
      </c>
      <c r="G208" s="8">
        <f>IF($A208="","",BDP($A208,G$3))</f>
        <v/>
      </c>
      <c r="H208" s="8">
        <f>IF($A208="","",BDP($A208,H$3))</f>
        <v/>
      </c>
      <c r="I208" s="8">
        <f>IF($A208="","",BDP($A208,I$3))</f>
        <v/>
      </c>
      <c r="J208" s="8">
        <f>IF($A208="","",BDP($A208,J$3))</f>
        <v/>
      </c>
      <c r="K208" s="8">
        <f>IF($A208="","",BDP($A208,K$3))</f>
        <v/>
      </c>
      <c r="L208" s="28">
        <f>IF($A208="","",BDP($A208,L$3))</f>
        <v/>
      </c>
      <c r="M208" s="28">
        <f>IF($A208="","",BDP($A208,M$3))</f>
        <v/>
      </c>
      <c r="N208" s="30">
        <f>IF($A208="","",BDP($A208,N$3))</f>
        <v/>
      </c>
      <c r="O208" s="31">
        <f>IF($A208="","",BDP($A208,O$3))</f>
        <v/>
      </c>
      <c r="P208" s="30">
        <f>IF($A208="","",BDH($A208,$N$3,'參數'!$B$5,'參數'!$B$5,"Days=A","Fill=P","Dates=H"))</f>
        <v/>
      </c>
      <c r="Q208" s="30">
        <f>IF($A208="","",BDH($A208,$N$3,'參數'!$B$6,'參數'!$B$6,"Days=A","Fill=P","Dates=H"))</f>
        <v/>
      </c>
      <c r="R208" s="30">
        <f>IF($A208="","",BDH($A208,$N$3,'參數'!$B$7,'參數'!$B$7,"Days=A","Fill=P","Dates=H"))</f>
        <v/>
      </c>
      <c r="S208" s="32">
        <f>IF($A208="","",IFERROR(INDEX('發行人'!$A$5:$A$44,MATCH(B208,'發行人'!$D$5:$D$44,0)),"未對應"))</f>
        <v/>
      </c>
      <c r="T208" s="24">
        <f>IF($A208="","",IFERROR(INDEX('發行人'!$G$5:$G$44,MATCH(B208,'發行人'!$D$5:$D$44,0))+0,""))</f>
        <v/>
      </c>
      <c r="U208" s="18">
        <f>IF(ISNUMBER(E208),YEARFRAC('參數'!$B$4,E208),"")</f>
        <v/>
      </c>
      <c r="V208" s="8">
        <f>IF(U208="","",IF(U208&lt;3,"1-3y",IF(U208&lt;5,"3-5y",IF(U208&lt;7,"5-7y",IF(U208&lt;10,"7-10y","10y+")))))</f>
        <v/>
      </c>
      <c r="W208" s="30">
        <f>IF($A208="","",IFERROR(INDEX('參數'!$B$24:$B$45,MATCH(G208,'參數'!$A$24:$A$45,0)),""))</f>
        <v/>
      </c>
      <c r="X208" s="8">
        <f>IF($A208="","",IFERROR(INDEX('參數'!$C$24:$C$45,MATCH(G208,'參數'!$A$24:$A$45,0)),""))</f>
        <v/>
      </c>
      <c r="Y208" s="30">
        <f>IF(AND(ISNUMBER(N208),ISNUMBER(O208),ISNUMBER(U208)),IF(AND(O208&gt;0,X208&lt;&gt;""),1,0),0)</f>
        <v/>
      </c>
      <c r="Z208" s="17">
        <f>IF(Y208=1,O208*N208,"")</f>
        <v/>
      </c>
      <c r="AA208" s="33">
        <f>IF(Y208=1,IF(ISNUMBER(Q208),N208-Q208,""),"")</f>
        <v/>
      </c>
      <c r="AB208" s="33">
        <f>IF(Y208=1,IF(AND(ISNUMBER(P208),ISNUMBER(R208)),R208*5/12-O208*(P208-R208),""),"")</f>
        <v/>
      </c>
      <c r="AC208" s="30">
        <f>IF(Y208=1,COUNTIFS($X$5:$X$404,X208,$V$5:$V$404,V208,$Y$5:$Y$404,1),"")</f>
        <v/>
      </c>
      <c r="AD208" s="30">
        <f>IF(Y208=1,IFERROR(IF(AC208&gt;='參數'!$B$9,INDEX('分群統計'!$G$13:$K$16,MATCH(X208,'分群統計'!$A$13:$A$16,0),MATCH(V208,'分群統計'!$G$12:$K$12,0)),INDEX('分群統計'!$I$5:$I$8,MATCH(X208,'分群統計'!$A$5:$A$8,0))),""),"")</f>
        <v/>
      </c>
      <c r="AE208" s="18">
        <f>IF(Y208=1,IFERROR(IF(AC208&gt;='參數'!$B$9,INDEX('分群統計'!$L$13:$P$16,MATCH(X208,'分群統計'!$A$13:$A$16,0),MATCH(V208,'分群統計'!$L$12:$P$12,0)),INDEX('分群統計'!$J$5:$J$8,MATCH(X208,'分群統計'!$A$5:$A$8,0))),""),"")</f>
        <v/>
      </c>
      <c r="AF208" s="31">
        <f>IF(ISNUMBER(AE208),IF(AE208&gt;0,MAX(-3,MIN(3,(N208-AD208)/AE208)),0),"")</f>
        <v/>
      </c>
      <c r="AG208" s="30">
        <f>IF(Y208=1,COUNTIFS($B$5:$B$404,B208,$Y$5:$Y$404,1),"")</f>
        <v/>
      </c>
      <c r="AH208" s="30">
        <f>IF(Y208=1,IFERROR(IF(ISNUMBER(INDEX('分群統計'!$G$20:$G$59,MATCH(B208,'分群統計'!$A$20:$A$59,0))),INDEX('分群統計'!$H$20:$H$59,MATCH(B208,'分群統計'!$A$20:$A$59,0))+INDEX('分群統計'!$G$20:$G$59,MATCH(B208,'分群統計'!$A$20:$A$59,0))*AU208,""),""),"")</f>
        <v/>
      </c>
      <c r="AI208" s="34">
        <f>IF(ISNUMBER(AH208),N208-AH208,"")</f>
        <v/>
      </c>
      <c r="AJ208" s="30">
        <f>IF(Y208=1,IFERROR(IF(ISNUMBER(INDEX('分群統計'!$G$5:$G$8,MATCH(X208,'分群統計'!$A$5:$A$8,0))),INDEX('分群統計'!$H$5:$H$8,MATCH(X208,'分群統計'!$A$5:$A$8,0))+INDEX('分群統計'!$G$5:$G$8,MATCH(X208,'分群統計'!$A$5:$A$8,0))*AU208,""),""),"")</f>
        <v/>
      </c>
      <c r="AK208" s="34">
        <f>IF(ISNUMBER(AJ208),N208-AJ208,"")</f>
        <v/>
      </c>
      <c r="AL208" s="21">
        <f>IF(ISNUMBER(AJ208),IF(AJ208&gt;0,AK208/AJ208,""),"")</f>
        <v/>
      </c>
      <c r="AM208" s="31">
        <f>IF(AY208&lt;&gt;1,"",IFERROR(IF(INDEX('分群統計'!$K$5:$K$8,MATCH(X208,'分群統計'!$A$5:$A$8,0))&lt;3,"",IF(INDEX('分群統計'!$M$5:$M$8,MATCH(X208,'分群統計'!$A$5:$A$8,0))&gt;0,MAX(-3,MIN(3,(AX208-INDEX('分群統計'!$L$5:$L$8,MATCH(X208,'分群統計'!$A$5:$A$8,0)))/INDEX('分群統計'!$M$5:$M$8,MATCH(X208,'分群統計'!$A$5:$A$8,0)))),0)),""))</f>
        <v/>
      </c>
      <c r="AN208" s="31">
        <f>IF(ISNUMBER(AB208),IF(Z208&gt;0,AB208/Z208*100,""),"")</f>
        <v/>
      </c>
      <c r="AO208" s="31">
        <f>IF(BA208&lt;&gt;1,"",IFERROR(IF(INDEX('分群統計'!$N$5:$N$8,MATCH(X208,'分群統計'!$A$5:$A$8,0))&lt;3,"",IF(INDEX('分群統計'!$P$5:$P$8,MATCH(X208,'分群統計'!$A$5:$A$8,0))&gt;0,MAX(-3,MIN(3,(AZ208-INDEX('分群統計'!$O$5:$O$8,MATCH(X208,'分群統計'!$A$5:$A$8,0)))/INDEX('分群統計'!$P$5:$P$8,MATCH(X208,'分群統計'!$A$5:$A$8,0)))),0)),""))</f>
        <v/>
      </c>
      <c r="AP208" s="31">
        <f>IF(BC208&lt;&gt;1,"",IFERROR(IF(INDEX('分群統計'!$Q$5:$Q$8,MATCH(X208,'分群統計'!$A$5:$A$8,0))&lt;3,"",IF(INDEX('分群統計'!$S$5:$S$8,MATCH(X208,'分群統計'!$A$5:$A$8,0))&gt;0,MAX(-3,MIN(3,(BB208-INDEX('分群統計'!$R$5:$R$8,MATCH(X208,'分群統計'!$A$5:$A$8,0)))/INDEX('分群統計'!$S$5:$S$8,MATCH(X208,'分群統計'!$A$5:$A$8,0)))),0)),""))</f>
        <v/>
      </c>
      <c r="AQ208" s="31">
        <f>IF(Y208=1,(IF(ISNUMBER(AF208),AF208,0)*'參數'!$B$13+IF(ISNUMBER(AM208),AM208,0)*'參數'!$B$14+IF(ISNUMBER(AO208),AO208,0)*'參數'!$B$15+IF(ISNUMBER(AP208),AP208,0)*'參數'!$B$16)/('參數'!$B$13+'參數'!$B$14+'參數'!$B$15+'參數'!$B$16),"")</f>
        <v/>
      </c>
      <c r="AR208" s="35">
        <f>IF(Y208=1,(SUMPRODUCT(($X$5:$X$404=X208)*($Y$5:$Y$404=1)*($BD$5:$BD$404&gt;BD208))+1)/COUNTIFS($X$5:$X$404,X208,$Y$5:$Y$404,1),"")</f>
        <v/>
      </c>
      <c r="AS208" s="8">
        <f>IF(ISNUMBER(AR208),IF(AR208&lt;='參數'!$B$18,"加碼候選",IF(AR208&gt;'參數'!$B$19,"減碼候選","")),"")</f>
        <v/>
      </c>
      <c r="AT208" s="7">
        <f>IF(Y208=1,N208,0)</f>
        <v/>
      </c>
      <c r="AU208" s="7">
        <f>IF(Y208=1,LN(O208),0)</f>
        <v/>
      </c>
      <c r="AV208" s="36">
        <f>IF(Y208=1,IF(ISNUMBER(F208),F208,0),0)</f>
        <v/>
      </c>
      <c r="AW208" s="7">
        <f>IF(Y208=1,Z208,0)</f>
        <v/>
      </c>
      <c r="AX208" s="7">
        <f>IF(Y208=1,IF(ISNUMBER(AL208),AL208,0),0)</f>
        <v/>
      </c>
      <c r="AY208" s="7">
        <f>IF(Y208=1,IF(ISNUMBER(AL208),1,0),0)</f>
        <v/>
      </c>
      <c r="AZ208" s="7">
        <f>IF(Y208=1,IF(ISNUMBER(AN208),AN208,0),0)</f>
        <v/>
      </c>
      <c r="BA208" s="7">
        <f>IF(Y208=1,IF(ISNUMBER(AN208),1,0),0)</f>
        <v/>
      </c>
      <c r="BB208" s="7">
        <f>IF(Y208=1,IF(ISNUMBER(T208),T208,0),0)</f>
        <v/>
      </c>
      <c r="BC208" s="7">
        <f>IF(Y208=1,IF(ISNUMBER(T208),1,0),0)</f>
        <v/>
      </c>
      <c r="BD208" s="7">
        <f>IF(Y208=1,AQ208+ROW()/1E9,-1E9)</f>
        <v/>
      </c>
      <c r="BE208" s="7">
        <f>IF(Y208=1,AQ208+ROW()/1E9,1E9)</f>
        <v/>
      </c>
    </row>
    <row r="209">
      <c r="A209" s="16" t="n"/>
      <c r="B209" s="8">
        <f>IF($A209="","",BDP($A209,B$3))</f>
        <v/>
      </c>
      <c r="C209" s="8">
        <f>IF($A209="","",BDP($A209,C$3))</f>
        <v/>
      </c>
      <c r="D209" s="28">
        <f>IF($A209="","",BDP($A209,D$3))</f>
        <v/>
      </c>
      <c r="E209" s="29">
        <f>IF($A209="","",BDP($A209,E$3))</f>
        <v/>
      </c>
      <c r="F209" s="17">
        <f>IF($A209="","",BDP($A209,F$3))</f>
        <v/>
      </c>
      <c r="G209" s="8">
        <f>IF($A209="","",BDP($A209,G$3))</f>
        <v/>
      </c>
      <c r="H209" s="8">
        <f>IF($A209="","",BDP($A209,H$3))</f>
        <v/>
      </c>
      <c r="I209" s="8">
        <f>IF($A209="","",BDP($A209,I$3))</f>
        <v/>
      </c>
      <c r="J209" s="8">
        <f>IF($A209="","",BDP($A209,J$3))</f>
        <v/>
      </c>
      <c r="K209" s="8">
        <f>IF($A209="","",BDP($A209,K$3))</f>
        <v/>
      </c>
      <c r="L209" s="28">
        <f>IF($A209="","",BDP($A209,L$3))</f>
        <v/>
      </c>
      <c r="M209" s="28">
        <f>IF($A209="","",BDP($A209,M$3))</f>
        <v/>
      </c>
      <c r="N209" s="30">
        <f>IF($A209="","",BDP($A209,N$3))</f>
        <v/>
      </c>
      <c r="O209" s="31">
        <f>IF($A209="","",BDP($A209,O$3))</f>
        <v/>
      </c>
      <c r="P209" s="30">
        <f>IF($A209="","",BDH($A209,$N$3,'參數'!$B$5,'參數'!$B$5,"Days=A","Fill=P","Dates=H"))</f>
        <v/>
      </c>
      <c r="Q209" s="30">
        <f>IF($A209="","",BDH($A209,$N$3,'參數'!$B$6,'參數'!$B$6,"Days=A","Fill=P","Dates=H"))</f>
        <v/>
      </c>
      <c r="R209" s="30">
        <f>IF($A209="","",BDH($A209,$N$3,'參數'!$B$7,'參數'!$B$7,"Days=A","Fill=P","Dates=H"))</f>
        <v/>
      </c>
      <c r="S209" s="32">
        <f>IF($A209="","",IFERROR(INDEX('發行人'!$A$5:$A$44,MATCH(B209,'發行人'!$D$5:$D$44,0)),"未對應"))</f>
        <v/>
      </c>
      <c r="T209" s="24">
        <f>IF($A209="","",IFERROR(INDEX('發行人'!$G$5:$G$44,MATCH(B209,'發行人'!$D$5:$D$44,0))+0,""))</f>
        <v/>
      </c>
      <c r="U209" s="18">
        <f>IF(ISNUMBER(E209),YEARFRAC('參數'!$B$4,E209),"")</f>
        <v/>
      </c>
      <c r="V209" s="8">
        <f>IF(U209="","",IF(U209&lt;3,"1-3y",IF(U209&lt;5,"3-5y",IF(U209&lt;7,"5-7y",IF(U209&lt;10,"7-10y","10y+")))))</f>
        <v/>
      </c>
      <c r="W209" s="30">
        <f>IF($A209="","",IFERROR(INDEX('參數'!$B$24:$B$45,MATCH(G209,'參數'!$A$24:$A$45,0)),""))</f>
        <v/>
      </c>
      <c r="X209" s="8">
        <f>IF($A209="","",IFERROR(INDEX('參數'!$C$24:$C$45,MATCH(G209,'參數'!$A$24:$A$45,0)),""))</f>
        <v/>
      </c>
      <c r="Y209" s="30">
        <f>IF(AND(ISNUMBER(N209),ISNUMBER(O209),ISNUMBER(U209)),IF(AND(O209&gt;0,X209&lt;&gt;""),1,0),0)</f>
        <v/>
      </c>
      <c r="Z209" s="17">
        <f>IF(Y209=1,O209*N209,"")</f>
        <v/>
      </c>
      <c r="AA209" s="33">
        <f>IF(Y209=1,IF(ISNUMBER(Q209),N209-Q209,""),"")</f>
        <v/>
      </c>
      <c r="AB209" s="33">
        <f>IF(Y209=1,IF(AND(ISNUMBER(P209),ISNUMBER(R209)),R209*5/12-O209*(P209-R209),""),"")</f>
        <v/>
      </c>
      <c r="AC209" s="30">
        <f>IF(Y209=1,COUNTIFS($X$5:$X$404,X209,$V$5:$V$404,V209,$Y$5:$Y$404,1),"")</f>
        <v/>
      </c>
      <c r="AD209" s="30">
        <f>IF(Y209=1,IFERROR(IF(AC209&gt;='參數'!$B$9,INDEX('分群統計'!$G$13:$K$16,MATCH(X209,'分群統計'!$A$13:$A$16,0),MATCH(V209,'分群統計'!$G$12:$K$12,0)),INDEX('分群統計'!$I$5:$I$8,MATCH(X209,'分群統計'!$A$5:$A$8,0))),""),"")</f>
        <v/>
      </c>
      <c r="AE209" s="18">
        <f>IF(Y209=1,IFERROR(IF(AC209&gt;='參數'!$B$9,INDEX('分群統計'!$L$13:$P$16,MATCH(X209,'分群統計'!$A$13:$A$16,0),MATCH(V209,'分群統計'!$L$12:$P$12,0)),INDEX('分群統計'!$J$5:$J$8,MATCH(X209,'分群統計'!$A$5:$A$8,0))),""),"")</f>
        <v/>
      </c>
      <c r="AF209" s="31">
        <f>IF(ISNUMBER(AE209),IF(AE209&gt;0,MAX(-3,MIN(3,(N209-AD209)/AE209)),0),"")</f>
        <v/>
      </c>
      <c r="AG209" s="30">
        <f>IF(Y209=1,COUNTIFS($B$5:$B$404,B209,$Y$5:$Y$404,1),"")</f>
        <v/>
      </c>
      <c r="AH209" s="30">
        <f>IF(Y209=1,IFERROR(IF(ISNUMBER(INDEX('分群統計'!$G$20:$G$59,MATCH(B209,'分群統計'!$A$20:$A$59,0))),INDEX('分群統計'!$H$20:$H$59,MATCH(B209,'分群統計'!$A$20:$A$59,0))+INDEX('分群統計'!$G$20:$G$59,MATCH(B209,'分群統計'!$A$20:$A$59,0))*AU209,""),""),"")</f>
        <v/>
      </c>
      <c r="AI209" s="34">
        <f>IF(ISNUMBER(AH209),N209-AH209,"")</f>
        <v/>
      </c>
      <c r="AJ209" s="30">
        <f>IF(Y209=1,IFERROR(IF(ISNUMBER(INDEX('分群統計'!$G$5:$G$8,MATCH(X209,'分群統計'!$A$5:$A$8,0))),INDEX('分群統計'!$H$5:$H$8,MATCH(X209,'分群統計'!$A$5:$A$8,0))+INDEX('分群統計'!$G$5:$G$8,MATCH(X209,'分群統計'!$A$5:$A$8,0))*AU209,""),""),"")</f>
        <v/>
      </c>
      <c r="AK209" s="34">
        <f>IF(ISNUMBER(AJ209),N209-AJ209,"")</f>
        <v/>
      </c>
      <c r="AL209" s="21">
        <f>IF(ISNUMBER(AJ209),IF(AJ209&gt;0,AK209/AJ209,""),"")</f>
        <v/>
      </c>
      <c r="AM209" s="31">
        <f>IF(AY209&lt;&gt;1,"",IFERROR(IF(INDEX('分群統計'!$K$5:$K$8,MATCH(X209,'分群統計'!$A$5:$A$8,0))&lt;3,"",IF(INDEX('分群統計'!$M$5:$M$8,MATCH(X209,'分群統計'!$A$5:$A$8,0))&gt;0,MAX(-3,MIN(3,(AX209-INDEX('分群統計'!$L$5:$L$8,MATCH(X209,'分群統計'!$A$5:$A$8,0)))/INDEX('分群統計'!$M$5:$M$8,MATCH(X209,'分群統計'!$A$5:$A$8,0)))),0)),""))</f>
        <v/>
      </c>
      <c r="AN209" s="31">
        <f>IF(ISNUMBER(AB209),IF(Z209&gt;0,AB209/Z209*100,""),"")</f>
        <v/>
      </c>
      <c r="AO209" s="31">
        <f>IF(BA209&lt;&gt;1,"",IFERROR(IF(INDEX('分群統計'!$N$5:$N$8,MATCH(X209,'分群統計'!$A$5:$A$8,0))&lt;3,"",IF(INDEX('分群統計'!$P$5:$P$8,MATCH(X209,'分群統計'!$A$5:$A$8,0))&gt;0,MAX(-3,MIN(3,(AZ209-INDEX('分群統計'!$O$5:$O$8,MATCH(X209,'分群統計'!$A$5:$A$8,0)))/INDEX('分群統計'!$P$5:$P$8,MATCH(X209,'分群統計'!$A$5:$A$8,0)))),0)),""))</f>
        <v/>
      </c>
      <c r="AP209" s="31">
        <f>IF(BC209&lt;&gt;1,"",IFERROR(IF(INDEX('分群統計'!$Q$5:$Q$8,MATCH(X209,'分群統計'!$A$5:$A$8,0))&lt;3,"",IF(INDEX('分群統計'!$S$5:$S$8,MATCH(X209,'分群統計'!$A$5:$A$8,0))&gt;0,MAX(-3,MIN(3,(BB209-INDEX('分群統計'!$R$5:$R$8,MATCH(X209,'分群統計'!$A$5:$A$8,0)))/INDEX('分群統計'!$S$5:$S$8,MATCH(X209,'分群統計'!$A$5:$A$8,0)))),0)),""))</f>
        <v/>
      </c>
      <c r="AQ209" s="31">
        <f>IF(Y209=1,(IF(ISNUMBER(AF209),AF209,0)*'參數'!$B$13+IF(ISNUMBER(AM209),AM209,0)*'參數'!$B$14+IF(ISNUMBER(AO209),AO209,0)*'參數'!$B$15+IF(ISNUMBER(AP209),AP209,0)*'參數'!$B$16)/('參數'!$B$13+'參數'!$B$14+'參數'!$B$15+'參數'!$B$16),"")</f>
        <v/>
      </c>
      <c r="AR209" s="35">
        <f>IF(Y209=1,(SUMPRODUCT(($X$5:$X$404=X209)*($Y$5:$Y$404=1)*($BD$5:$BD$404&gt;BD209))+1)/COUNTIFS($X$5:$X$404,X209,$Y$5:$Y$404,1),"")</f>
        <v/>
      </c>
      <c r="AS209" s="8">
        <f>IF(ISNUMBER(AR209),IF(AR209&lt;='參數'!$B$18,"加碼候選",IF(AR209&gt;'參數'!$B$19,"減碼候選","")),"")</f>
        <v/>
      </c>
      <c r="AT209" s="7">
        <f>IF(Y209=1,N209,0)</f>
        <v/>
      </c>
      <c r="AU209" s="7">
        <f>IF(Y209=1,LN(O209),0)</f>
        <v/>
      </c>
      <c r="AV209" s="36">
        <f>IF(Y209=1,IF(ISNUMBER(F209),F209,0),0)</f>
        <v/>
      </c>
      <c r="AW209" s="7">
        <f>IF(Y209=1,Z209,0)</f>
        <v/>
      </c>
      <c r="AX209" s="7">
        <f>IF(Y209=1,IF(ISNUMBER(AL209),AL209,0),0)</f>
        <v/>
      </c>
      <c r="AY209" s="7">
        <f>IF(Y209=1,IF(ISNUMBER(AL209),1,0),0)</f>
        <v/>
      </c>
      <c r="AZ209" s="7">
        <f>IF(Y209=1,IF(ISNUMBER(AN209),AN209,0),0)</f>
        <v/>
      </c>
      <c r="BA209" s="7">
        <f>IF(Y209=1,IF(ISNUMBER(AN209),1,0),0)</f>
        <v/>
      </c>
      <c r="BB209" s="7">
        <f>IF(Y209=1,IF(ISNUMBER(T209),T209,0),0)</f>
        <v/>
      </c>
      <c r="BC209" s="7">
        <f>IF(Y209=1,IF(ISNUMBER(T209),1,0),0)</f>
        <v/>
      </c>
      <c r="BD209" s="7">
        <f>IF(Y209=1,AQ209+ROW()/1E9,-1E9)</f>
        <v/>
      </c>
      <c r="BE209" s="7">
        <f>IF(Y209=1,AQ209+ROW()/1E9,1E9)</f>
        <v/>
      </c>
    </row>
    <row r="210">
      <c r="A210" s="16" t="n"/>
      <c r="B210" s="8">
        <f>IF($A210="","",BDP($A210,B$3))</f>
        <v/>
      </c>
      <c r="C210" s="8">
        <f>IF($A210="","",BDP($A210,C$3))</f>
        <v/>
      </c>
      <c r="D210" s="28">
        <f>IF($A210="","",BDP($A210,D$3))</f>
        <v/>
      </c>
      <c r="E210" s="29">
        <f>IF($A210="","",BDP($A210,E$3))</f>
        <v/>
      </c>
      <c r="F210" s="17">
        <f>IF($A210="","",BDP($A210,F$3))</f>
        <v/>
      </c>
      <c r="G210" s="8">
        <f>IF($A210="","",BDP($A210,G$3))</f>
        <v/>
      </c>
      <c r="H210" s="8">
        <f>IF($A210="","",BDP($A210,H$3))</f>
        <v/>
      </c>
      <c r="I210" s="8">
        <f>IF($A210="","",BDP($A210,I$3))</f>
        <v/>
      </c>
      <c r="J210" s="8">
        <f>IF($A210="","",BDP($A210,J$3))</f>
        <v/>
      </c>
      <c r="K210" s="8">
        <f>IF($A210="","",BDP($A210,K$3))</f>
        <v/>
      </c>
      <c r="L210" s="28">
        <f>IF($A210="","",BDP($A210,L$3))</f>
        <v/>
      </c>
      <c r="M210" s="28">
        <f>IF($A210="","",BDP($A210,M$3))</f>
        <v/>
      </c>
      <c r="N210" s="30">
        <f>IF($A210="","",BDP($A210,N$3))</f>
        <v/>
      </c>
      <c r="O210" s="31">
        <f>IF($A210="","",BDP($A210,O$3))</f>
        <v/>
      </c>
      <c r="P210" s="30">
        <f>IF($A210="","",BDH($A210,$N$3,'參數'!$B$5,'參數'!$B$5,"Days=A","Fill=P","Dates=H"))</f>
        <v/>
      </c>
      <c r="Q210" s="30">
        <f>IF($A210="","",BDH($A210,$N$3,'參數'!$B$6,'參數'!$B$6,"Days=A","Fill=P","Dates=H"))</f>
        <v/>
      </c>
      <c r="R210" s="30">
        <f>IF($A210="","",BDH($A210,$N$3,'參數'!$B$7,'參數'!$B$7,"Days=A","Fill=P","Dates=H"))</f>
        <v/>
      </c>
      <c r="S210" s="32">
        <f>IF($A210="","",IFERROR(INDEX('發行人'!$A$5:$A$44,MATCH(B210,'發行人'!$D$5:$D$44,0)),"未對應"))</f>
        <v/>
      </c>
      <c r="T210" s="24">
        <f>IF($A210="","",IFERROR(INDEX('發行人'!$G$5:$G$44,MATCH(B210,'發行人'!$D$5:$D$44,0))+0,""))</f>
        <v/>
      </c>
      <c r="U210" s="18">
        <f>IF(ISNUMBER(E210),YEARFRAC('參數'!$B$4,E210),"")</f>
        <v/>
      </c>
      <c r="V210" s="8">
        <f>IF(U210="","",IF(U210&lt;3,"1-3y",IF(U210&lt;5,"3-5y",IF(U210&lt;7,"5-7y",IF(U210&lt;10,"7-10y","10y+")))))</f>
        <v/>
      </c>
      <c r="W210" s="30">
        <f>IF($A210="","",IFERROR(INDEX('參數'!$B$24:$B$45,MATCH(G210,'參數'!$A$24:$A$45,0)),""))</f>
        <v/>
      </c>
      <c r="X210" s="8">
        <f>IF($A210="","",IFERROR(INDEX('參數'!$C$24:$C$45,MATCH(G210,'參數'!$A$24:$A$45,0)),""))</f>
        <v/>
      </c>
      <c r="Y210" s="30">
        <f>IF(AND(ISNUMBER(N210),ISNUMBER(O210),ISNUMBER(U210)),IF(AND(O210&gt;0,X210&lt;&gt;""),1,0),0)</f>
        <v/>
      </c>
      <c r="Z210" s="17">
        <f>IF(Y210=1,O210*N210,"")</f>
        <v/>
      </c>
      <c r="AA210" s="33">
        <f>IF(Y210=1,IF(ISNUMBER(Q210),N210-Q210,""),"")</f>
        <v/>
      </c>
      <c r="AB210" s="33">
        <f>IF(Y210=1,IF(AND(ISNUMBER(P210),ISNUMBER(R210)),R210*5/12-O210*(P210-R210),""),"")</f>
        <v/>
      </c>
      <c r="AC210" s="30">
        <f>IF(Y210=1,COUNTIFS($X$5:$X$404,X210,$V$5:$V$404,V210,$Y$5:$Y$404,1),"")</f>
        <v/>
      </c>
      <c r="AD210" s="30">
        <f>IF(Y210=1,IFERROR(IF(AC210&gt;='參數'!$B$9,INDEX('分群統計'!$G$13:$K$16,MATCH(X210,'分群統計'!$A$13:$A$16,0),MATCH(V210,'分群統計'!$G$12:$K$12,0)),INDEX('分群統計'!$I$5:$I$8,MATCH(X210,'分群統計'!$A$5:$A$8,0))),""),"")</f>
        <v/>
      </c>
      <c r="AE210" s="18">
        <f>IF(Y210=1,IFERROR(IF(AC210&gt;='參數'!$B$9,INDEX('分群統計'!$L$13:$P$16,MATCH(X210,'分群統計'!$A$13:$A$16,0),MATCH(V210,'分群統計'!$L$12:$P$12,0)),INDEX('分群統計'!$J$5:$J$8,MATCH(X210,'分群統計'!$A$5:$A$8,0))),""),"")</f>
        <v/>
      </c>
      <c r="AF210" s="31">
        <f>IF(ISNUMBER(AE210),IF(AE210&gt;0,MAX(-3,MIN(3,(N210-AD210)/AE210)),0),"")</f>
        <v/>
      </c>
      <c r="AG210" s="30">
        <f>IF(Y210=1,COUNTIFS($B$5:$B$404,B210,$Y$5:$Y$404,1),"")</f>
        <v/>
      </c>
      <c r="AH210" s="30">
        <f>IF(Y210=1,IFERROR(IF(ISNUMBER(INDEX('分群統計'!$G$20:$G$59,MATCH(B210,'分群統計'!$A$20:$A$59,0))),INDEX('分群統計'!$H$20:$H$59,MATCH(B210,'分群統計'!$A$20:$A$59,0))+INDEX('分群統計'!$G$20:$G$59,MATCH(B210,'分群統計'!$A$20:$A$59,0))*AU210,""),""),"")</f>
        <v/>
      </c>
      <c r="AI210" s="34">
        <f>IF(ISNUMBER(AH210),N210-AH210,"")</f>
        <v/>
      </c>
      <c r="AJ210" s="30">
        <f>IF(Y210=1,IFERROR(IF(ISNUMBER(INDEX('分群統計'!$G$5:$G$8,MATCH(X210,'分群統計'!$A$5:$A$8,0))),INDEX('分群統計'!$H$5:$H$8,MATCH(X210,'分群統計'!$A$5:$A$8,0))+INDEX('分群統計'!$G$5:$G$8,MATCH(X210,'分群統計'!$A$5:$A$8,0))*AU210,""),""),"")</f>
        <v/>
      </c>
      <c r="AK210" s="34">
        <f>IF(ISNUMBER(AJ210),N210-AJ210,"")</f>
        <v/>
      </c>
      <c r="AL210" s="21">
        <f>IF(ISNUMBER(AJ210),IF(AJ210&gt;0,AK210/AJ210,""),"")</f>
        <v/>
      </c>
      <c r="AM210" s="31">
        <f>IF(AY210&lt;&gt;1,"",IFERROR(IF(INDEX('分群統計'!$K$5:$K$8,MATCH(X210,'分群統計'!$A$5:$A$8,0))&lt;3,"",IF(INDEX('分群統計'!$M$5:$M$8,MATCH(X210,'分群統計'!$A$5:$A$8,0))&gt;0,MAX(-3,MIN(3,(AX210-INDEX('分群統計'!$L$5:$L$8,MATCH(X210,'分群統計'!$A$5:$A$8,0)))/INDEX('分群統計'!$M$5:$M$8,MATCH(X210,'分群統計'!$A$5:$A$8,0)))),0)),""))</f>
        <v/>
      </c>
      <c r="AN210" s="31">
        <f>IF(ISNUMBER(AB210),IF(Z210&gt;0,AB210/Z210*100,""),"")</f>
        <v/>
      </c>
      <c r="AO210" s="31">
        <f>IF(BA210&lt;&gt;1,"",IFERROR(IF(INDEX('分群統計'!$N$5:$N$8,MATCH(X210,'分群統計'!$A$5:$A$8,0))&lt;3,"",IF(INDEX('分群統計'!$P$5:$P$8,MATCH(X210,'分群統計'!$A$5:$A$8,0))&gt;0,MAX(-3,MIN(3,(AZ210-INDEX('分群統計'!$O$5:$O$8,MATCH(X210,'分群統計'!$A$5:$A$8,0)))/INDEX('分群統計'!$P$5:$P$8,MATCH(X210,'分群統計'!$A$5:$A$8,0)))),0)),""))</f>
        <v/>
      </c>
      <c r="AP210" s="31">
        <f>IF(BC210&lt;&gt;1,"",IFERROR(IF(INDEX('分群統計'!$Q$5:$Q$8,MATCH(X210,'分群統計'!$A$5:$A$8,0))&lt;3,"",IF(INDEX('分群統計'!$S$5:$S$8,MATCH(X210,'分群統計'!$A$5:$A$8,0))&gt;0,MAX(-3,MIN(3,(BB210-INDEX('分群統計'!$R$5:$R$8,MATCH(X210,'分群統計'!$A$5:$A$8,0)))/INDEX('分群統計'!$S$5:$S$8,MATCH(X210,'分群統計'!$A$5:$A$8,0)))),0)),""))</f>
        <v/>
      </c>
      <c r="AQ210" s="31">
        <f>IF(Y210=1,(IF(ISNUMBER(AF210),AF210,0)*'參數'!$B$13+IF(ISNUMBER(AM210),AM210,0)*'參數'!$B$14+IF(ISNUMBER(AO210),AO210,0)*'參數'!$B$15+IF(ISNUMBER(AP210),AP210,0)*'參數'!$B$16)/('參數'!$B$13+'參數'!$B$14+'參數'!$B$15+'參數'!$B$16),"")</f>
        <v/>
      </c>
      <c r="AR210" s="35">
        <f>IF(Y210=1,(SUMPRODUCT(($X$5:$X$404=X210)*($Y$5:$Y$404=1)*($BD$5:$BD$404&gt;BD210))+1)/COUNTIFS($X$5:$X$404,X210,$Y$5:$Y$404,1),"")</f>
        <v/>
      </c>
      <c r="AS210" s="8">
        <f>IF(ISNUMBER(AR210),IF(AR210&lt;='參數'!$B$18,"加碼候選",IF(AR210&gt;'參數'!$B$19,"減碼候選","")),"")</f>
        <v/>
      </c>
      <c r="AT210" s="7">
        <f>IF(Y210=1,N210,0)</f>
        <v/>
      </c>
      <c r="AU210" s="7">
        <f>IF(Y210=1,LN(O210),0)</f>
        <v/>
      </c>
      <c r="AV210" s="36">
        <f>IF(Y210=1,IF(ISNUMBER(F210),F210,0),0)</f>
        <v/>
      </c>
      <c r="AW210" s="7">
        <f>IF(Y210=1,Z210,0)</f>
        <v/>
      </c>
      <c r="AX210" s="7">
        <f>IF(Y210=1,IF(ISNUMBER(AL210),AL210,0),0)</f>
        <v/>
      </c>
      <c r="AY210" s="7">
        <f>IF(Y210=1,IF(ISNUMBER(AL210),1,0),0)</f>
        <v/>
      </c>
      <c r="AZ210" s="7">
        <f>IF(Y210=1,IF(ISNUMBER(AN210),AN210,0),0)</f>
        <v/>
      </c>
      <c r="BA210" s="7">
        <f>IF(Y210=1,IF(ISNUMBER(AN210),1,0),0)</f>
        <v/>
      </c>
      <c r="BB210" s="7">
        <f>IF(Y210=1,IF(ISNUMBER(T210),T210,0),0)</f>
        <v/>
      </c>
      <c r="BC210" s="7">
        <f>IF(Y210=1,IF(ISNUMBER(T210),1,0),0)</f>
        <v/>
      </c>
      <c r="BD210" s="7">
        <f>IF(Y210=1,AQ210+ROW()/1E9,-1E9)</f>
        <v/>
      </c>
      <c r="BE210" s="7">
        <f>IF(Y210=1,AQ210+ROW()/1E9,1E9)</f>
        <v/>
      </c>
    </row>
    <row r="211">
      <c r="A211" s="16" t="n"/>
      <c r="B211" s="8">
        <f>IF($A211="","",BDP($A211,B$3))</f>
        <v/>
      </c>
      <c r="C211" s="8">
        <f>IF($A211="","",BDP($A211,C$3))</f>
        <v/>
      </c>
      <c r="D211" s="28">
        <f>IF($A211="","",BDP($A211,D$3))</f>
        <v/>
      </c>
      <c r="E211" s="29">
        <f>IF($A211="","",BDP($A211,E$3))</f>
        <v/>
      </c>
      <c r="F211" s="17">
        <f>IF($A211="","",BDP($A211,F$3))</f>
        <v/>
      </c>
      <c r="G211" s="8">
        <f>IF($A211="","",BDP($A211,G$3))</f>
        <v/>
      </c>
      <c r="H211" s="8">
        <f>IF($A211="","",BDP($A211,H$3))</f>
        <v/>
      </c>
      <c r="I211" s="8">
        <f>IF($A211="","",BDP($A211,I$3))</f>
        <v/>
      </c>
      <c r="J211" s="8">
        <f>IF($A211="","",BDP($A211,J$3))</f>
        <v/>
      </c>
      <c r="K211" s="8">
        <f>IF($A211="","",BDP($A211,K$3))</f>
        <v/>
      </c>
      <c r="L211" s="28">
        <f>IF($A211="","",BDP($A211,L$3))</f>
        <v/>
      </c>
      <c r="M211" s="28">
        <f>IF($A211="","",BDP($A211,M$3))</f>
        <v/>
      </c>
      <c r="N211" s="30">
        <f>IF($A211="","",BDP($A211,N$3))</f>
        <v/>
      </c>
      <c r="O211" s="31">
        <f>IF($A211="","",BDP($A211,O$3))</f>
        <v/>
      </c>
      <c r="P211" s="30">
        <f>IF($A211="","",BDH($A211,$N$3,'參數'!$B$5,'參數'!$B$5,"Days=A","Fill=P","Dates=H"))</f>
        <v/>
      </c>
      <c r="Q211" s="30">
        <f>IF($A211="","",BDH($A211,$N$3,'參數'!$B$6,'參數'!$B$6,"Days=A","Fill=P","Dates=H"))</f>
        <v/>
      </c>
      <c r="R211" s="30">
        <f>IF($A211="","",BDH($A211,$N$3,'參數'!$B$7,'參數'!$B$7,"Days=A","Fill=P","Dates=H"))</f>
        <v/>
      </c>
      <c r="S211" s="32">
        <f>IF($A211="","",IFERROR(INDEX('發行人'!$A$5:$A$44,MATCH(B211,'發行人'!$D$5:$D$44,0)),"未對應"))</f>
        <v/>
      </c>
      <c r="T211" s="24">
        <f>IF($A211="","",IFERROR(INDEX('發行人'!$G$5:$G$44,MATCH(B211,'發行人'!$D$5:$D$44,0))+0,""))</f>
        <v/>
      </c>
      <c r="U211" s="18">
        <f>IF(ISNUMBER(E211),YEARFRAC('參數'!$B$4,E211),"")</f>
        <v/>
      </c>
      <c r="V211" s="8">
        <f>IF(U211="","",IF(U211&lt;3,"1-3y",IF(U211&lt;5,"3-5y",IF(U211&lt;7,"5-7y",IF(U211&lt;10,"7-10y","10y+")))))</f>
        <v/>
      </c>
      <c r="W211" s="30">
        <f>IF($A211="","",IFERROR(INDEX('參數'!$B$24:$B$45,MATCH(G211,'參數'!$A$24:$A$45,0)),""))</f>
        <v/>
      </c>
      <c r="X211" s="8">
        <f>IF($A211="","",IFERROR(INDEX('參數'!$C$24:$C$45,MATCH(G211,'參數'!$A$24:$A$45,0)),""))</f>
        <v/>
      </c>
      <c r="Y211" s="30">
        <f>IF(AND(ISNUMBER(N211),ISNUMBER(O211),ISNUMBER(U211)),IF(AND(O211&gt;0,X211&lt;&gt;""),1,0),0)</f>
        <v/>
      </c>
      <c r="Z211" s="17">
        <f>IF(Y211=1,O211*N211,"")</f>
        <v/>
      </c>
      <c r="AA211" s="33">
        <f>IF(Y211=1,IF(ISNUMBER(Q211),N211-Q211,""),"")</f>
        <v/>
      </c>
      <c r="AB211" s="33">
        <f>IF(Y211=1,IF(AND(ISNUMBER(P211),ISNUMBER(R211)),R211*5/12-O211*(P211-R211),""),"")</f>
        <v/>
      </c>
      <c r="AC211" s="30">
        <f>IF(Y211=1,COUNTIFS($X$5:$X$404,X211,$V$5:$V$404,V211,$Y$5:$Y$404,1),"")</f>
        <v/>
      </c>
      <c r="AD211" s="30">
        <f>IF(Y211=1,IFERROR(IF(AC211&gt;='參數'!$B$9,INDEX('分群統計'!$G$13:$K$16,MATCH(X211,'分群統計'!$A$13:$A$16,0),MATCH(V211,'分群統計'!$G$12:$K$12,0)),INDEX('分群統計'!$I$5:$I$8,MATCH(X211,'分群統計'!$A$5:$A$8,0))),""),"")</f>
        <v/>
      </c>
      <c r="AE211" s="18">
        <f>IF(Y211=1,IFERROR(IF(AC211&gt;='參數'!$B$9,INDEX('分群統計'!$L$13:$P$16,MATCH(X211,'分群統計'!$A$13:$A$16,0),MATCH(V211,'分群統計'!$L$12:$P$12,0)),INDEX('分群統計'!$J$5:$J$8,MATCH(X211,'分群統計'!$A$5:$A$8,0))),""),"")</f>
        <v/>
      </c>
      <c r="AF211" s="31">
        <f>IF(ISNUMBER(AE211),IF(AE211&gt;0,MAX(-3,MIN(3,(N211-AD211)/AE211)),0),"")</f>
        <v/>
      </c>
      <c r="AG211" s="30">
        <f>IF(Y211=1,COUNTIFS($B$5:$B$404,B211,$Y$5:$Y$404,1),"")</f>
        <v/>
      </c>
      <c r="AH211" s="30">
        <f>IF(Y211=1,IFERROR(IF(ISNUMBER(INDEX('分群統計'!$G$20:$G$59,MATCH(B211,'分群統計'!$A$20:$A$59,0))),INDEX('分群統計'!$H$20:$H$59,MATCH(B211,'分群統計'!$A$20:$A$59,0))+INDEX('分群統計'!$G$20:$G$59,MATCH(B211,'分群統計'!$A$20:$A$59,0))*AU211,""),""),"")</f>
        <v/>
      </c>
      <c r="AI211" s="34">
        <f>IF(ISNUMBER(AH211),N211-AH211,"")</f>
        <v/>
      </c>
      <c r="AJ211" s="30">
        <f>IF(Y211=1,IFERROR(IF(ISNUMBER(INDEX('分群統計'!$G$5:$G$8,MATCH(X211,'分群統計'!$A$5:$A$8,0))),INDEX('分群統計'!$H$5:$H$8,MATCH(X211,'分群統計'!$A$5:$A$8,0))+INDEX('分群統計'!$G$5:$G$8,MATCH(X211,'分群統計'!$A$5:$A$8,0))*AU211,""),""),"")</f>
        <v/>
      </c>
      <c r="AK211" s="34">
        <f>IF(ISNUMBER(AJ211),N211-AJ211,"")</f>
        <v/>
      </c>
      <c r="AL211" s="21">
        <f>IF(ISNUMBER(AJ211),IF(AJ211&gt;0,AK211/AJ211,""),"")</f>
        <v/>
      </c>
      <c r="AM211" s="31">
        <f>IF(AY211&lt;&gt;1,"",IFERROR(IF(INDEX('分群統計'!$K$5:$K$8,MATCH(X211,'分群統計'!$A$5:$A$8,0))&lt;3,"",IF(INDEX('分群統計'!$M$5:$M$8,MATCH(X211,'分群統計'!$A$5:$A$8,0))&gt;0,MAX(-3,MIN(3,(AX211-INDEX('分群統計'!$L$5:$L$8,MATCH(X211,'分群統計'!$A$5:$A$8,0)))/INDEX('分群統計'!$M$5:$M$8,MATCH(X211,'分群統計'!$A$5:$A$8,0)))),0)),""))</f>
        <v/>
      </c>
      <c r="AN211" s="31">
        <f>IF(ISNUMBER(AB211),IF(Z211&gt;0,AB211/Z211*100,""),"")</f>
        <v/>
      </c>
      <c r="AO211" s="31">
        <f>IF(BA211&lt;&gt;1,"",IFERROR(IF(INDEX('分群統計'!$N$5:$N$8,MATCH(X211,'分群統計'!$A$5:$A$8,0))&lt;3,"",IF(INDEX('分群統計'!$P$5:$P$8,MATCH(X211,'分群統計'!$A$5:$A$8,0))&gt;0,MAX(-3,MIN(3,(AZ211-INDEX('分群統計'!$O$5:$O$8,MATCH(X211,'分群統計'!$A$5:$A$8,0)))/INDEX('分群統計'!$P$5:$P$8,MATCH(X211,'分群統計'!$A$5:$A$8,0)))),0)),""))</f>
        <v/>
      </c>
      <c r="AP211" s="31">
        <f>IF(BC211&lt;&gt;1,"",IFERROR(IF(INDEX('分群統計'!$Q$5:$Q$8,MATCH(X211,'分群統計'!$A$5:$A$8,0))&lt;3,"",IF(INDEX('分群統計'!$S$5:$S$8,MATCH(X211,'分群統計'!$A$5:$A$8,0))&gt;0,MAX(-3,MIN(3,(BB211-INDEX('分群統計'!$R$5:$R$8,MATCH(X211,'分群統計'!$A$5:$A$8,0)))/INDEX('分群統計'!$S$5:$S$8,MATCH(X211,'分群統計'!$A$5:$A$8,0)))),0)),""))</f>
        <v/>
      </c>
      <c r="AQ211" s="31">
        <f>IF(Y211=1,(IF(ISNUMBER(AF211),AF211,0)*'參數'!$B$13+IF(ISNUMBER(AM211),AM211,0)*'參數'!$B$14+IF(ISNUMBER(AO211),AO211,0)*'參數'!$B$15+IF(ISNUMBER(AP211),AP211,0)*'參數'!$B$16)/('參數'!$B$13+'參數'!$B$14+'參數'!$B$15+'參數'!$B$16),"")</f>
        <v/>
      </c>
      <c r="AR211" s="35">
        <f>IF(Y211=1,(SUMPRODUCT(($X$5:$X$404=X211)*($Y$5:$Y$404=1)*($BD$5:$BD$404&gt;BD211))+1)/COUNTIFS($X$5:$X$404,X211,$Y$5:$Y$404,1),"")</f>
        <v/>
      </c>
      <c r="AS211" s="8">
        <f>IF(ISNUMBER(AR211),IF(AR211&lt;='參數'!$B$18,"加碼候選",IF(AR211&gt;'參數'!$B$19,"減碼候選","")),"")</f>
        <v/>
      </c>
      <c r="AT211" s="7">
        <f>IF(Y211=1,N211,0)</f>
        <v/>
      </c>
      <c r="AU211" s="7">
        <f>IF(Y211=1,LN(O211),0)</f>
        <v/>
      </c>
      <c r="AV211" s="36">
        <f>IF(Y211=1,IF(ISNUMBER(F211),F211,0),0)</f>
        <v/>
      </c>
      <c r="AW211" s="7">
        <f>IF(Y211=1,Z211,0)</f>
        <v/>
      </c>
      <c r="AX211" s="7">
        <f>IF(Y211=1,IF(ISNUMBER(AL211),AL211,0),0)</f>
        <v/>
      </c>
      <c r="AY211" s="7">
        <f>IF(Y211=1,IF(ISNUMBER(AL211),1,0),0)</f>
        <v/>
      </c>
      <c r="AZ211" s="7">
        <f>IF(Y211=1,IF(ISNUMBER(AN211),AN211,0),0)</f>
        <v/>
      </c>
      <c r="BA211" s="7">
        <f>IF(Y211=1,IF(ISNUMBER(AN211),1,0),0)</f>
        <v/>
      </c>
      <c r="BB211" s="7">
        <f>IF(Y211=1,IF(ISNUMBER(T211),T211,0),0)</f>
        <v/>
      </c>
      <c r="BC211" s="7">
        <f>IF(Y211=1,IF(ISNUMBER(T211),1,0),0)</f>
        <v/>
      </c>
      <c r="BD211" s="7">
        <f>IF(Y211=1,AQ211+ROW()/1E9,-1E9)</f>
        <v/>
      </c>
      <c r="BE211" s="7">
        <f>IF(Y211=1,AQ211+ROW()/1E9,1E9)</f>
        <v/>
      </c>
    </row>
    <row r="212">
      <c r="A212" s="16" t="n"/>
      <c r="B212" s="8">
        <f>IF($A212="","",BDP($A212,B$3))</f>
        <v/>
      </c>
      <c r="C212" s="8">
        <f>IF($A212="","",BDP($A212,C$3))</f>
        <v/>
      </c>
      <c r="D212" s="28">
        <f>IF($A212="","",BDP($A212,D$3))</f>
        <v/>
      </c>
      <c r="E212" s="29">
        <f>IF($A212="","",BDP($A212,E$3))</f>
        <v/>
      </c>
      <c r="F212" s="17">
        <f>IF($A212="","",BDP($A212,F$3))</f>
        <v/>
      </c>
      <c r="G212" s="8">
        <f>IF($A212="","",BDP($A212,G$3))</f>
        <v/>
      </c>
      <c r="H212" s="8">
        <f>IF($A212="","",BDP($A212,H$3))</f>
        <v/>
      </c>
      <c r="I212" s="8">
        <f>IF($A212="","",BDP($A212,I$3))</f>
        <v/>
      </c>
      <c r="J212" s="8">
        <f>IF($A212="","",BDP($A212,J$3))</f>
        <v/>
      </c>
      <c r="K212" s="8">
        <f>IF($A212="","",BDP($A212,K$3))</f>
        <v/>
      </c>
      <c r="L212" s="28">
        <f>IF($A212="","",BDP($A212,L$3))</f>
        <v/>
      </c>
      <c r="M212" s="28">
        <f>IF($A212="","",BDP($A212,M$3))</f>
        <v/>
      </c>
      <c r="N212" s="30">
        <f>IF($A212="","",BDP($A212,N$3))</f>
        <v/>
      </c>
      <c r="O212" s="31">
        <f>IF($A212="","",BDP($A212,O$3))</f>
        <v/>
      </c>
      <c r="P212" s="30">
        <f>IF($A212="","",BDH($A212,$N$3,'參數'!$B$5,'參數'!$B$5,"Days=A","Fill=P","Dates=H"))</f>
        <v/>
      </c>
      <c r="Q212" s="30">
        <f>IF($A212="","",BDH($A212,$N$3,'參數'!$B$6,'參數'!$B$6,"Days=A","Fill=P","Dates=H"))</f>
        <v/>
      </c>
      <c r="R212" s="30">
        <f>IF($A212="","",BDH($A212,$N$3,'參數'!$B$7,'參數'!$B$7,"Days=A","Fill=P","Dates=H"))</f>
        <v/>
      </c>
      <c r="S212" s="32">
        <f>IF($A212="","",IFERROR(INDEX('發行人'!$A$5:$A$44,MATCH(B212,'發行人'!$D$5:$D$44,0)),"未對應"))</f>
        <v/>
      </c>
      <c r="T212" s="24">
        <f>IF($A212="","",IFERROR(INDEX('發行人'!$G$5:$G$44,MATCH(B212,'發行人'!$D$5:$D$44,0))+0,""))</f>
        <v/>
      </c>
      <c r="U212" s="18">
        <f>IF(ISNUMBER(E212),YEARFRAC('參數'!$B$4,E212),"")</f>
        <v/>
      </c>
      <c r="V212" s="8">
        <f>IF(U212="","",IF(U212&lt;3,"1-3y",IF(U212&lt;5,"3-5y",IF(U212&lt;7,"5-7y",IF(U212&lt;10,"7-10y","10y+")))))</f>
        <v/>
      </c>
      <c r="W212" s="30">
        <f>IF($A212="","",IFERROR(INDEX('參數'!$B$24:$B$45,MATCH(G212,'參數'!$A$24:$A$45,0)),""))</f>
        <v/>
      </c>
      <c r="X212" s="8">
        <f>IF($A212="","",IFERROR(INDEX('參數'!$C$24:$C$45,MATCH(G212,'參數'!$A$24:$A$45,0)),""))</f>
        <v/>
      </c>
      <c r="Y212" s="30">
        <f>IF(AND(ISNUMBER(N212),ISNUMBER(O212),ISNUMBER(U212)),IF(AND(O212&gt;0,X212&lt;&gt;""),1,0),0)</f>
        <v/>
      </c>
      <c r="Z212" s="17">
        <f>IF(Y212=1,O212*N212,"")</f>
        <v/>
      </c>
      <c r="AA212" s="33">
        <f>IF(Y212=1,IF(ISNUMBER(Q212),N212-Q212,""),"")</f>
        <v/>
      </c>
      <c r="AB212" s="33">
        <f>IF(Y212=1,IF(AND(ISNUMBER(P212),ISNUMBER(R212)),R212*5/12-O212*(P212-R212),""),"")</f>
        <v/>
      </c>
      <c r="AC212" s="30">
        <f>IF(Y212=1,COUNTIFS($X$5:$X$404,X212,$V$5:$V$404,V212,$Y$5:$Y$404,1),"")</f>
        <v/>
      </c>
      <c r="AD212" s="30">
        <f>IF(Y212=1,IFERROR(IF(AC212&gt;='參數'!$B$9,INDEX('分群統計'!$G$13:$K$16,MATCH(X212,'分群統計'!$A$13:$A$16,0),MATCH(V212,'分群統計'!$G$12:$K$12,0)),INDEX('分群統計'!$I$5:$I$8,MATCH(X212,'分群統計'!$A$5:$A$8,0))),""),"")</f>
        <v/>
      </c>
      <c r="AE212" s="18">
        <f>IF(Y212=1,IFERROR(IF(AC212&gt;='參數'!$B$9,INDEX('分群統計'!$L$13:$P$16,MATCH(X212,'分群統計'!$A$13:$A$16,0),MATCH(V212,'分群統計'!$L$12:$P$12,0)),INDEX('分群統計'!$J$5:$J$8,MATCH(X212,'分群統計'!$A$5:$A$8,0))),""),"")</f>
        <v/>
      </c>
      <c r="AF212" s="31">
        <f>IF(ISNUMBER(AE212),IF(AE212&gt;0,MAX(-3,MIN(3,(N212-AD212)/AE212)),0),"")</f>
        <v/>
      </c>
      <c r="AG212" s="30">
        <f>IF(Y212=1,COUNTIFS($B$5:$B$404,B212,$Y$5:$Y$404,1),"")</f>
        <v/>
      </c>
      <c r="AH212" s="30">
        <f>IF(Y212=1,IFERROR(IF(ISNUMBER(INDEX('分群統計'!$G$20:$G$59,MATCH(B212,'分群統計'!$A$20:$A$59,0))),INDEX('分群統計'!$H$20:$H$59,MATCH(B212,'分群統計'!$A$20:$A$59,0))+INDEX('分群統計'!$G$20:$G$59,MATCH(B212,'分群統計'!$A$20:$A$59,0))*AU212,""),""),"")</f>
        <v/>
      </c>
      <c r="AI212" s="34">
        <f>IF(ISNUMBER(AH212),N212-AH212,"")</f>
        <v/>
      </c>
      <c r="AJ212" s="30">
        <f>IF(Y212=1,IFERROR(IF(ISNUMBER(INDEX('分群統計'!$G$5:$G$8,MATCH(X212,'分群統計'!$A$5:$A$8,0))),INDEX('分群統計'!$H$5:$H$8,MATCH(X212,'分群統計'!$A$5:$A$8,0))+INDEX('分群統計'!$G$5:$G$8,MATCH(X212,'分群統計'!$A$5:$A$8,0))*AU212,""),""),"")</f>
        <v/>
      </c>
      <c r="AK212" s="34">
        <f>IF(ISNUMBER(AJ212),N212-AJ212,"")</f>
        <v/>
      </c>
      <c r="AL212" s="21">
        <f>IF(ISNUMBER(AJ212),IF(AJ212&gt;0,AK212/AJ212,""),"")</f>
        <v/>
      </c>
      <c r="AM212" s="31">
        <f>IF(AY212&lt;&gt;1,"",IFERROR(IF(INDEX('分群統計'!$K$5:$K$8,MATCH(X212,'分群統計'!$A$5:$A$8,0))&lt;3,"",IF(INDEX('分群統計'!$M$5:$M$8,MATCH(X212,'分群統計'!$A$5:$A$8,0))&gt;0,MAX(-3,MIN(3,(AX212-INDEX('分群統計'!$L$5:$L$8,MATCH(X212,'分群統計'!$A$5:$A$8,0)))/INDEX('分群統計'!$M$5:$M$8,MATCH(X212,'分群統計'!$A$5:$A$8,0)))),0)),""))</f>
        <v/>
      </c>
      <c r="AN212" s="31">
        <f>IF(ISNUMBER(AB212),IF(Z212&gt;0,AB212/Z212*100,""),"")</f>
        <v/>
      </c>
      <c r="AO212" s="31">
        <f>IF(BA212&lt;&gt;1,"",IFERROR(IF(INDEX('分群統計'!$N$5:$N$8,MATCH(X212,'分群統計'!$A$5:$A$8,0))&lt;3,"",IF(INDEX('分群統計'!$P$5:$P$8,MATCH(X212,'分群統計'!$A$5:$A$8,0))&gt;0,MAX(-3,MIN(3,(AZ212-INDEX('分群統計'!$O$5:$O$8,MATCH(X212,'分群統計'!$A$5:$A$8,0)))/INDEX('分群統計'!$P$5:$P$8,MATCH(X212,'分群統計'!$A$5:$A$8,0)))),0)),""))</f>
        <v/>
      </c>
      <c r="AP212" s="31">
        <f>IF(BC212&lt;&gt;1,"",IFERROR(IF(INDEX('分群統計'!$Q$5:$Q$8,MATCH(X212,'分群統計'!$A$5:$A$8,0))&lt;3,"",IF(INDEX('分群統計'!$S$5:$S$8,MATCH(X212,'分群統計'!$A$5:$A$8,0))&gt;0,MAX(-3,MIN(3,(BB212-INDEX('分群統計'!$R$5:$R$8,MATCH(X212,'分群統計'!$A$5:$A$8,0)))/INDEX('分群統計'!$S$5:$S$8,MATCH(X212,'分群統計'!$A$5:$A$8,0)))),0)),""))</f>
        <v/>
      </c>
      <c r="AQ212" s="31">
        <f>IF(Y212=1,(IF(ISNUMBER(AF212),AF212,0)*'參數'!$B$13+IF(ISNUMBER(AM212),AM212,0)*'參數'!$B$14+IF(ISNUMBER(AO212),AO212,0)*'參數'!$B$15+IF(ISNUMBER(AP212),AP212,0)*'參數'!$B$16)/('參數'!$B$13+'參數'!$B$14+'參數'!$B$15+'參數'!$B$16),"")</f>
        <v/>
      </c>
      <c r="AR212" s="35">
        <f>IF(Y212=1,(SUMPRODUCT(($X$5:$X$404=X212)*($Y$5:$Y$404=1)*($BD$5:$BD$404&gt;BD212))+1)/COUNTIFS($X$5:$X$404,X212,$Y$5:$Y$404,1),"")</f>
        <v/>
      </c>
      <c r="AS212" s="8">
        <f>IF(ISNUMBER(AR212),IF(AR212&lt;='參數'!$B$18,"加碼候選",IF(AR212&gt;'參數'!$B$19,"減碼候選","")),"")</f>
        <v/>
      </c>
      <c r="AT212" s="7">
        <f>IF(Y212=1,N212,0)</f>
        <v/>
      </c>
      <c r="AU212" s="7">
        <f>IF(Y212=1,LN(O212),0)</f>
        <v/>
      </c>
      <c r="AV212" s="36">
        <f>IF(Y212=1,IF(ISNUMBER(F212),F212,0),0)</f>
        <v/>
      </c>
      <c r="AW212" s="7">
        <f>IF(Y212=1,Z212,0)</f>
        <v/>
      </c>
      <c r="AX212" s="7">
        <f>IF(Y212=1,IF(ISNUMBER(AL212),AL212,0),0)</f>
        <v/>
      </c>
      <c r="AY212" s="7">
        <f>IF(Y212=1,IF(ISNUMBER(AL212),1,0),0)</f>
        <v/>
      </c>
      <c r="AZ212" s="7">
        <f>IF(Y212=1,IF(ISNUMBER(AN212),AN212,0),0)</f>
        <v/>
      </c>
      <c r="BA212" s="7">
        <f>IF(Y212=1,IF(ISNUMBER(AN212),1,0),0)</f>
        <v/>
      </c>
      <c r="BB212" s="7">
        <f>IF(Y212=1,IF(ISNUMBER(T212),T212,0),0)</f>
        <v/>
      </c>
      <c r="BC212" s="7">
        <f>IF(Y212=1,IF(ISNUMBER(T212),1,0),0)</f>
        <v/>
      </c>
      <c r="BD212" s="7">
        <f>IF(Y212=1,AQ212+ROW()/1E9,-1E9)</f>
        <v/>
      </c>
      <c r="BE212" s="7">
        <f>IF(Y212=1,AQ212+ROW()/1E9,1E9)</f>
        <v/>
      </c>
    </row>
    <row r="213">
      <c r="A213" s="16" t="n"/>
      <c r="B213" s="8">
        <f>IF($A213="","",BDP($A213,B$3))</f>
        <v/>
      </c>
      <c r="C213" s="8">
        <f>IF($A213="","",BDP($A213,C$3))</f>
        <v/>
      </c>
      <c r="D213" s="28">
        <f>IF($A213="","",BDP($A213,D$3))</f>
        <v/>
      </c>
      <c r="E213" s="29">
        <f>IF($A213="","",BDP($A213,E$3))</f>
        <v/>
      </c>
      <c r="F213" s="17">
        <f>IF($A213="","",BDP($A213,F$3))</f>
        <v/>
      </c>
      <c r="G213" s="8">
        <f>IF($A213="","",BDP($A213,G$3))</f>
        <v/>
      </c>
      <c r="H213" s="8">
        <f>IF($A213="","",BDP($A213,H$3))</f>
        <v/>
      </c>
      <c r="I213" s="8">
        <f>IF($A213="","",BDP($A213,I$3))</f>
        <v/>
      </c>
      <c r="J213" s="8">
        <f>IF($A213="","",BDP($A213,J$3))</f>
        <v/>
      </c>
      <c r="K213" s="8">
        <f>IF($A213="","",BDP($A213,K$3))</f>
        <v/>
      </c>
      <c r="L213" s="28">
        <f>IF($A213="","",BDP($A213,L$3))</f>
        <v/>
      </c>
      <c r="M213" s="28">
        <f>IF($A213="","",BDP($A213,M$3))</f>
        <v/>
      </c>
      <c r="N213" s="30">
        <f>IF($A213="","",BDP($A213,N$3))</f>
        <v/>
      </c>
      <c r="O213" s="31">
        <f>IF($A213="","",BDP($A213,O$3))</f>
        <v/>
      </c>
      <c r="P213" s="30">
        <f>IF($A213="","",BDH($A213,$N$3,'參數'!$B$5,'參數'!$B$5,"Days=A","Fill=P","Dates=H"))</f>
        <v/>
      </c>
      <c r="Q213" s="30">
        <f>IF($A213="","",BDH($A213,$N$3,'參數'!$B$6,'參數'!$B$6,"Days=A","Fill=P","Dates=H"))</f>
        <v/>
      </c>
      <c r="R213" s="30">
        <f>IF($A213="","",BDH($A213,$N$3,'參數'!$B$7,'參數'!$B$7,"Days=A","Fill=P","Dates=H"))</f>
        <v/>
      </c>
      <c r="S213" s="32">
        <f>IF($A213="","",IFERROR(INDEX('發行人'!$A$5:$A$44,MATCH(B213,'發行人'!$D$5:$D$44,0)),"未對應"))</f>
        <v/>
      </c>
      <c r="T213" s="24">
        <f>IF($A213="","",IFERROR(INDEX('發行人'!$G$5:$G$44,MATCH(B213,'發行人'!$D$5:$D$44,0))+0,""))</f>
        <v/>
      </c>
      <c r="U213" s="18">
        <f>IF(ISNUMBER(E213),YEARFRAC('參數'!$B$4,E213),"")</f>
        <v/>
      </c>
      <c r="V213" s="8">
        <f>IF(U213="","",IF(U213&lt;3,"1-3y",IF(U213&lt;5,"3-5y",IF(U213&lt;7,"5-7y",IF(U213&lt;10,"7-10y","10y+")))))</f>
        <v/>
      </c>
      <c r="W213" s="30">
        <f>IF($A213="","",IFERROR(INDEX('參數'!$B$24:$B$45,MATCH(G213,'參數'!$A$24:$A$45,0)),""))</f>
        <v/>
      </c>
      <c r="X213" s="8">
        <f>IF($A213="","",IFERROR(INDEX('參數'!$C$24:$C$45,MATCH(G213,'參數'!$A$24:$A$45,0)),""))</f>
        <v/>
      </c>
      <c r="Y213" s="30">
        <f>IF(AND(ISNUMBER(N213),ISNUMBER(O213),ISNUMBER(U213)),IF(AND(O213&gt;0,X213&lt;&gt;""),1,0),0)</f>
        <v/>
      </c>
      <c r="Z213" s="17">
        <f>IF(Y213=1,O213*N213,"")</f>
        <v/>
      </c>
      <c r="AA213" s="33">
        <f>IF(Y213=1,IF(ISNUMBER(Q213),N213-Q213,""),"")</f>
        <v/>
      </c>
      <c r="AB213" s="33">
        <f>IF(Y213=1,IF(AND(ISNUMBER(P213),ISNUMBER(R213)),R213*5/12-O213*(P213-R213),""),"")</f>
        <v/>
      </c>
      <c r="AC213" s="30">
        <f>IF(Y213=1,COUNTIFS($X$5:$X$404,X213,$V$5:$V$404,V213,$Y$5:$Y$404,1),"")</f>
        <v/>
      </c>
      <c r="AD213" s="30">
        <f>IF(Y213=1,IFERROR(IF(AC213&gt;='參數'!$B$9,INDEX('分群統計'!$G$13:$K$16,MATCH(X213,'分群統計'!$A$13:$A$16,0),MATCH(V213,'分群統計'!$G$12:$K$12,0)),INDEX('分群統計'!$I$5:$I$8,MATCH(X213,'分群統計'!$A$5:$A$8,0))),""),"")</f>
        <v/>
      </c>
      <c r="AE213" s="18">
        <f>IF(Y213=1,IFERROR(IF(AC213&gt;='參數'!$B$9,INDEX('分群統計'!$L$13:$P$16,MATCH(X213,'分群統計'!$A$13:$A$16,0),MATCH(V213,'分群統計'!$L$12:$P$12,0)),INDEX('分群統計'!$J$5:$J$8,MATCH(X213,'分群統計'!$A$5:$A$8,0))),""),"")</f>
        <v/>
      </c>
      <c r="AF213" s="31">
        <f>IF(ISNUMBER(AE213),IF(AE213&gt;0,MAX(-3,MIN(3,(N213-AD213)/AE213)),0),"")</f>
        <v/>
      </c>
      <c r="AG213" s="30">
        <f>IF(Y213=1,COUNTIFS($B$5:$B$404,B213,$Y$5:$Y$404,1),"")</f>
        <v/>
      </c>
      <c r="AH213" s="30">
        <f>IF(Y213=1,IFERROR(IF(ISNUMBER(INDEX('分群統計'!$G$20:$G$59,MATCH(B213,'分群統計'!$A$20:$A$59,0))),INDEX('分群統計'!$H$20:$H$59,MATCH(B213,'分群統計'!$A$20:$A$59,0))+INDEX('分群統計'!$G$20:$G$59,MATCH(B213,'分群統計'!$A$20:$A$59,0))*AU213,""),""),"")</f>
        <v/>
      </c>
      <c r="AI213" s="34">
        <f>IF(ISNUMBER(AH213),N213-AH213,"")</f>
        <v/>
      </c>
      <c r="AJ213" s="30">
        <f>IF(Y213=1,IFERROR(IF(ISNUMBER(INDEX('分群統計'!$G$5:$G$8,MATCH(X213,'分群統計'!$A$5:$A$8,0))),INDEX('分群統計'!$H$5:$H$8,MATCH(X213,'分群統計'!$A$5:$A$8,0))+INDEX('分群統計'!$G$5:$G$8,MATCH(X213,'分群統計'!$A$5:$A$8,0))*AU213,""),""),"")</f>
        <v/>
      </c>
      <c r="AK213" s="34">
        <f>IF(ISNUMBER(AJ213),N213-AJ213,"")</f>
        <v/>
      </c>
      <c r="AL213" s="21">
        <f>IF(ISNUMBER(AJ213),IF(AJ213&gt;0,AK213/AJ213,""),"")</f>
        <v/>
      </c>
      <c r="AM213" s="31">
        <f>IF(AY213&lt;&gt;1,"",IFERROR(IF(INDEX('分群統計'!$K$5:$K$8,MATCH(X213,'分群統計'!$A$5:$A$8,0))&lt;3,"",IF(INDEX('分群統計'!$M$5:$M$8,MATCH(X213,'分群統計'!$A$5:$A$8,0))&gt;0,MAX(-3,MIN(3,(AX213-INDEX('分群統計'!$L$5:$L$8,MATCH(X213,'分群統計'!$A$5:$A$8,0)))/INDEX('分群統計'!$M$5:$M$8,MATCH(X213,'分群統計'!$A$5:$A$8,0)))),0)),""))</f>
        <v/>
      </c>
      <c r="AN213" s="31">
        <f>IF(ISNUMBER(AB213),IF(Z213&gt;0,AB213/Z213*100,""),"")</f>
        <v/>
      </c>
      <c r="AO213" s="31">
        <f>IF(BA213&lt;&gt;1,"",IFERROR(IF(INDEX('分群統計'!$N$5:$N$8,MATCH(X213,'分群統計'!$A$5:$A$8,0))&lt;3,"",IF(INDEX('分群統計'!$P$5:$P$8,MATCH(X213,'分群統計'!$A$5:$A$8,0))&gt;0,MAX(-3,MIN(3,(AZ213-INDEX('分群統計'!$O$5:$O$8,MATCH(X213,'分群統計'!$A$5:$A$8,0)))/INDEX('分群統計'!$P$5:$P$8,MATCH(X213,'分群統計'!$A$5:$A$8,0)))),0)),""))</f>
        <v/>
      </c>
      <c r="AP213" s="31">
        <f>IF(BC213&lt;&gt;1,"",IFERROR(IF(INDEX('分群統計'!$Q$5:$Q$8,MATCH(X213,'分群統計'!$A$5:$A$8,0))&lt;3,"",IF(INDEX('分群統計'!$S$5:$S$8,MATCH(X213,'分群統計'!$A$5:$A$8,0))&gt;0,MAX(-3,MIN(3,(BB213-INDEX('分群統計'!$R$5:$R$8,MATCH(X213,'分群統計'!$A$5:$A$8,0)))/INDEX('分群統計'!$S$5:$S$8,MATCH(X213,'分群統計'!$A$5:$A$8,0)))),0)),""))</f>
        <v/>
      </c>
      <c r="AQ213" s="31">
        <f>IF(Y213=1,(IF(ISNUMBER(AF213),AF213,0)*'參數'!$B$13+IF(ISNUMBER(AM213),AM213,0)*'參數'!$B$14+IF(ISNUMBER(AO213),AO213,0)*'參數'!$B$15+IF(ISNUMBER(AP213),AP213,0)*'參數'!$B$16)/('參數'!$B$13+'參數'!$B$14+'參數'!$B$15+'參數'!$B$16),"")</f>
        <v/>
      </c>
      <c r="AR213" s="35">
        <f>IF(Y213=1,(SUMPRODUCT(($X$5:$X$404=X213)*($Y$5:$Y$404=1)*($BD$5:$BD$404&gt;BD213))+1)/COUNTIFS($X$5:$X$404,X213,$Y$5:$Y$404,1),"")</f>
        <v/>
      </c>
      <c r="AS213" s="8">
        <f>IF(ISNUMBER(AR213),IF(AR213&lt;='參數'!$B$18,"加碼候選",IF(AR213&gt;'參數'!$B$19,"減碼候選","")),"")</f>
        <v/>
      </c>
      <c r="AT213" s="7">
        <f>IF(Y213=1,N213,0)</f>
        <v/>
      </c>
      <c r="AU213" s="7">
        <f>IF(Y213=1,LN(O213),0)</f>
        <v/>
      </c>
      <c r="AV213" s="36">
        <f>IF(Y213=1,IF(ISNUMBER(F213),F213,0),0)</f>
        <v/>
      </c>
      <c r="AW213" s="7">
        <f>IF(Y213=1,Z213,0)</f>
        <v/>
      </c>
      <c r="AX213" s="7">
        <f>IF(Y213=1,IF(ISNUMBER(AL213),AL213,0),0)</f>
        <v/>
      </c>
      <c r="AY213" s="7">
        <f>IF(Y213=1,IF(ISNUMBER(AL213),1,0),0)</f>
        <v/>
      </c>
      <c r="AZ213" s="7">
        <f>IF(Y213=1,IF(ISNUMBER(AN213),AN213,0),0)</f>
        <v/>
      </c>
      <c r="BA213" s="7">
        <f>IF(Y213=1,IF(ISNUMBER(AN213),1,0),0)</f>
        <v/>
      </c>
      <c r="BB213" s="7">
        <f>IF(Y213=1,IF(ISNUMBER(T213),T213,0),0)</f>
        <v/>
      </c>
      <c r="BC213" s="7">
        <f>IF(Y213=1,IF(ISNUMBER(T213),1,0),0)</f>
        <v/>
      </c>
      <c r="BD213" s="7">
        <f>IF(Y213=1,AQ213+ROW()/1E9,-1E9)</f>
        <v/>
      </c>
      <c r="BE213" s="7">
        <f>IF(Y213=1,AQ213+ROW()/1E9,1E9)</f>
        <v/>
      </c>
    </row>
    <row r="214">
      <c r="A214" s="16" t="n"/>
      <c r="B214" s="8">
        <f>IF($A214="","",BDP($A214,B$3))</f>
        <v/>
      </c>
      <c r="C214" s="8">
        <f>IF($A214="","",BDP($A214,C$3))</f>
        <v/>
      </c>
      <c r="D214" s="28">
        <f>IF($A214="","",BDP($A214,D$3))</f>
        <v/>
      </c>
      <c r="E214" s="29">
        <f>IF($A214="","",BDP($A214,E$3))</f>
        <v/>
      </c>
      <c r="F214" s="17">
        <f>IF($A214="","",BDP($A214,F$3))</f>
        <v/>
      </c>
      <c r="G214" s="8">
        <f>IF($A214="","",BDP($A214,G$3))</f>
        <v/>
      </c>
      <c r="H214" s="8">
        <f>IF($A214="","",BDP($A214,H$3))</f>
        <v/>
      </c>
      <c r="I214" s="8">
        <f>IF($A214="","",BDP($A214,I$3))</f>
        <v/>
      </c>
      <c r="J214" s="8">
        <f>IF($A214="","",BDP($A214,J$3))</f>
        <v/>
      </c>
      <c r="K214" s="8">
        <f>IF($A214="","",BDP($A214,K$3))</f>
        <v/>
      </c>
      <c r="L214" s="28">
        <f>IF($A214="","",BDP($A214,L$3))</f>
        <v/>
      </c>
      <c r="M214" s="28">
        <f>IF($A214="","",BDP($A214,M$3))</f>
        <v/>
      </c>
      <c r="N214" s="30">
        <f>IF($A214="","",BDP($A214,N$3))</f>
        <v/>
      </c>
      <c r="O214" s="31">
        <f>IF($A214="","",BDP($A214,O$3))</f>
        <v/>
      </c>
      <c r="P214" s="30">
        <f>IF($A214="","",BDH($A214,$N$3,'參數'!$B$5,'參數'!$B$5,"Days=A","Fill=P","Dates=H"))</f>
        <v/>
      </c>
      <c r="Q214" s="30">
        <f>IF($A214="","",BDH($A214,$N$3,'參數'!$B$6,'參數'!$B$6,"Days=A","Fill=P","Dates=H"))</f>
        <v/>
      </c>
      <c r="R214" s="30">
        <f>IF($A214="","",BDH($A214,$N$3,'參數'!$B$7,'參數'!$B$7,"Days=A","Fill=P","Dates=H"))</f>
        <v/>
      </c>
      <c r="S214" s="32">
        <f>IF($A214="","",IFERROR(INDEX('發行人'!$A$5:$A$44,MATCH(B214,'發行人'!$D$5:$D$44,0)),"未對應"))</f>
        <v/>
      </c>
      <c r="T214" s="24">
        <f>IF($A214="","",IFERROR(INDEX('發行人'!$G$5:$G$44,MATCH(B214,'發行人'!$D$5:$D$44,0))+0,""))</f>
        <v/>
      </c>
      <c r="U214" s="18">
        <f>IF(ISNUMBER(E214),YEARFRAC('參數'!$B$4,E214),"")</f>
        <v/>
      </c>
      <c r="V214" s="8">
        <f>IF(U214="","",IF(U214&lt;3,"1-3y",IF(U214&lt;5,"3-5y",IF(U214&lt;7,"5-7y",IF(U214&lt;10,"7-10y","10y+")))))</f>
        <v/>
      </c>
      <c r="W214" s="30">
        <f>IF($A214="","",IFERROR(INDEX('參數'!$B$24:$B$45,MATCH(G214,'參數'!$A$24:$A$45,0)),""))</f>
        <v/>
      </c>
      <c r="X214" s="8">
        <f>IF($A214="","",IFERROR(INDEX('參數'!$C$24:$C$45,MATCH(G214,'參數'!$A$24:$A$45,0)),""))</f>
        <v/>
      </c>
      <c r="Y214" s="30">
        <f>IF(AND(ISNUMBER(N214),ISNUMBER(O214),ISNUMBER(U214)),IF(AND(O214&gt;0,X214&lt;&gt;""),1,0),0)</f>
        <v/>
      </c>
      <c r="Z214" s="17">
        <f>IF(Y214=1,O214*N214,"")</f>
        <v/>
      </c>
      <c r="AA214" s="33">
        <f>IF(Y214=1,IF(ISNUMBER(Q214),N214-Q214,""),"")</f>
        <v/>
      </c>
      <c r="AB214" s="33">
        <f>IF(Y214=1,IF(AND(ISNUMBER(P214),ISNUMBER(R214)),R214*5/12-O214*(P214-R214),""),"")</f>
        <v/>
      </c>
      <c r="AC214" s="30">
        <f>IF(Y214=1,COUNTIFS($X$5:$X$404,X214,$V$5:$V$404,V214,$Y$5:$Y$404,1),"")</f>
        <v/>
      </c>
      <c r="AD214" s="30">
        <f>IF(Y214=1,IFERROR(IF(AC214&gt;='參數'!$B$9,INDEX('分群統計'!$G$13:$K$16,MATCH(X214,'分群統計'!$A$13:$A$16,0),MATCH(V214,'分群統計'!$G$12:$K$12,0)),INDEX('分群統計'!$I$5:$I$8,MATCH(X214,'分群統計'!$A$5:$A$8,0))),""),"")</f>
        <v/>
      </c>
      <c r="AE214" s="18">
        <f>IF(Y214=1,IFERROR(IF(AC214&gt;='參數'!$B$9,INDEX('分群統計'!$L$13:$P$16,MATCH(X214,'分群統計'!$A$13:$A$16,0),MATCH(V214,'分群統計'!$L$12:$P$12,0)),INDEX('分群統計'!$J$5:$J$8,MATCH(X214,'分群統計'!$A$5:$A$8,0))),""),"")</f>
        <v/>
      </c>
      <c r="AF214" s="31">
        <f>IF(ISNUMBER(AE214),IF(AE214&gt;0,MAX(-3,MIN(3,(N214-AD214)/AE214)),0),"")</f>
        <v/>
      </c>
      <c r="AG214" s="30">
        <f>IF(Y214=1,COUNTIFS($B$5:$B$404,B214,$Y$5:$Y$404,1),"")</f>
        <v/>
      </c>
      <c r="AH214" s="30">
        <f>IF(Y214=1,IFERROR(IF(ISNUMBER(INDEX('分群統計'!$G$20:$G$59,MATCH(B214,'分群統計'!$A$20:$A$59,0))),INDEX('分群統計'!$H$20:$H$59,MATCH(B214,'分群統計'!$A$20:$A$59,0))+INDEX('分群統計'!$G$20:$G$59,MATCH(B214,'分群統計'!$A$20:$A$59,0))*AU214,""),""),"")</f>
        <v/>
      </c>
      <c r="AI214" s="34">
        <f>IF(ISNUMBER(AH214),N214-AH214,"")</f>
        <v/>
      </c>
      <c r="AJ214" s="30">
        <f>IF(Y214=1,IFERROR(IF(ISNUMBER(INDEX('分群統計'!$G$5:$G$8,MATCH(X214,'分群統計'!$A$5:$A$8,0))),INDEX('分群統計'!$H$5:$H$8,MATCH(X214,'分群統計'!$A$5:$A$8,0))+INDEX('分群統計'!$G$5:$G$8,MATCH(X214,'分群統計'!$A$5:$A$8,0))*AU214,""),""),"")</f>
        <v/>
      </c>
      <c r="AK214" s="34">
        <f>IF(ISNUMBER(AJ214),N214-AJ214,"")</f>
        <v/>
      </c>
      <c r="AL214" s="21">
        <f>IF(ISNUMBER(AJ214),IF(AJ214&gt;0,AK214/AJ214,""),"")</f>
        <v/>
      </c>
      <c r="AM214" s="31">
        <f>IF(AY214&lt;&gt;1,"",IFERROR(IF(INDEX('分群統計'!$K$5:$K$8,MATCH(X214,'分群統計'!$A$5:$A$8,0))&lt;3,"",IF(INDEX('分群統計'!$M$5:$M$8,MATCH(X214,'分群統計'!$A$5:$A$8,0))&gt;0,MAX(-3,MIN(3,(AX214-INDEX('分群統計'!$L$5:$L$8,MATCH(X214,'分群統計'!$A$5:$A$8,0)))/INDEX('分群統計'!$M$5:$M$8,MATCH(X214,'分群統計'!$A$5:$A$8,0)))),0)),""))</f>
        <v/>
      </c>
      <c r="AN214" s="31">
        <f>IF(ISNUMBER(AB214),IF(Z214&gt;0,AB214/Z214*100,""),"")</f>
        <v/>
      </c>
      <c r="AO214" s="31">
        <f>IF(BA214&lt;&gt;1,"",IFERROR(IF(INDEX('分群統計'!$N$5:$N$8,MATCH(X214,'分群統計'!$A$5:$A$8,0))&lt;3,"",IF(INDEX('分群統計'!$P$5:$P$8,MATCH(X214,'分群統計'!$A$5:$A$8,0))&gt;0,MAX(-3,MIN(3,(AZ214-INDEX('分群統計'!$O$5:$O$8,MATCH(X214,'分群統計'!$A$5:$A$8,0)))/INDEX('分群統計'!$P$5:$P$8,MATCH(X214,'分群統計'!$A$5:$A$8,0)))),0)),""))</f>
        <v/>
      </c>
      <c r="AP214" s="31">
        <f>IF(BC214&lt;&gt;1,"",IFERROR(IF(INDEX('分群統計'!$Q$5:$Q$8,MATCH(X214,'分群統計'!$A$5:$A$8,0))&lt;3,"",IF(INDEX('分群統計'!$S$5:$S$8,MATCH(X214,'分群統計'!$A$5:$A$8,0))&gt;0,MAX(-3,MIN(3,(BB214-INDEX('分群統計'!$R$5:$R$8,MATCH(X214,'分群統計'!$A$5:$A$8,0)))/INDEX('分群統計'!$S$5:$S$8,MATCH(X214,'分群統計'!$A$5:$A$8,0)))),0)),""))</f>
        <v/>
      </c>
      <c r="AQ214" s="31">
        <f>IF(Y214=1,(IF(ISNUMBER(AF214),AF214,0)*'參數'!$B$13+IF(ISNUMBER(AM214),AM214,0)*'參數'!$B$14+IF(ISNUMBER(AO214),AO214,0)*'參數'!$B$15+IF(ISNUMBER(AP214),AP214,0)*'參數'!$B$16)/('參數'!$B$13+'參數'!$B$14+'參數'!$B$15+'參數'!$B$16),"")</f>
        <v/>
      </c>
      <c r="AR214" s="35">
        <f>IF(Y214=1,(SUMPRODUCT(($X$5:$X$404=X214)*($Y$5:$Y$404=1)*($BD$5:$BD$404&gt;BD214))+1)/COUNTIFS($X$5:$X$404,X214,$Y$5:$Y$404,1),"")</f>
        <v/>
      </c>
      <c r="AS214" s="8">
        <f>IF(ISNUMBER(AR214),IF(AR214&lt;='參數'!$B$18,"加碼候選",IF(AR214&gt;'參數'!$B$19,"減碼候選","")),"")</f>
        <v/>
      </c>
      <c r="AT214" s="7">
        <f>IF(Y214=1,N214,0)</f>
        <v/>
      </c>
      <c r="AU214" s="7">
        <f>IF(Y214=1,LN(O214),0)</f>
        <v/>
      </c>
      <c r="AV214" s="36">
        <f>IF(Y214=1,IF(ISNUMBER(F214),F214,0),0)</f>
        <v/>
      </c>
      <c r="AW214" s="7">
        <f>IF(Y214=1,Z214,0)</f>
        <v/>
      </c>
      <c r="AX214" s="7">
        <f>IF(Y214=1,IF(ISNUMBER(AL214),AL214,0),0)</f>
        <v/>
      </c>
      <c r="AY214" s="7">
        <f>IF(Y214=1,IF(ISNUMBER(AL214),1,0),0)</f>
        <v/>
      </c>
      <c r="AZ214" s="7">
        <f>IF(Y214=1,IF(ISNUMBER(AN214),AN214,0),0)</f>
        <v/>
      </c>
      <c r="BA214" s="7">
        <f>IF(Y214=1,IF(ISNUMBER(AN214),1,0),0)</f>
        <v/>
      </c>
      <c r="BB214" s="7">
        <f>IF(Y214=1,IF(ISNUMBER(T214),T214,0),0)</f>
        <v/>
      </c>
      <c r="BC214" s="7">
        <f>IF(Y214=1,IF(ISNUMBER(T214),1,0),0)</f>
        <v/>
      </c>
      <c r="BD214" s="7">
        <f>IF(Y214=1,AQ214+ROW()/1E9,-1E9)</f>
        <v/>
      </c>
      <c r="BE214" s="7">
        <f>IF(Y214=1,AQ214+ROW()/1E9,1E9)</f>
        <v/>
      </c>
    </row>
    <row r="215">
      <c r="A215" s="16" t="n"/>
      <c r="B215" s="8">
        <f>IF($A215="","",BDP($A215,B$3))</f>
        <v/>
      </c>
      <c r="C215" s="8">
        <f>IF($A215="","",BDP($A215,C$3))</f>
        <v/>
      </c>
      <c r="D215" s="28">
        <f>IF($A215="","",BDP($A215,D$3))</f>
        <v/>
      </c>
      <c r="E215" s="29">
        <f>IF($A215="","",BDP($A215,E$3))</f>
        <v/>
      </c>
      <c r="F215" s="17">
        <f>IF($A215="","",BDP($A215,F$3))</f>
        <v/>
      </c>
      <c r="G215" s="8">
        <f>IF($A215="","",BDP($A215,G$3))</f>
        <v/>
      </c>
      <c r="H215" s="8">
        <f>IF($A215="","",BDP($A215,H$3))</f>
        <v/>
      </c>
      <c r="I215" s="8">
        <f>IF($A215="","",BDP($A215,I$3))</f>
        <v/>
      </c>
      <c r="J215" s="8">
        <f>IF($A215="","",BDP($A215,J$3))</f>
        <v/>
      </c>
      <c r="K215" s="8">
        <f>IF($A215="","",BDP($A215,K$3))</f>
        <v/>
      </c>
      <c r="L215" s="28">
        <f>IF($A215="","",BDP($A215,L$3))</f>
        <v/>
      </c>
      <c r="M215" s="28">
        <f>IF($A215="","",BDP($A215,M$3))</f>
        <v/>
      </c>
      <c r="N215" s="30">
        <f>IF($A215="","",BDP($A215,N$3))</f>
        <v/>
      </c>
      <c r="O215" s="31">
        <f>IF($A215="","",BDP($A215,O$3))</f>
        <v/>
      </c>
      <c r="P215" s="30">
        <f>IF($A215="","",BDH($A215,$N$3,'參數'!$B$5,'參數'!$B$5,"Days=A","Fill=P","Dates=H"))</f>
        <v/>
      </c>
      <c r="Q215" s="30">
        <f>IF($A215="","",BDH($A215,$N$3,'參數'!$B$6,'參數'!$B$6,"Days=A","Fill=P","Dates=H"))</f>
        <v/>
      </c>
      <c r="R215" s="30">
        <f>IF($A215="","",BDH($A215,$N$3,'參數'!$B$7,'參數'!$B$7,"Days=A","Fill=P","Dates=H"))</f>
        <v/>
      </c>
      <c r="S215" s="32">
        <f>IF($A215="","",IFERROR(INDEX('發行人'!$A$5:$A$44,MATCH(B215,'發行人'!$D$5:$D$44,0)),"未對應"))</f>
        <v/>
      </c>
      <c r="T215" s="24">
        <f>IF($A215="","",IFERROR(INDEX('發行人'!$G$5:$G$44,MATCH(B215,'發行人'!$D$5:$D$44,0))+0,""))</f>
        <v/>
      </c>
      <c r="U215" s="18">
        <f>IF(ISNUMBER(E215),YEARFRAC('參數'!$B$4,E215),"")</f>
        <v/>
      </c>
      <c r="V215" s="8">
        <f>IF(U215="","",IF(U215&lt;3,"1-3y",IF(U215&lt;5,"3-5y",IF(U215&lt;7,"5-7y",IF(U215&lt;10,"7-10y","10y+")))))</f>
        <v/>
      </c>
      <c r="W215" s="30">
        <f>IF($A215="","",IFERROR(INDEX('參數'!$B$24:$B$45,MATCH(G215,'參數'!$A$24:$A$45,0)),""))</f>
        <v/>
      </c>
      <c r="X215" s="8">
        <f>IF($A215="","",IFERROR(INDEX('參數'!$C$24:$C$45,MATCH(G215,'參數'!$A$24:$A$45,0)),""))</f>
        <v/>
      </c>
      <c r="Y215" s="30">
        <f>IF(AND(ISNUMBER(N215),ISNUMBER(O215),ISNUMBER(U215)),IF(AND(O215&gt;0,X215&lt;&gt;""),1,0),0)</f>
        <v/>
      </c>
      <c r="Z215" s="17">
        <f>IF(Y215=1,O215*N215,"")</f>
        <v/>
      </c>
      <c r="AA215" s="33">
        <f>IF(Y215=1,IF(ISNUMBER(Q215),N215-Q215,""),"")</f>
        <v/>
      </c>
      <c r="AB215" s="33">
        <f>IF(Y215=1,IF(AND(ISNUMBER(P215),ISNUMBER(R215)),R215*5/12-O215*(P215-R215),""),"")</f>
        <v/>
      </c>
      <c r="AC215" s="30">
        <f>IF(Y215=1,COUNTIFS($X$5:$X$404,X215,$V$5:$V$404,V215,$Y$5:$Y$404,1),"")</f>
        <v/>
      </c>
      <c r="AD215" s="30">
        <f>IF(Y215=1,IFERROR(IF(AC215&gt;='參數'!$B$9,INDEX('分群統計'!$G$13:$K$16,MATCH(X215,'分群統計'!$A$13:$A$16,0),MATCH(V215,'分群統計'!$G$12:$K$12,0)),INDEX('分群統計'!$I$5:$I$8,MATCH(X215,'分群統計'!$A$5:$A$8,0))),""),"")</f>
        <v/>
      </c>
      <c r="AE215" s="18">
        <f>IF(Y215=1,IFERROR(IF(AC215&gt;='參數'!$B$9,INDEX('分群統計'!$L$13:$P$16,MATCH(X215,'分群統計'!$A$13:$A$16,0),MATCH(V215,'分群統計'!$L$12:$P$12,0)),INDEX('分群統計'!$J$5:$J$8,MATCH(X215,'分群統計'!$A$5:$A$8,0))),""),"")</f>
        <v/>
      </c>
      <c r="AF215" s="31">
        <f>IF(ISNUMBER(AE215),IF(AE215&gt;0,MAX(-3,MIN(3,(N215-AD215)/AE215)),0),"")</f>
        <v/>
      </c>
      <c r="AG215" s="30">
        <f>IF(Y215=1,COUNTIFS($B$5:$B$404,B215,$Y$5:$Y$404,1),"")</f>
        <v/>
      </c>
      <c r="AH215" s="30">
        <f>IF(Y215=1,IFERROR(IF(ISNUMBER(INDEX('分群統計'!$G$20:$G$59,MATCH(B215,'分群統計'!$A$20:$A$59,0))),INDEX('分群統計'!$H$20:$H$59,MATCH(B215,'分群統計'!$A$20:$A$59,0))+INDEX('分群統計'!$G$20:$G$59,MATCH(B215,'分群統計'!$A$20:$A$59,0))*AU215,""),""),"")</f>
        <v/>
      </c>
      <c r="AI215" s="34">
        <f>IF(ISNUMBER(AH215),N215-AH215,"")</f>
        <v/>
      </c>
      <c r="AJ215" s="30">
        <f>IF(Y215=1,IFERROR(IF(ISNUMBER(INDEX('分群統計'!$G$5:$G$8,MATCH(X215,'分群統計'!$A$5:$A$8,0))),INDEX('分群統計'!$H$5:$H$8,MATCH(X215,'分群統計'!$A$5:$A$8,0))+INDEX('分群統計'!$G$5:$G$8,MATCH(X215,'分群統計'!$A$5:$A$8,0))*AU215,""),""),"")</f>
        <v/>
      </c>
      <c r="AK215" s="34">
        <f>IF(ISNUMBER(AJ215),N215-AJ215,"")</f>
        <v/>
      </c>
      <c r="AL215" s="21">
        <f>IF(ISNUMBER(AJ215),IF(AJ215&gt;0,AK215/AJ215,""),"")</f>
        <v/>
      </c>
      <c r="AM215" s="31">
        <f>IF(AY215&lt;&gt;1,"",IFERROR(IF(INDEX('分群統計'!$K$5:$K$8,MATCH(X215,'分群統計'!$A$5:$A$8,0))&lt;3,"",IF(INDEX('分群統計'!$M$5:$M$8,MATCH(X215,'分群統計'!$A$5:$A$8,0))&gt;0,MAX(-3,MIN(3,(AX215-INDEX('分群統計'!$L$5:$L$8,MATCH(X215,'分群統計'!$A$5:$A$8,0)))/INDEX('分群統計'!$M$5:$M$8,MATCH(X215,'分群統計'!$A$5:$A$8,0)))),0)),""))</f>
        <v/>
      </c>
      <c r="AN215" s="31">
        <f>IF(ISNUMBER(AB215),IF(Z215&gt;0,AB215/Z215*100,""),"")</f>
        <v/>
      </c>
      <c r="AO215" s="31">
        <f>IF(BA215&lt;&gt;1,"",IFERROR(IF(INDEX('分群統計'!$N$5:$N$8,MATCH(X215,'分群統計'!$A$5:$A$8,0))&lt;3,"",IF(INDEX('分群統計'!$P$5:$P$8,MATCH(X215,'分群統計'!$A$5:$A$8,0))&gt;0,MAX(-3,MIN(3,(AZ215-INDEX('分群統計'!$O$5:$O$8,MATCH(X215,'分群統計'!$A$5:$A$8,0)))/INDEX('分群統計'!$P$5:$P$8,MATCH(X215,'分群統計'!$A$5:$A$8,0)))),0)),""))</f>
        <v/>
      </c>
      <c r="AP215" s="31">
        <f>IF(BC215&lt;&gt;1,"",IFERROR(IF(INDEX('分群統計'!$Q$5:$Q$8,MATCH(X215,'分群統計'!$A$5:$A$8,0))&lt;3,"",IF(INDEX('分群統計'!$S$5:$S$8,MATCH(X215,'分群統計'!$A$5:$A$8,0))&gt;0,MAX(-3,MIN(3,(BB215-INDEX('分群統計'!$R$5:$R$8,MATCH(X215,'分群統計'!$A$5:$A$8,0)))/INDEX('分群統計'!$S$5:$S$8,MATCH(X215,'分群統計'!$A$5:$A$8,0)))),0)),""))</f>
        <v/>
      </c>
      <c r="AQ215" s="31">
        <f>IF(Y215=1,(IF(ISNUMBER(AF215),AF215,0)*'參數'!$B$13+IF(ISNUMBER(AM215),AM215,0)*'參數'!$B$14+IF(ISNUMBER(AO215),AO215,0)*'參數'!$B$15+IF(ISNUMBER(AP215),AP215,0)*'參數'!$B$16)/('參數'!$B$13+'參數'!$B$14+'參數'!$B$15+'參數'!$B$16),"")</f>
        <v/>
      </c>
      <c r="AR215" s="35">
        <f>IF(Y215=1,(SUMPRODUCT(($X$5:$X$404=X215)*($Y$5:$Y$404=1)*($BD$5:$BD$404&gt;BD215))+1)/COUNTIFS($X$5:$X$404,X215,$Y$5:$Y$404,1),"")</f>
        <v/>
      </c>
      <c r="AS215" s="8">
        <f>IF(ISNUMBER(AR215),IF(AR215&lt;='參數'!$B$18,"加碼候選",IF(AR215&gt;'參數'!$B$19,"減碼候選","")),"")</f>
        <v/>
      </c>
      <c r="AT215" s="7">
        <f>IF(Y215=1,N215,0)</f>
        <v/>
      </c>
      <c r="AU215" s="7">
        <f>IF(Y215=1,LN(O215),0)</f>
        <v/>
      </c>
      <c r="AV215" s="36">
        <f>IF(Y215=1,IF(ISNUMBER(F215),F215,0),0)</f>
        <v/>
      </c>
      <c r="AW215" s="7">
        <f>IF(Y215=1,Z215,0)</f>
        <v/>
      </c>
      <c r="AX215" s="7">
        <f>IF(Y215=1,IF(ISNUMBER(AL215),AL215,0),0)</f>
        <v/>
      </c>
      <c r="AY215" s="7">
        <f>IF(Y215=1,IF(ISNUMBER(AL215),1,0),0)</f>
        <v/>
      </c>
      <c r="AZ215" s="7">
        <f>IF(Y215=1,IF(ISNUMBER(AN215),AN215,0),0)</f>
        <v/>
      </c>
      <c r="BA215" s="7">
        <f>IF(Y215=1,IF(ISNUMBER(AN215),1,0),0)</f>
        <v/>
      </c>
      <c r="BB215" s="7">
        <f>IF(Y215=1,IF(ISNUMBER(T215),T215,0),0)</f>
        <v/>
      </c>
      <c r="BC215" s="7">
        <f>IF(Y215=1,IF(ISNUMBER(T215),1,0),0)</f>
        <v/>
      </c>
      <c r="BD215" s="7">
        <f>IF(Y215=1,AQ215+ROW()/1E9,-1E9)</f>
        <v/>
      </c>
      <c r="BE215" s="7">
        <f>IF(Y215=1,AQ215+ROW()/1E9,1E9)</f>
        <v/>
      </c>
    </row>
    <row r="216">
      <c r="A216" s="16" t="n"/>
      <c r="B216" s="8">
        <f>IF($A216="","",BDP($A216,B$3))</f>
        <v/>
      </c>
      <c r="C216" s="8">
        <f>IF($A216="","",BDP($A216,C$3))</f>
        <v/>
      </c>
      <c r="D216" s="28">
        <f>IF($A216="","",BDP($A216,D$3))</f>
        <v/>
      </c>
      <c r="E216" s="29">
        <f>IF($A216="","",BDP($A216,E$3))</f>
        <v/>
      </c>
      <c r="F216" s="17">
        <f>IF($A216="","",BDP($A216,F$3))</f>
        <v/>
      </c>
      <c r="G216" s="8">
        <f>IF($A216="","",BDP($A216,G$3))</f>
        <v/>
      </c>
      <c r="H216" s="8">
        <f>IF($A216="","",BDP($A216,H$3))</f>
        <v/>
      </c>
      <c r="I216" s="8">
        <f>IF($A216="","",BDP($A216,I$3))</f>
        <v/>
      </c>
      <c r="J216" s="8">
        <f>IF($A216="","",BDP($A216,J$3))</f>
        <v/>
      </c>
      <c r="K216" s="8">
        <f>IF($A216="","",BDP($A216,K$3))</f>
        <v/>
      </c>
      <c r="L216" s="28">
        <f>IF($A216="","",BDP($A216,L$3))</f>
        <v/>
      </c>
      <c r="M216" s="28">
        <f>IF($A216="","",BDP($A216,M$3))</f>
        <v/>
      </c>
      <c r="N216" s="30">
        <f>IF($A216="","",BDP($A216,N$3))</f>
        <v/>
      </c>
      <c r="O216" s="31">
        <f>IF($A216="","",BDP($A216,O$3))</f>
        <v/>
      </c>
      <c r="P216" s="30">
        <f>IF($A216="","",BDH($A216,$N$3,'參數'!$B$5,'參數'!$B$5,"Days=A","Fill=P","Dates=H"))</f>
        <v/>
      </c>
      <c r="Q216" s="30">
        <f>IF($A216="","",BDH($A216,$N$3,'參數'!$B$6,'參數'!$B$6,"Days=A","Fill=P","Dates=H"))</f>
        <v/>
      </c>
      <c r="R216" s="30">
        <f>IF($A216="","",BDH($A216,$N$3,'參數'!$B$7,'參數'!$B$7,"Days=A","Fill=P","Dates=H"))</f>
        <v/>
      </c>
      <c r="S216" s="32">
        <f>IF($A216="","",IFERROR(INDEX('發行人'!$A$5:$A$44,MATCH(B216,'發行人'!$D$5:$D$44,0)),"未對應"))</f>
        <v/>
      </c>
      <c r="T216" s="24">
        <f>IF($A216="","",IFERROR(INDEX('發行人'!$G$5:$G$44,MATCH(B216,'發行人'!$D$5:$D$44,0))+0,""))</f>
        <v/>
      </c>
      <c r="U216" s="18">
        <f>IF(ISNUMBER(E216),YEARFRAC('參數'!$B$4,E216),"")</f>
        <v/>
      </c>
      <c r="V216" s="8">
        <f>IF(U216="","",IF(U216&lt;3,"1-3y",IF(U216&lt;5,"3-5y",IF(U216&lt;7,"5-7y",IF(U216&lt;10,"7-10y","10y+")))))</f>
        <v/>
      </c>
      <c r="W216" s="30">
        <f>IF($A216="","",IFERROR(INDEX('參數'!$B$24:$B$45,MATCH(G216,'參數'!$A$24:$A$45,0)),""))</f>
        <v/>
      </c>
      <c r="X216" s="8">
        <f>IF($A216="","",IFERROR(INDEX('參數'!$C$24:$C$45,MATCH(G216,'參數'!$A$24:$A$45,0)),""))</f>
        <v/>
      </c>
      <c r="Y216" s="30">
        <f>IF(AND(ISNUMBER(N216),ISNUMBER(O216),ISNUMBER(U216)),IF(AND(O216&gt;0,X216&lt;&gt;""),1,0),0)</f>
        <v/>
      </c>
      <c r="Z216" s="17">
        <f>IF(Y216=1,O216*N216,"")</f>
        <v/>
      </c>
      <c r="AA216" s="33">
        <f>IF(Y216=1,IF(ISNUMBER(Q216),N216-Q216,""),"")</f>
        <v/>
      </c>
      <c r="AB216" s="33">
        <f>IF(Y216=1,IF(AND(ISNUMBER(P216),ISNUMBER(R216)),R216*5/12-O216*(P216-R216),""),"")</f>
        <v/>
      </c>
      <c r="AC216" s="30">
        <f>IF(Y216=1,COUNTIFS($X$5:$X$404,X216,$V$5:$V$404,V216,$Y$5:$Y$404,1),"")</f>
        <v/>
      </c>
      <c r="AD216" s="30">
        <f>IF(Y216=1,IFERROR(IF(AC216&gt;='參數'!$B$9,INDEX('分群統計'!$G$13:$K$16,MATCH(X216,'分群統計'!$A$13:$A$16,0),MATCH(V216,'分群統計'!$G$12:$K$12,0)),INDEX('分群統計'!$I$5:$I$8,MATCH(X216,'分群統計'!$A$5:$A$8,0))),""),"")</f>
        <v/>
      </c>
      <c r="AE216" s="18">
        <f>IF(Y216=1,IFERROR(IF(AC216&gt;='參數'!$B$9,INDEX('分群統計'!$L$13:$P$16,MATCH(X216,'分群統計'!$A$13:$A$16,0),MATCH(V216,'分群統計'!$L$12:$P$12,0)),INDEX('分群統計'!$J$5:$J$8,MATCH(X216,'分群統計'!$A$5:$A$8,0))),""),"")</f>
        <v/>
      </c>
      <c r="AF216" s="31">
        <f>IF(ISNUMBER(AE216),IF(AE216&gt;0,MAX(-3,MIN(3,(N216-AD216)/AE216)),0),"")</f>
        <v/>
      </c>
      <c r="AG216" s="30">
        <f>IF(Y216=1,COUNTIFS($B$5:$B$404,B216,$Y$5:$Y$404,1),"")</f>
        <v/>
      </c>
      <c r="AH216" s="30">
        <f>IF(Y216=1,IFERROR(IF(ISNUMBER(INDEX('分群統計'!$G$20:$G$59,MATCH(B216,'分群統計'!$A$20:$A$59,0))),INDEX('分群統計'!$H$20:$H$59,MATCH(B216,'分群統計'!$A$20:$A$59,0))+INDEX('分群統計'!$G$20:$G$59,MATCH(B216,'分群統計'!$A$20:$A$59,0))*AU216,""),""),"")</f>
        <v/>
      </c>
      <c r="AI216" s="34">
        <f>IF(ISNUMBER(AH216),N216-AH216,"")</f>
        <v/>
      </c>
      <c r="AJ216" s="30">
        <f>IF(Y216=1,IFERROR(IF(ISNUMBER(INDEX('分群統計'!$G$5:$G$8,MATCH(X216,'分群統計'!$A$5:$A$8,0))),INDEX('分群統計'!$H$5:$H$8,MATCH(X216,'分群統計'!$A$5:$A$8,0))+INDEX('分群統計'!$G$5:$G$8,MATCH(X216,'分群統計'!$A$5:$A$8,0))*AU216,""),""),"")</f>
        <v/>
      </c>
      <c r="AK216" s="34">
        <f>IF(ISNUMBER(AJ216),N216-AJ216,"")</f>
        <v/>
      </c>
      <c r="AL216" s="21">
        <f>IF(ISNUMBER(AJ216),IF(AJ216&gt;0,AK216/AJ216,""),"")</f>
        <v/>
      </c>
      <c r="AM216" s="31">
        <f>IF(AY216&lt;&gt;1,"",IFERROR(IF(INDEX('分群統計'!$K$5:$K$8,MATCH(X216,'分群統計'!$A$5:$A$8,0))&lt;3,"",IF(INDEX('分群統計'!$M$5:$M$8,MATCH(X216,'分群統計'!$A$5:$A$8,0))&gt;0,MAX(-3,MIN(3,(AX216-INDEX('分群統計'!$L$5:$L$8,MATCH(X216,'分群統計'!$A$5:$A$8,0)))/INDEX('分群統計'!$M$5:$M$8,MATCH(X216,'分群統計'!$A$5:$A$8,0)))),0)),""))</f>
        <v/>
      </c>
      <c r="AN216" s="31">
        <f>IF(ISNUMBER(AB216),IF(Z216&gt;0,AB216/Z216*100,""),"")</f>
        <v/>
      </c>
      <c r="AO216" s="31">
        <f>IF(BA216&lt;&gt;1,"",IFERROR(IF(INDEX('分群統計'!$N$5:$N$8,MATCH(X216,'分群統計'!$A$5:$A$8,0))&lt;3,"",IF(INDEX('分群統計'!$P$5:$P$8,MATCH(X216,'分群統計'!$A$5:$A$8,0))&gt;0,MAX(-3,MIN(3,(AZ216-INDEX('分群統計'!$O$5:$O$8,MATCH(X216,'分群統計'!$A$5:$A$8,0)))/INDEX('分群統計'!$P$5:$P$8,MATCH(X216,'分群統計'!$A$5:$A$8,0)))),0)),""))</f>
        <v/>
      </c>
      <c r="AP216" s="31">
        <f>IF(BC216&lt;&gt;1,"",IFERROR(IF(INDEX('分群統計'!$Q$5:$Q$8,MATCH(X216,'分群統計'!$A$5:$A$8,0))&lt;3,"",IF(INDEX('分群統計'!$S$5:$S$8,MATCH(X216,'分群統計'!$A$5:$A$8,0))&gt;0,MAX(-3,MIN(3,(BB216-INDEX('分群統計'!$R$5:$R$8,MATCH(X216,'分群統計'!$A$5:$A$8,0)))/INDEX('分群統計'!$S$5:$S$8,MATCH(X216,'分群統計'!$A$5:$A$8,0)))),0)),""))</f>
        <v/>
      </c>
      <c r="AQ216" s="31">
        <f>IF(Y216=1,(IF(ISNUMBER(AF216),AF216,0)*'參數'!$B$13+IF(ISNUMBER(AM216),AM216,0)*'參數'!$B$14+IF(ISNUMBER(AO216),AO216,0)*'參數'!$B$15+IF(ISNUMBER(AP216),AP216,0)*'參數'!$B$16)/('參數'!$B$13+'參數'!$B$14+'參數'!$B$15+'參數'!$B$16),"")</f>
        <v/>
      </c>
      <c r="AR216" s="35">
        <f>IF(Y216=1,(SUMPRODUCT(($X$5:$X$404=X216)*($Y$5:$Y$404=1)*($BD$5:$BD$404&gt;BD216))+1)/COUNTIFS($X$5:$X$404,X216,$Y$5:$Y$404,1),"")</f>
        <v/>
      </c>
      <c r="AS216" s="8">
        <f>IF(ISNUMBER(AR216),IF(AR216&lt;='參數'!$B$18,"加碼候選",IF(AR216&gt;'參數'!$B$19,"減碼候選","")),"")</f>
        <v/>
      </c>
      <c r="AT216" s="7">
        <f>IF(Y216=1,N216,0)</f>
        <v/>
      </c>
      <c r="AU216" s="7">
        <f>IF(Y216=1,LN(O216),0)</f>
        <v/>
      </c>
      <c r="AV216" s="36">
        <f>IF(Y216=1,IF(ISNUMBER(F216),F216,0),0)</f>
        <v/>
      </c>
      <c r="AW216" s="7">
        <f>IF(Y216=1,Z216,0)</f>
        <v/>
      </c>
      <c r="AX216" s="7">
        <f>IF(Y216=1,IF(ISNUMBER(AL216),AL216,0),0)</f>
        <v/>
      </c>
      <c r="AY216" s="7">
        <f>IF(Y216=1,IF(ISNUMBER(AL216),1,0),0)</f>
        <v/>
      </c>
      <c r="AZ216" s="7">
        <f>IF(Y216=1,IF(ISNUMBER(AN216),AN216,0),0)</f>
        <v/>
      </c>
      <c r="BA216" s="7">
        <f>IF(Y216=1,IF(ISNUMBER(AN216),1,0),0)</f>
        <v/>
      </c>
      <c r="BB216" s="7">
        <f>IF(Y216=1,IF(ISNUMBER(T216),T216,0),0)</f>
        <v/>
      </c>
      <c r="BC216" s="7">
        <f>IF(Y216=1,IF(ISNUMBER(T216),1,0),0)</f>
        <v/>
      </c>
      <c r="BD216" s="7">
        <f>IF(Y216=1,AQ216+ROW()/1E9,-1E9)</f>
        <v/>
      </c>
      <c r="BE216" s="7">
        <f>IF(Y216=1,AQ216+ROW()/1E9,1E9)</f>
        <v/>
      </c>
    </row>
    <row r="217">
      <c r="A217" s="16" t="n"/>
      <c r="B217" s="8">
        <f>IF($A217="","",BDP($A217,B$3))</f>
        <v/>
      </c>
      <c r="C217" s="8">
        <f>IF($A217="","",BDP($A217,C$3))</f>
        <v/>
      </c>
      <c r="D217" s="28">
        <f>IF($A217="","",BDP($A217,D$3))</f>
        <v/>
      </c>
      <c r="E217" s="29">
        <f>IF($A217="","",BDP($A217,E$3))</f>
        <v/>
      </c>
      <c r="F217" s="17">
        <f>IF($A217="","",BDP($A217,F$3))</f>
        <v/>
      </c>
      <c r="G217" s="8">
        <f>IF($A217="","",BDP($A217,G$3))</f>
        <v/>
      </c>
      <c r="H217" s="8">
        <f>IF($A217="","",BDP($A217,H$3))</f>
        <v/>
      </c>
      <c r="I217" s="8">
        <f>IF($A217="","",BDP($A217,I$3))</f>
        <v/>
      </c>
      <c r="J217" s="8">
        <f>IF($A217="","",BDP($A217,J$3))</f>
        <v/>
      </c>
      <c r="K217" s="8">
        <f>IF($A217="","",BDP($A217,K$3))</f>
        <v/>
      </c>
      <c r="L217" s="28">
        <f>IF($A217="","",BDP($A217,L$3))</f>
        <v/>
      </c>
      <c r="M217" s="28">
        <f>IF($A217="","",BDP($A217,M$3))</f>
        <v/>
      </c>
      <c r="N217" s="30">
        <f>IF($A217="","",BDP($A217,N$3))</f>
        <v/>
      </c>
      <c r="O217" s="31">
        <f>IF($A217="","",BDP($A217,O$3))</f>
        <v/>
      </c>
      <c r="P217" s="30">
        <f>IF($A217="","",BDH($A217,$N$3,'參數'!$B$5,'參數'!$B$5,"Days=A","Fill=P","Dates=H"))</f>
        <v/>
      </c>
      <c r="Q217" s="30">
        <f>IF($A217="","",BDH($A217,$N$3,'參數'!$B$6,'參數'!$B$6,"Days=A","Fill=P","Dates=H"))</f>
        <v/>
      </c>
      <c r="R217" s="30">
        <f>IF($A217="","",BDH($A217,$N$3,'參數'!$B$7,'參數'!$B$7,"Days=A","Fill=P","Dates=H"))</f>
        <v/>
      </c>
      <c r="S217" s="32">
        <f>IF($A217="","",IFERROR(INDEX('發行人'!$A$5:$A$44,MATCH(B217,'發行人'!$D$5:$D$44,0)),"未對應"))</f>
        <v/>
      </c>
      <c r="T217" s="24">
        <f>IF($A217="","",IFERROR(INDEX('發行人'!$G$5:$G$44,MATCH(B217,'發行人'!$D$5:$D$44,0))+0,""))</f>
        <v/>
      </c>
      <c r="U217" s="18">
        <f>IF(ISNUMBER(E217),YEARFRAC('參數'!$B$4,E217),"")</f>
        <v/>
      </c>
      <c r="V217" s="8">
        <f>IF(U217="","",IF(U217&lt;3,"1-3y",IF(U217&lt;5,"3-5y",IF(U217&lt;7,"5-7y",IF(U217&lt;10,"7-10y","10y+")))))</f>
        <v/>
      </c>
      <c r="W217" s="30">
        <f>IF($A217="","",IFERROR(INDEX('參數'!$B$24:$B$45,MATCH(G217,'參數'!$A$24:$A$45,0)),""))</f>
        <v/>
      </c>
      <c r="X217" s="8">
        <f>IF($A217="","",IFERROR(INDEX('參數'!$C$24:$C$45,MATCH(G217,'參數'!$A$24:$A$45,0)),""))</f>
        <v/>
      </c>
      <c r="Y217" s="30">
        <f>IF(AND(ISNUMBER(N217),ISNUMBER(O217),ISNUMBER(U217)),IF(AND(O217&gt;0,X217&lt;&gt;""),1,0),0)</f>
        <v/>
      </c>
      <c r="Z217" s="17">
        <f>IF(Y217=1,O217*N217,"")</f>
        <v/>
      </c>
      <c r="AA217" s="33">
        <f>IF(Y217=1,IF(ISNUMBER(Q217),N217-Q217,""),"")</f>
        <v/>
      </c>
      <c r="AB217" s="33">
        <f>IF(Y217=1,IF(AND(ISNUMBER(P217),ISNUMBER(R217)),R217*5/12-O217*(P217-R217),""),"")</f>
        <v/>
      </c>
      <c r="AC217" s="30">
        <f>IF(Y217=1,COUNTIFS($X$5:$X$404,X217,$V$5:$V$404,V217,$Y$5:$Y$404,1),"")</f>
        <v/>
      </c>
      <c r="AD217" s="30">
        <f>IF(Y217=1,IFERROR(IF(AC217&gt;='參數'!$B$9,INDEX('分群統計'!$G$13:$K$16,MATCH(X217,'分群統計'!$A$13:$A$16,0),MATCH(V217,'分群統計'!$G$12:$K$12,0)),INDEX('分群統計'!$I$5:$I$8,MATCH(X217,'分群統計'!$A$5:$A$8,0))),""),"")</f>
        <v/>
      </c>
      <c r="AE217" s="18">
        <f>IF(Y217=1,IFERROR(IF(AC217&gt;='參數'!$B$9,INDEX('分群統計'!$L$13:$P$16,MATCH(X217,'分群統計'!$A$13:$A$16,0),MATCH(V217,'分群統計'!$L$12:$P$12,0)),INDEX('分群統計'!$J$5:$J$8,MATCH(X217,'分群統計'!$A$5:$A$8,0))),""),"")</f>
        <v/>
      </c>
      <c r="AF217" s="31">
        <f>IF(ISNUMBER(AE217),IF(AE217&gt;0,MAX(-3,MIN(3,(N217-AD217)/AE217)),0),"")</f>
        <v/>
      </c>
      <c r="AG217" s="30">
        <f>IF(Y217=1,COUNTIFS($B$5:$B$404,B217,$Y$5:$Y$404,1),"")</f>
        <v/>
      </c>
      <c r="AH217" s="30">
        <f>IF(Y217=1,IFERROR(IF(ISNUMBER(INDEX('分群統計'!$G$20:$G$59,MATCH(B217,'分群統計'!$A$20:$A$59,0))),INDEX('分群統計'!$H$20:$H$59,MATCH(B217,'分群統計'!$A$20:$A$59,0))+INDEX('分群統計'!$G$20:$G$59,MATCH(B217,'分群統計'!$A$20:$A$59,0))*AU217,""),""),"")</f>
        <v/>
      </c>
      <c r="AI217" s="34">
        <f>IF(ISNUMBER(AH217),N217-AH217,"")</f>
        <v/>
      </c>
      <c r="AJ217" s="30">
        <f>IF(Y217=1,IFERROR(IF(ISNUMBER(INDEX('分群統計'!$G$5:$G$8,MATCH(X217,'分群統計'!$A$5:$A$8,0))),INDEX('分群統計'!$H$5:$H$8,MATCH(X217,'分群統計'!$A$5:$A$8,0))+INDEX('分群統計'!$G$5:$G$8,MATCH(X217,'分群統計'!$A$5:$A$8,0))*AU217,""),""),"")</f>
        <v/>
      </c>
      <c r="AK217" s="34">
        <f>IF(ISNUMBER(AJ217),N217-AJ217,"")</f>
        <v/>
      </c>
      <c r="AL217" s="21">
        <f>IF(ISNUMBER(AJ217),IF(AJ217&gt;0,AK217/AJ217,""),"")</f>
        <v/>
      </c>
      <c r="AM217" s="31">
        <f>IF(AY217&lt;&gt;1,"",IFERROR(IF(INDEX('分群統計'!$K$5:$K$8,MATCH(X217,'分群統計'!$A$5:$A$8,0))&lt;3,"",IF(INDEX('分群統計'!$M$5:$M$8,MATCH(X217,'分群統計'!$A$5:$A$8,0))&gt;0,MAX(-3,MIN(3,(AX217-INDEX('分群統計'!$L$5:$L$8,MATCH(X217,'分群統計'!$A$5:$A$8,0)))/INDEX('分群統計'!$M$5:$M$8,MATCH(X217,'分群統計'!$A$5:$A$8,0)))),0)),""))</f>
        <v/>
      </c>
      <c r="AN217" s="31">
        <f>IF(ISNUMBER(AB217),IF(Z217&gt;0,AB217/Z217*100,""),"")</f>
        <v/>
      </c>
      <c r="AO217" s="31">
        <f>IF(BA217&lt;&gt;1,"",IFERROR(IF(INDEX('分群統計'!$N$5:$N$8,MATCH(X217,'分群統計'!$A$5:$A$8,0))&lt;3,"",IF(INDEX('分群統計'!$P$5:$P$8,MATCH(X217,'分群統計'!$A$5:$A$8,0))&gt;0,MAX(-3,MIN(3,(AZ217-INDEX('分群統計'!$O$5:$O$8,MATCH(X217,'分群統計'!$A$5:$A$8,0)))/INDEX('分群統計'!$P$5:$P$8,MATCH(X217,'分群統計'!$A$5:$A$8,0)))),0)),""))</f>
        <v/>
      </c>
      <c r="AP217" s="31">
        <f>IF(BC217&lt;&gt;1,"",IFERROR(IF(INDEX('分群統計'!$Q$5:$Q$8,MATCH(X217,'分群統計'!$A$5:$A$8,0))&lt;3,"",IF(INDEX('分群統計'!$S$5:$S$8,MATCH(X217,'分群統計'!$A$5:$A$8,0))&gt;0,MAX(-3,MIN(3,(BB217-INDEX('分群統計'!$R$5:$R$8,MATCH(X217,'分群統計'!$A$5:$A$8,0)))/INDEX('分群統計'!$S$5:$S$8,MATCH(X217,'分群統計'!$A$5:$A$8,0)))),0)),""))</f>
        <v/>
      </c>
      <c r="AQ217" s="31">
        <f>IF(Y217=1,(IF(ISNUMBER(AF217),AF217,0)*'參數'!$B$13+IF(ISNUMBER(AM217),AM217,0)*'參數'!$B$14+IF(ISNUMBER(AO217),AO217,0)*'參數'!$B$15+IF(ISNUMBER(AP217),AP217,0)*'參數'!$B$16)/('參數'!$B$13+'參數'!$B$14+'參數'!$B$15+'參數'!$B$16),"")</f>
        <v/>
      </c>
      <c r="AR217" s="35">
        <f>IF(Y217=1,(SUMPRODUCT(($X$5:$X$404=X217)*($Y$5:$Y$404=1)*($BD$5:$BD$404&gt;BD217))+1)/COUNTIFS($X$5:$X$404,X217,$Y$5:$Y$404,1),"")</f>
        <v/>
      </c>
      <c r="AS217" s="8">
        <f>IF(ISNUMBER(AR217),IF(AR217&lt;='參數'!$B$18,"加碼候選",IF(AR217&gt;'參數'!$B$19,"減碼候選","")),"")</f>
        <v/>
      </c>
      <c r="AT217" s="7">
        <f>IF(Y217=1,N217,0)</f>
        <v/>
      </c>
      <c r="AU217" s="7">
        <f>IF(Y217=1,LN(O217),0)</f>
        <v/>
      </c>
      <c r="AV217" s="36">
        <f>IF(Y217=1,IF(ISNUMBER(F217),F217,0),0)</f>
        <v/>
      </c>
      <c r="AW217" s="7">
        <f>IF(Y217=1,Z217,0)</f>
        <v/>
      </c>
      <c r="AX217" s="7">
        <f>IF(Y217=1,IF(ISNUMBER(AL217),AL217,0),0)</f>
        <v/>
      </c>
      <c r="AY217" s="7">
        <f>IF(Y217=1,IF(ISNUMBER(AL217),1,0),0)</f>
        <v/>
      </c>
      <c r="AZ217" s="7">
        <f>IF(Y217=1,IF(ISNUMBER(AN217),AN217,0),0)</f>
        <v/>
      </c>
      <c r="BA217" s="7">
        <f>IF(Y217=1,IF(ISNUMBER(AN217),1,0),0)</f>
        <v/>
      </c>
      <c r="BB217" s="7">
        <f>IF(Y217=1,IF(ISNUMBER(T217),T217,0),0)</f>
        <v/>
      </c>
      <c r="BC217" s="7">
        <f>IF(Y217=1,IF(ISNUMBER(T217),1,0),0)</f>
        <v/>
      </c>
      <c r="BD217" s="7">
        <f>IF(Y217=1,AQ217+ROW()/1E9,-1E9)</f>
        <v/>
      </c>
      <c r="BE217" s="7">
        <f>IF(Y217=1,AQ217+ROW()/1E9,1E9)</f>
        <v/>
      </c>
    </row>
    <row r="218">
      <c r="A218" s="16" t="n"/>
      <c r="B218" s="8">
        <f>IF($A218="","",BDP($A218,B$3))</f>
        <v/>
      </c>
      <c r="C218" s="8">
        <f>IF($A218="","",BDP($A218,C$3))</f>
        <v/>
      </c>
      <c r="D218" s="28">
        <f>IF($A218="","",BDP($A218,D$3))</f>
        <v/>
      </c>
      <c r="E218" s="29">
        <f>IF($A218="","",BDP($A218,E$3))</f>
        <v/>
      </c>
      <c r="F218" s="17">
        <f>IF($A218="","",BDP($A218,F$3))</f>
        <v/>
      </c>
      <c r="G218" s="8">
        <f>IF($A218="","",BDP($A218,G$3))</f>
        <v/>
      </c>
      <c r="H218" s="8">
        <f>IF($A218="","",BDP($A218,H$3))</f>
        <v/>
      </c>
      <c r="I218" s="8">
        <f>IF($A218="","",BDP($A218,I$3))</f>
        <v/>
      </c>
      <c r="J218" s="8">
        <f>IF($A218="","",BDP($A218,J$3))</f>
        <v/>
      </c>
      <c r="K218" s="8">
        <f>IF($A218="","",BDP($A218,K$3))</f>
        <v/>
      </c>
      <c r="L218" s="28">
        <f>IF($A218="","",BDP($A218,L$3))</f>
        <v/>
      </c>
      <c r="M218" s="28">
        <f>IF($A218="","",BDP($A218,M$3))</f>
        <v/>
      </c>
      <c r="N218" s="30">
        <f>IF($A218="","",BDP($A218,N$3))</f>
        <v/>
      </c>
      <c r="O218" s="31">
        <f>IF($A218="","",BDP($A218,O$3))</f>
        <v/>
      </c>
      <c r="P218" s="30">
        <f>IF($A218="","",BDH($A218,$N$3,'參數'!$B$5,'參數'!$B$5,"Days=A","Fill=P","Dates=H"))</f>
        <v/>
      </c>
      <c r="Q218" s="30">
        <f>IF($A218="","",BDH($A218,$N$3,'參數'!$B$6,'參數'!$B$6,"Days=A","Fill=P","Dates=H"))</f>
        <v/>
      </c>
      <c r="R218" s="30">
        <f>IF($A218="","",BDH($A218,$N$3,'參數'!$B$7,'參數'!$B$7,"Days=A","Fill=P","Dates=H"))</f>
        <v/>
      </c>
      <c r="S218" s="32">
        <f>IF($A218="","",IFERROR(INDEX('發行人'!$A$5:$A$44,MATCH(B218,'發行人'!$D$5:$D$44,0)),"未對應"))</f>
        <v/>
      </c>
      <c r="T218" s="24">
        <f>IF($A218="","",IFERROR(INDEX('發行人'!$G$5:$G$44,MATCH(B218,'發行人'!$D$5:$D$44,0))+0,""))</f>
        <v/>
      </c>
      <c r="U218" s="18">
        <f>IF(ISNUMBER(E218),YEARFRAC('參數'!$B$4,E218),"")</f>
        <v/>
      </c>
      <c r="V218" s="8">
        <f>IF(U218="","",IF(U218&lt;3,"1-3y",IF(U218&lt;5,"3-5y",IF(U218&lt;7,"5-7y",IF(U218&lt;10,"7-10y","10y+")))))</f>
        <v/>
      </c>
      <c r="W218" s="30">
        <f>IF($A218="","",IFERROR(INDEX('參數'!$B$24:$B$45,MATCH(G218,'參數'!$A$24:$A$45,0)),""))</f>
        <v/>
      </c>
      <c r="X218" s="8">
        <f>IF($A218="","",IFERROR(INDEX('參數'!$C$24:$C$45,MATCH(G218,'參數'!$A$24:$A$45,0)),""))</f>
        <v/>
      </c>
      <c r="Y218" s="30">
        <f>IF(AND(ISNUMBER(N218),ISNUMBER(O218),ISNUMBER(U218)),IF(AND(O218&gt;0,X218&lt;&gt;""),1,0),0)</f>
        <v/>
      </c>
      <c r="Z218" s="17">
        <f>IF(Y218=1,O218*N218,"")</f>
        <v/>
      </c>
      <c r="AA218" s="33">
        <f>IF(Y218=1,IF(ISNUMBER(Q218),N218-Q218,""),"")</f>
        <v/>
      </c>
      <c r="AB218" s="33">
        <f>IF(Y218=1,IF(AND(ISNUMBER(P218),ISNUMBER(R218)),R218*5/12-O218*(P218-R218),""),"")</f>
        <v/>
      </c>
      <c r="AC218" s="30">
        <f>IF(Y218=1,COUNTIFS($X$5:$X$404,X218,$V$5:$V$404,V218,$Y$5:$Y$404,1),"")</f>
        <v/>
      </c>
      <c r="AD218" s="30">
        <f>IF(Y218=1,IFERROR(IF(AC218&gt;='參數'!$B$9,INDEX('分群統計'!$G$13:$K$16,MATCH(X218,'分群統計'!$A$13:$A$16,0),MATCH(V218,'分群統計'!$G$12:$K$12,0)),INDEX('分群統計'!$I$5:$I$8,MATCH(X218,'分群統計'!$A$5:$A$8,0))),""),"")</f>
        <v/>
      </c>
      <c r="AE218" s="18">
        <f>IF(Y218=1,IFERROR(IF(AC218&gt;='參數'!$B$9,INDEX('分群統計'!$L$13:$P$16,MATCH(X218,'分群統計'!$A$13:$A$16,0),MATCH(V218,'分群統計'!$L$12:$P$12,0)),INDEX('分群統計'!$J$5:$J$8,MATCH(X218,'分群統計'!$A$5:$A$8,0))),""),"")</f>
        <v/>
      </c>
      <c r="AF218" s="31">
        <f>IF(ISNUMBER(AE218),IF(AE218&gt;0,MAX(-3,MIN(3,(N218-AD218)/AE218)),0),"")</f>
        <v/>
      </c>
      <c r="AG218" s="30">
        <f>IF(Y218=1,COUNTIFS($B$5:$B$404,B218,$Y$5:$Y$404,1),"")</f>
        <v/>
      </c>
      <c r="AH218" s="30">
        <f>IF(Y218=1,IFERROR(IF(ISNUMBER(INDEX('分群統計'!$G$20:$G$59,MATCH(B218,'分群統計'!$A$20:$A$59,0))),INDEX('分群統計'!$H$20:$H$59,MATCH(B218,'分群統計'!$A$20:$A$59,0))+INDEX('分群統計'!$G$20:$G$59,MATCH(B218,'分群統計'!$A$20:$A$59,0))*AU218,""),""),"")</f>
        <v/>
      </c>
      <c r="AI218" s="34">
        <f>IF(ISNUMBER(AH218),N218-AH218,"")</f>
        <v/>
      </c>
      <c r="AJ218" s="30">
        <f>IF(Y218=1,IFERROR(IF(ISNUMBER(INDEX('分群統計'!$G$5:$G$8,MATCH(X218,'分群統計'!$A$5:$A$8,0))),INDEX('分群統計'!$H$5:$H$8,MATCH(X218,'分群統計'!$A$5:$A$8,0))+INDEX('分群統計'!$G$5:$G$8,MATCH(X218,'分群統計'!$A$5:$A$8,0))*AU218,""),""),"")</f>
        <v/>
      </c>
      <c r="AK218" s="34">
        <f>IF(ISNUMBER(AJ218),N218-AJ218,"")</f>
        <v/>
      </c>
      <c r="AL218" s="21">
        <f>IF(ISNUMBER(AJ218),IF(AJ218&gt;0,AK218/AJ218,""),"")</f>
        <v/>
      </c>
      <c r="AM218" s="31">
        <f>IF(AY218&lt;&gt;1,"",IFERROR(IF(INDEX('分群統計'!$K$5:$K$8,MATCH(X218,'分群統計'!$A$5:$A$8,0))&lt;3,"",IF(INDEX('分群統計'!$M$5:$M$8,MATCH(X218,'分群統計'!$A$5:$A$8,0))&gt;0,MAX(-3,MIN(3,(AX218-INDEX('分群統計'!$L$5:$L$8,MATCH(X218,'分群統計'!$A$5:$A$8,0)))/INDEX('分群統計'!$M$5:$M$8,MATCH(X218,'分群統計'!$A$5:$A$8,0)))),0)),""))</f>
        <v/>
      </c>
      <c r="AN218" s="31">
        <f>IF(ISNUMBER(AB218),IF(Z218&gt;0,AB218/Z218*100,""),"")</f>
        <v/>
      </c>
      <c r="AO218" s="31">
        <f>IF(BA218&lt;&gt;1,"",IFERROR(IF(INDEX('分群統計'!$N$5:$N$8,MATCH(X218,'分群統計'!$A$5:$A$8,0))&lt;3,"",IF(INDEX('分群統計'!$P$5:$P$8,MATCH(X218,'分群統計'!$A$5:$A$8,0))&gt;0,MAX(-3,MIN(3,(AZ218-INDEX('分群統計'!$O$5:$O$8,MATCH(X218,'分群統計'!$A$5:$A$8,0)))/INDEX('分群統計'!$P$5:$P$8,MATCH(X218,'分群統計'!$A$5:$A$8,0)))),0)),""))</f>
        <v/>
      </c>
      <c r="AP218" s="31">
        <f>IF(BC218&lt;&gt;1,"",IFERROR(IF(INDEX('分群統計'!$Q$5:$Q$8,MATCH(X218,'分群統計'!$A$5:$A$8,0))&lt;3,"",IF(INDEX('分群統計'!$S$5:$S$8,MATCH(X218,'分群統計'!$A$5:$A$8,0))&gt;0,MAX(-3,MIN(3,(BB218-INDEX('分群統計'!$R$5:$R$8,MATCH(X218,'分群統計'!$A$5:$A$8,0)))/INDEX('分群統計'!$S$5:$S$8,MATCH(X218,'分群統計'!$A$5:$A$8,0)))),0)),""))</f>
        <v/>
      </c>
      <c r="AQ218" s="31">
        <f>IF(Y218=1,(IF(ISNUMBER(AF218),AF218,0)*'參數'!$B$13+IF(ISNUMBER(AM218),AM218,0)*'參數'!$B$14+IF(ISNUMBER(AO218),AO218,0)*'參數'!$B$15+IF(ISNUMBER(AP218),AP218,0)*'參數'!$B$16)/('參數'!$B$13+'參數'!$B$14+'參數'!$B$15+'參數'!$B$16),"")</f>
        <v/>
      </c>
      <c r="AR218" s="35">
        <f>IF(Y218=1,(SUMPRODUCT(($X$5:$X$404=X218)*($Y$5:$Y$404=1)*($BD$5:$BD$404&gt;BD218))+1)/COUNTIFS($X$5:$X$404,X218,$Y$5:$Y$404,1),"")</f>
        <v/>
      </c>
      <c r="AS218" s="8">
        <f>IF(ISNUMBER(AR218),IF(AR218&lt;='參數'!$B$18,"加碼候選",IF(AR218&gt;'參數'!$B$19,"減碼候選","")),"")</f>
        <v/>
      </c>
      <c r="AT218" s="7">
        <f>IF(Y218=1,N218,0)</f>
        <v/>
      </c>
      <c r="AU218" s="7">
        <f>IF(Y218=1,LN(O218),0)</f>
        <v/>
      </c>
      <c r="AV218" s="36">
        <f>IF(Y218=1,IF(ISNUMBER(F218),F218,0),0)</f>
        <v/>
      </c>
      <c r="AW218" s="7">
        <f>IF(Y218=1,Z218,0)</f>
        <v/>
      </c>
      <c r="AX218" s="7">
        <f>IF(Y218=1,IF(ISNUMBER(AL218),AL218,0),0)</f>
        <v/>
      </c>
      <c r="AY218" s="7">
        <f>IF(Y218=1,IF(ISNUMBER(AL218),1,0),0)</f>
        <v/>
      </c>
      <c r="AZ218" s="7">
        <f>IF(Y218=1,IF(ISNUMBER(AN218),AN218,0),0)</f>
        <v/>
      </c>
      <c r="BA218" s="7">
        <f>IF(Y218=1,IF(ISNUMBER(AN218),1,0),0)</f>
        <v/>
      </c>
      <c r="BB218" s="7">
        <f>IF(Y218=1,IF(ISNUMBER(T218),T218,0),0)</f>
        <v/>
      </c>
      <c r="BC218" s="7">
        <f>IF(Y218=1,IF(ISNUMBER(T218),1,0),0)</f>
        <v/>
      </c>
      <c r="BD218" s="7">
        <f>IF(Y218=1,AQ218+ROW()/1E9,-1E9)</f>
        <v/>
      </c>
      <c r="BE218" s="7">
        <f>IF(Y218=1,AQ218+ROW()/1E9,1E9)</f>
        <v/>
      </c>
    </row>
    <row r="219">
      <c r="A219" s="16" t="n"/>
      <c r="B219" s="8">
        <f>IF($A219="","",BDP($A219,B$3))</f>
        <v/>
      </c>
      <c r="C219" s="8">
        <f>IF($A219="","",BDP($A219,C$3))</f>
        <v/>
      </c>
      <c r="D219" s="28">
        <f>IF($A219="","",BDP($A219,D$3))</f>
        <v/>
      </c>
      <c r="E219" s="29">
        <f>IF($A219="","",BDP($A219,E$3))</f>
        <v/>
      </c>
      <c r="F219" s="17">
        <f>IF($A219="","",BDP($A219,F$3))</f>
        <v/>
      </c>
      <c r="G219" s="8">
        <f>IF($A219="","",BDP($A219,G$3))</f>
        <v/>
      </c>
      <c r="H219" s="8">
        <f>IF($A219="","",BDP($A219,H$3))</f>
        <v/>
      </c>
      <c r="I219" s="8">
        <f>IF($A219="","",BDP($A219,I$3))</f>
        <v/>
      </c>
      <c r="J219" s="8">
        <f>IF($A219="","",BDP($A219,J$3))</f>
        <v/>
      </c>
      <c r="K219" s="8">
        <f>IF($A219="","",BDP($A219,K$3))</f>
        <v/>
      </c>
      <c r="L219" s="28">
        <f>IF($A219="","",BDP($A219,L$3))</f>
        <v/>
      </c>
      <c r="M219" s="28">
        <f>IF($A219="","",BDP($A219,M$3))</f>
        <v/>
      </c>
      <c r="N219" s="30">
        <f>IF($A219="","",BDP($A219,N$3))</f>
        <v/>
      </c>
      <c r="O219" s="31">
        <f>IF($A219="","",BDP($A219,O$3))</f>
        <v/>
      </c>
      <c r="P219" s="30">
        <f>IF($A219="","",BDH($A219,$N$3,'參數'!$B$5,'參數'!$B$5,"Days=A","Fill=P","Dates=H"))</f>
        <v/>
      </c>
      <c r="Q219" s="30">
        <f>IF($A219="","",BDH($A219,$N$3,'參數'!$B$6,'參數'!$B$6,"Days=A","Fill=P","Dates=H"))</f>
        <v/>
      </c>
      <c r="R219" s="30">
        <f>IF($A219="","",BDH($A219,$N$3,'參數'!$B$7,'參數'!$B$7,"Days=A","Fill=P","Dates=H"))</f>
        <v/>
      </c>
      <c r="S219" s="32">
        <f>IF($A219="","",IFERROR(INDEX('發行人'!$A$5:$A$44,MATCH(B219,'發行人'!$D$5:$D$44,0)),"未對應"))</f>
        <v/>
      </c>
      <c r="T219" s="24">
        <f>IF($A219="","",IFERROR(INDEX('發行人'!$G$5:$G$44,MATCH(B219,'發行人'!$D$5:$D$44,0))+0,""))</f>
        <v/>
      </c>
      <c r="U219" s="18">
        <f>IF(ISNUMBER(E219),YEARFRAC('參數'!$B$4,E219),"")</f>
        <v/>
      </c>
      <c r="V219" s="8">
        <f>IF(U219="","",IF(U219&lt;3,"1-3y",IF(U219&lt;5,"3-5y",IF(U219&lt;7,"5-7y",IF(U219&lt;10,"7-10y","10y+")))))</f>
        <v/>
      </c>
      <c r="W219" s="30">
        <f>IF($A219="","",IFERROR(INDEX('參數'!$B$24:$B$45,MATCH(G219,'參數'!$A$24:$A$45,0)),""))</f>
        <v/>
      </c>
      <c r="X219" s="8">
        <f>IF($A219="","",IFERROR(INDEX('參數'!$C$24:$C$45,MATCH(G219,'參數'!$A$24:$A$45,0)),""))</f>
        <v/>
      </c>
      <c r="Y219" s="30">
        <f>IF(AND(ISNUMBER(N219),ISNUMBER(O219),ISNUMBER(U219)),IF(AND(O219&gt;0,X219&lt;&gt;""),1,0),0)</f>
        <v/>
      </c>
      <c r="Z219" s="17">
        <f>IF(Y219=1,O219*N219,"")</f>
        <v/>
      </c>
      <c r="AA219" s="33">
        <f>IF(Y219=1,IF(ISNUMBER(Q219),N219-Q219,""),"")</f>
        <v/>
      </c>
      <c r="AB219" s="33">
        <f>IF(Y219=1,IF(AND(ISNUMBER(P219),ISNUMBER(R219)),R219*5/12-O219*(P219-R219),""),"")</f>
        <v/>
      </c>
      <c r="AC219" s="30">
        <f>IF(Y219=1,COUNTIFS($X$5:$X$404,X219,$V$5:$V$404,V219,$Y$5:$Y$404,1),"")</f>
        <v/>
      </c>
      <c r="AD219" s="30">
        <f>IF(Y219=1,IFERROR(IF(AC219&gt;='參數'!$B$9,INDEX('分群統計'!$G$13:$K$16,MATCH(X219,'分群統計'!$A$13:$A$16,0),MATCH(V219,'分群統計'!$G$12:$K$12,0)),INDEX('分群統計'!$I$5:$I$8,MATCH(X219,'分群統計'!$A$5:$A$8,0))),""),"")</f>
        <v/>
      </c>
      <c r="AE219" s="18">
        <f>IF(Y219=1,IFERROR(IF(AC219&gt;='參數'!$B$9,INDEX('分群統計'!$L$13:$P$16,MATCH(X219,'分群統計'!$A$13:$A$16,0),MATCH(V219,'分群統計'!$L$12:$P$12,0)),INDEX('分群統計'!$J$5:$J$8,MATCH(X219,'分群統計'!$A$5:$A$8,0))),""),"")</f>
        <v/>
      </c>
      <c r="AF219" s="31">
        <f>IF(ISNUMBER(AE219),IF(AE219&gt;0,MAX(-3,MIN(3,(N219-AD219)/AE219)),0),"")</f>
        <v/>
      </c>
      <c r="AG219" s="30">
        <f>IF(Y219=1,COUNTIFS($B$5:$B$404,B219,$Y$5:$Y$404,1),"")</f>
        <v/>
      </c>
      <c r="AH219" s="30">
        <f>IF(Y219=1,IFERROR(IF(ISNUMBER(INDEX('分群統計'!$G$20:$G$59,MATCH(B219,'分群統計'!$A$20:$A$59,0))),INDEX('分群統計'!$H$20:$H$59,MATCH(B219,'分群統計'!$A$20:$A$59,0))+INDEX('分群統計'!$G$20:$G$59,MATCH(B219,'分群統計'!$A$20:$A$59,0))*AU219,""),""),"")</f>
        <v/>
      </c>
      <c r="AI219" s="34">
        <f>IF(ISNUMBER(AH219),N219-AH219,"")</f>
        <v/>
      </c>
      <c r="AJ219" s="30">
        <f>IF(Y219=1,IFERROR(IF(ISNUMBER(INDEX('分群統計'!$G$5:$G$8,MATCH(X219,'分群統計'!$A$5:$A$8,0))),INDEX('分群統計'!$H$5:$H$8,MATCH(X219,'分群統計'!$A$5:$A$8,0))+INDEX('分群統計'!$G$5:$G$8,MATCH(X219,'分群統計'!$A$5:$A$8,0))*AU219,""),""),"")</f>
        <v/>
      </c>
      <c r="AK219" s="34">
        <f>IF(ISNUMBER(AJ219),N219-AJ219,"")</f>
        <v/>
      </c>
      <c r="AL219" s="21">
        <f>IF(ISNUMBER(AJ219),IF(AJ219&gt;0,AK219/AJ219,""),"")</f>
        <v/>
      </c>
      <c r="AM219" s="31">
        <f>IF(AY219&lt;&gt;1,"",IFERROR(IF(INDEX('分群統計'!$K$5:$K$8,MATCH(X219,'分群統計'!$A$5:$A$8,0))&lt;3,"",IF(INDEX('分群統計'!$M$5:$M$8,MATCH(X219,'分群統計'!$A$5:$A$8,0))&gt;0,MAX(-3,MIN(3,(AX219-INDEX('分群統計'!$L$5:$L$8,MATCH(X219,'分群統計'!$A$5:$A$8,0)))/INDEX('分群統計'!$M$5:$M$8,MATCH(X219,'分群統計'!$A$5:$A$8,0)))),0)),""))</f>
        <v/>
      </c>
      <c r="AN219" s="31">
        <f>IF(ISNUMBER(AB219),IF(Z219&gt;0,AB219/Z219*100,""),"")</f>
        <v/>
      </c>
      <c r="AO219" s="31">
        <f>IF(BA219&lt;&gt;1,"",IFERROR(IF(INDEX('分群統計'!$N$5:$N$8,MATCH(X219,'分群統計'!$A$5:$A$8,0))&lt;3,"",IF(INDEX('分群統計'!$P$5:$P$8,MATCH(X219,'分群統計'!$A$5:$A$8,0))&gt;0,MAX(-3,MIN(3,(AZ219-INDEX('分群統計'!$O$5:$O$8,MATCH(X219,'分群統計'!$A$5:$A$8,0)))/INDEX('分群統計'!$P$5:$P$8,MATCH(X219,'分群統計'!$A$5:$A$8,0)))),0)),""))</f>
        <v/>
      </c>
      <c r="AP219" s="31">
        <f>IF(BC219&lt;&gt;1,"",IFERROR(IF(INDEX('分群統計'!$Q$5:$Q$8,MATCH(X219,'分群統計'!$A$5:$A$8,0))&lt;3,"",IF(INDEX('分群統計'!$S$5:$S$8,MATCH(X219,'分群統計'!$A$5:$A$8,0))&gt;0,MAX(-3,MIN(3,(BB219-INDEX('分群統計'!$R$5:$R$8,MATCH(X219,'分群統計'!$A$5:$A$8,0)))/INDEX('分群統計'!$S$5:$S$8,MATCH(X219,'分群統計'!$A$5:$A$8,0)))),0)),""))</f>
        <v/>
      </c>
      <c r="AQ219" s="31">
        <f>IF(Y219=1,(IF(ISNUMBER(AF219),AF219,0)*'參數'!$B$13+IF(ISNUMBER(AM219),AM219,0)*'參數'!$B$14+IF(ISNUMBER(AO219),AO219,0)*'參數'!$B$15+IF(ISNUMBER(AP219),AP219,0)*'參數'!$B$16)/('參數'!$B$13+'參數'!$B$14+'參數'!$B$15+'參數'!$B$16),"")</f>
        <v/>
      </c>
      <c r="AR219" s="35">
        <f>IF(Y219=1,(SUMPRODUCT(($X$5:$X$404=X219)*($Y$5:$Y$404=1)*($BD$5:$BD$404&gt;BD219))+1)/COUNTIFS($X$5:$X$404,X219,$Y$5:$Y$404,1),"")</f>
        <v/>
      </c>
      <c r="AS219" s="8">
        <f>IF(ISNUMBER(AR219),IF(AR219&lt;='參數'!$B$18,"加碼候選",IF(AR219&gt;'參數'!$B$19,"減碼候選","")),"")</f>
        <v/>
      </c>
      <c r="AT219" s="7">
        <f>IF(Y219=1,N219,0)</f>
        <v/>
      </c>
      <c r="AU219" s="7">
        <f>IF(Y219=1,LN(O219),0)</f>
        <v/>
      </c>
      <c r="AV219" s="36">
        <f>IF(Y219=1,IF(ISNUMBER(F219),F219,0),0)</f>
        <v/>
      </c>
      <c r="AW219" s="7">
        <f>IF(Y219=1,Z219,0)</f>
        <v/>
      </c>
      <c r="AX219" s="7">
        <f>IF(Y219=1,IF(ISNUMBER(AL219),AL219,0),0)</f>
        <v/>
      </c>
      <c r="AY219" s="7">
        <f>IF(Y219=1,IF(ISNUMBER(AL219),1,0),0)</f>
        <v/>
      </c>
      <c r="AZ219" s="7">
        <f>IF(Y219=1,IF(ISNUMBER(AN219),AN219,0),0)</f>
        <v/>
      </c>
      <c r="BA219" s="7">
        <f>IF(Y219=1,IF(ISNUMBER(AN219),1,0),0)</f>
        <v/>
      </c>
      <c r="BB219" s="7">
        <f>IF(Y219=1,IF(ISNUMBER(T219),T219,0),0)</f>
        <v/>
      </c>
      <c r="BC219" s="7">
        <f>IF(Y219=1,IF(ISNUMBER(T219),1,0),0)</f>
        <v/>
      </c>
      <c r="BD219" s="7">
        <f>IF(Y219=1,AQ219+ROW()/1E9,-1E9)</f>
        <v/>
      </c>
      <c r="BE219" s="7">
        <f>IF(Y219=1,AQ219+ROW()/1E9,1E9)</f>
        <v/>
      </c>
    </row>
    <row r="220">
      <c r="A220" s="16" t="n"/>
      <c r="B220" s="8">
        <f>IF($A220="","",BDP($A220,B$3))</f>
        <v/>
      </c>
      <c r="C220" s="8">
        <f>IF($A220="","",BDP($A220,C$3))</f>
        <v/>
      </c>
      <c r="D220" s="28">
        <f>IF($A220="","",BDP($A220,D$3))</f>
        <v/>
      </c>
      <c r="E220" s="29">
        <f>IF($A220="","",BDP($A220,E$3))</f>
        <v/>
      </c>
      <c r="F220" s="17">
        <f>IF($A220="","",BDP($A220,F$3))</f>
        <v/>
      </c>
      <c r="G220" s="8">
        <f>IF($A220="","",BDP($A220,G$3))</f>
        <v/>
      </c>
      <c r="H220" s="8">
        <f>IF($A220="","",BDP($A220,H$3))</f>
        <v/>
      </c>
      <c r="I220" s="8">
        <f>IF($A220="","",BDP($A220,I$3))</f>
        <v/>
      </c>
      <c r="J220" s="8">
        <f>IF($A220="","",BDP($A220,J$3))</f>
        <v/>
      </c>
      <c r="K220" s="8">
        <f>IF($A220="","",BDP($A220,K$3))</f>
        <v/>
      </c>
      <c r="L220" s="28">
        <f>IF($A220="","",BDP($A220,L$3))</f>
        <v/>
      </c>
      <c r="M220" s="28">
        <f>IF($A220="","",BDP($A220,M$3))</f>
        <v/>
      </c>
      <c r="N220" s="30">
        <f>IF($A220="","",BDP($A220,N$3))</f>
        <v/>
      </c>
      <c r="O220" s="31">
        <f>IF($A220="","",BDP($A220,O$3))</f>
        <v/>
      </c>
      <c r="P220" s="30">
        <f>IF($A220="","",BDH($A220,$N$3,'參數'!$B$5,'參數'!$B$5,"Days=A","Fill=P","Dates=H"))</f>
        <v/>
      </c>
      <c r="Q220" s="30">
        <f>IF($A220="","",BDH($A220,$N$3,'參數'!$B$6,'參數'!$B$6,"Days=A","Fill=P","Dates=H"))</f>
        <v/>
      </c>
      <c r="R220" s="30">
        <f>IF($A220="","",BDH($A220,$N$3,'參數'!$B$7,'參數'!$B$7,"Days=A","Fill=P","Dates=H"))</f>
        <v/>
      </c>
      <c r="S220" s="32">
        <f>IF($A220="","",IFERROR(INDEX('發行人'!$A$5:$A$44,MATCH(B220,'發行人'!$D$5:$D$44,0)),"未對應"))</f>
        <v/>
      </c>
      <c r="T220" s="24">
        <f>IF($A220="","",IFERROR(INDEX('發行人'!$G$5:$G$44,MATCH(B220,'發行人'!$D$5:$D$44,0))+0,""))</f>
        <v/>
      </c>
      <c r="U220" s="18">
        <f>IF(ISNUMBER(E220),YEARFRAC('參數'!$B$4,E220),"")</f>
        <v/>
      </c>
      <c r="V220" s="8">
        <f>IF(U220="","",IF(U220&lt;3,"1-3y",IF(U220&lt;5,"3-5y",IF(U220&lt;7,"5-7y",IF(U220&lt;10,"7-10y","10y+")))))</f>
        <v/>
      </c>
      <c r="W220" s="30">
        <f>IF($A220="","",IFERROR(INDEX('參數'!$B$24:$B$45,MATCH(G220,'參數'!$A$24:$A$45,0)),""))</f>
        <v/>
      </c>
      <c r="X220" s="8">
        <f>IF($A220="","",IFERROR(INDEX('參數'!$C$24:$C$45,MATCH(G220,'參數'!$A$24:$A$45,0)),""))</f>
        <v/>
      </c>
      <c r="Y220" s="30">
        <f>IF(AND(ISNUMBER(N220),ISNUMBER(O220),ISNUMBER(U220)),IF(AND(O220&gt;0,X220&lt;&gt;""),1,0),0)</f>
        <v/>
      </c>
      <c r="Z220" s="17">
        <f>IF(Y220=1,O220*N220,"")</f>
        <v/>
      </c>
      <c r="AA220" s="33">
        <f>IF(Y220=1,IF(ISNUMBER(Q220),N220-Q220,""),"")</f>
        <v/>
      </c>
      <c r="AB220" s="33">
        <f>IF(Y220=1,IF(AND(ISNUMBER(P220),ISNUMBER(R220)),R220*5/12-O220*(P220-R220),""),"")</f>
        <v/>
      </c>
      <c r="AC220" s="30">
        <f>IF(Y220=1,COUNTIFS($X$5:$X$404,X220,$V$5:$V$404,V220,$Y$5:$Y$404,1),"")</f>
        <v/>
      </c>
      <c r="AD220" s="30">
        <f>IF(Y220=1,IFERROR(IF(AC220&gt;='參數'!$B$9,INDEX('分群統計'!$G$13:$K$16,MATCH(X220,'分群統計'!$A$13:$A$16,0),MATCH(V220,'分群統計'!$G$12:$K$12,0)),INDEX('分群統計'!$I$5:$I$8,MATCH(X220,'分群統計'!$A$5:$A$8,0))),""),"")</f>
        <v/>
      </c>
      <c r="AE220" s="18">
        <f>IF(Y220=1,IFERROR(IF(AC220&gt;='參數'!$B$9,INDEX('分群統計'!$L$13:$P$16,MATCH(X220,'分群統計'!$A$13:$A$16,0),MATCH(V220,'分群統計'!$L$12:$P$12,0)),INDEX('分群統計'!$J$5:$J$8,MATCH(X220,'分群統計'!$A$5:$A$8,0))),""),"")</f>
        <v/>
      </c>
      <c r="AF220" s="31">
        <f>IF(ISNUMBER(AE220),IF(AE220&gt;0,MAX(-3,MIN(3,(N220-AD220)/AE220)),0),"")</f>
        <v/>
      </c>
      <c r="AG220" s="30">
        <f>IF(Y220=1,COUNTIFS($B$5:$B$404,B220,$Y$5:$Y$404,1),"")</f>
        <v/>
      </c>
      <c r="AH220" s="30">
        <f>IF(Y220=1,IFERROR(IF(ISNUMBER(INDEX('分群統計'!$G$20:$G$59,MATCH(B220,'分群統計'!$A$20:$A$59,0))),INDEX('分群統計'!$H$20:$H$59,MATCH(B220,'分群統計'!$A$20:$A$59,0))+INDEX('分群統計'!$G$20:$G$59,MATCH(B220,'分群統計'!$A$20:$A$59,0))*AU220,""),""),"")</f>
        <v/>
      </c>
      <c r="AI220" s="34">
        <f>IF(ISNUMBER(AH220),N220-AH220,"")</f>
        <v/>
      </c>
      <c r="AJ220" s="30">
        <f>IF(Y220=1,IFERROR(IF(ISNUMBER(INDEX('分群統計'!$G$5:$G$8,MATCH(X220,'分群統計'!$A$5:$A$8,0))),INDEX('分群統計'!$H$5:$H$8,MATCH(X220,'分群統計'!$A$5:$A$8,0))+INDEX('分群統計'!$G$5:$G$8,MATCH(X220,'分群統計'!$A$5:$A$8,0))*AU220,""),""),"")</f>
        <v/>
      </c>
      <c r="AK220" s="34">
        <f>IF(ISNUMBER(AJ220),N220-AJ220,"")</f>
        <v/>
      </c>
      <c r="AL220" s="21">
        <f>IF(ISNUMBER(AJ220),IF(AJ220&gt;0,AK220/AJ220,""),"")</f>
        <v/>
      </c>
      <c r="AM220" s="31">
        <f>IF(AY220&lt;&gt;1,"",IFERROR(IF(INDEX('分群統計'!$K$5:$K$8,MATCH(X220,'分群統計'!$A$5:$A$8,0))&lt;3,"",IF(INDEX('分群統計'!$M$5:$M$8,MATCH(X220,'分群統計'!$A$5:$A$8,0))&gt;0,MAX(-3,MIN(3,(AX220-INDEX('分群統計'!$L$5:$L$8,MATCH(X220,'分群統計'!$A$5:$A$8,0)))/INDEX('分群統計'!$M$5:$M$8,MATCH(X220,'分群統計'!$A$5:$A$8,0)))),0)),""))</f>
        <v/>
      </c>
      <c r="AN220" s="31">
        <f>IF(ISNUMBER(AB220),IF(Z220&gt;0,AB220/Z220*100,""),"")</f>
        <v/>
      </c>
      <c r="AO220" s="31">
        <f>IF(BA220&lt;&gt;1,"",IFERROR(IF(INDEX('分群統計'!$N$5:$N$8,MATCH(X220,'分群統計'!$A$5:$A$8,0))&lt;3,"",IF(INDEX('分群統計'!$P$5:$P$8,MATCH(X220,'分群統計'!$A$5:$A$8,0))&gt;0,MAX(-3,MIN(3,(AZ220-INDEX('分群統計'!$O$5:$O$8,MATCH(X220,'分群統計'!$A$5:$A$8,0)))/INDEX('分群統計'!$P$5:$P$8,MATCH(X220,'分群統計'!$A$5:$A$8,0)))),0)),""))</f>
        <v/>
      </c>
      <c r="AP220" s="31">
        <f>IF(BC220&lt;&gt;1,"",IFERROR(IF(INDEX('分群統計'!$Q$5:$Q$8,MATCH(X220,'分群統計'!$A$5:$A$8,0))&lt;3,"",IF(INDEX('分群統計'!$S$5:$S$8,MATCH(X220,'分群統計'!$A$5:$A$8,0))&gt;0,MAX(-3,MIN(3,(BB220-INDEX('分群統計'!$R$5:$R$8,MATCH(X220,'分群統計'!$A$5:$A$8,0)))/INDEX('分群統計'!$S$5:$S$8,MATCH(X220,'分群統計'!$A$5:$A$8,0)))),0)),""))</f>
        <v/>
      </c>
      <c r="AQ220" s="31">
        <f>IF(Y220=1,(IF(ISNUMBER(AF220),AF220,0)*'參數'!$B$13+IF(ISNUMBER(AM220),AM220,0)*'參數'!$B$14+IF(ISNUMBER(AO220),AO220,0)*'參數'!$B$15+IF(ISNUMBER(AP220),AP220,0)*'參數'!$B$16)/('參數'!$B$13+'參數'!$B$14+'參數'!$B$15+'參數'!$B$16),"")</f>
        <v/>
      </c>
      <c r="AR220" s="35">
        <f>IF(Y220=1,(SUMPRODUCT(($X$5:$X$404=X220)*($Y$5:$Y$404=1)*($BD$5:$BD$404&gt;BD220))+1)/COUNTIFS($X$5:$X$404,X220,$Y$5:$Y$404,1),"")</f>
        <v/>
      </c>
      <c r="AS220" s="8">
        <f>IF(ISNUMBER(AR220),IF(AR220&lt;='參數'!$B$18,"加碼候選",IF(AR220&gt;'參數'!$B$19,"減碼候選","")),"")</f>
        <v/>
      </c>
      <c r="AT220" s="7">
        <f>IF(Y220=1,N220,0)</f>
        <v/>
      </c>
      <c r="AU220" s="7">
        <f>IF(Y220=1,LN(O220),0)</f>
        <v/>
      </c>
      <c r="AV220" s="36">
        <f>IF(Y220=1,IF(ISNUMBER(F220),F220,0),0)</f>
        <v/>
      </c>
      <c r="AW220" s="7">
        <f>IF(Y220=1,Z220,0)</f>
        <v/>
      </c>
      <c r="AX220" s="7">
        <f>IF(Y220=1,IF(ISNUMBER(AL220),AL220,0),0)</f>
        <v/>
      </c>
      <c r="AY220" s="7">
        <f>IF(Y220=1,IF(ISNUMBER(AL220),1,0),0)</f>
        <v/>
      </c>
      <c r="AZ220" s="7">
        <f>IF(Y220=1,IF(ISNUMBER(AN220),AN220,0),0)</f>
        <v/>
      </c>
      <c r="BA220" s="7">
        <f>IF(Y220=1,IF(ISNUMBER(AN220),1,0),0)</f>
        <v/>
      </c>
      <c r="BB220" s="7">
        <f>IF(Y220=1,IF(ISNUMBER(T220),T220,0),0)</f>
        <v/>
      </c>
      <c r="BC220" s="7">
        <f>IF(Y220=1,IF(ISNUMBER(T220),1,0),0)</f>
        <v/>
      </c>
      <c r="BD220" s="7">
        <f>IF(Y220=1,AQ220+ROW()/1E9,-1E9)</f>
        <v/>
      </c>
      <c r="BE220" s="7">
        <f>IF(Y220=1,AQ220+ROW()/1E9,1E9)</f>
        <v/>
      </c>
    </row>
    <row r="221">
      <c r="A221" s="16" t="n"/>
      <c r="B221" s="8">
        <f>IF($A221="","",BDP($A221,B$3))</f>
        <v/>
      </c>
      <c r="C221" s="8">
        <f>IF($A221="","",BDP($A221,C$3))</f>
        <v/>
      </c>
      <c r="D221" s="28">
        <f>IF($A221="","",BDP($A221,D$3))</f>
        <v/>
      </c>
      <c r="E221" s="29">
        <f>IF($A221="","",BDP($A221,E$3))</f>
        <v/>
      </c>
      <c r="F221" s="17">
        <f>IF($A221="","",BDP($A221,F$3))</f>
        <v/>
      </c>
      <c r="G221" s="8">
        <f>IF($A221="","",BDP($A221,G$3))</f>
        <v/>
      </c>
      <c r="H221" s="8">
        <f>IF($A221="","",BDP($A221,H$3))</f>
        <v/>
      </c>
      <c r="I221" s="8">
        <f>IF($A221="","",BDP($A221,I$3))</f>
        <v/>
      </c>
      <c r="J221" s="8">
        <f>IF($A221="","",BDP($A221,J$3))</f>
        <v/>
      </c>
      <c r="K221" s="8">
        <f>IF($A221="","",BDP($A221,K$3))</f>
        <v/>
      </c>
      <c r="L221" s="28">
        <f>IF($A221="","",BDP($A221,L$3))</f>
        <v/>
      </c>
      <c r="M221" s="28">
        <f>IF($A221="","",BDP($A221,M$3))</f>
        <v/>
      </c>
      <c r="N221" s="30">
        <f>IF($A221="","",BDP($A221,N$3))</f>
        <v/>
      </c>
      <c r="O221" s="31">
        <f>IF($A221="","",BDP($A221,O$3))</f>
        <v/>
      </c>
      <c r="P221" s="30">
        <f>IF($A221="","",BDH($A221,$N$3,'參數'!$B$5,'參數'!$B$5,"Days=A","Fill=P","Dates=H"))</f>
        <v/>
      </c>
      <c r="Q221" s="30">
        <f>IF($A221="","",BDH($A221,$N$3,'參數'!$B$6,'參數'!$B$6,"Days=A","Fill=P","Dates=H"))</f>
        <v/>
      </c>
      <c r="R221" s="30">
        <f>IF($A221="","",BDH($A221,$N$3,'參數'!$B$7,'參數'!$B$7,"Days=A","Fill=P","Dates=H"))</f>
        <v/>
      </c>
      <c r="S221" s="32">
        <f>IF($A221="","",IFERROR(INDEX('發行人'!$A$5:$A$44,MATCH(B221,'發行人'!$D$5:$D$44,0)),"未對應"))</f>
        <v/>
      </c>
      <c r="T221" s="24">
        <f>IF($A221="","",IFERROR(INDEX('發行人'!$G$5:$G$44,MATCH(B221,'發行人'!$D$5:$D$44,0))+0,""))</f>
        <v/>
      </c>
      <c r="U221" s="18">
        <f>IF(ISNUMBER(E221),YEARFRAC('參數'!$B$4,E221),"")</f>
        <v/>
      </c>
      <c r="V221" s="8">
        <f>IF(U221="","",IF(U221&lt;3,"1-3y",IF(U221&lt;5,"3-5y",IF(U221&lt;7,"5-7y",IF(U221&lt;10,"7-10y","10y+")))))</f>
        <v/>
      </c>
      <c r="W221" s="30">
        <f>IF($A221="","",IFERROR(INDEX('參數'!$B$24:$B$45,MATCH(G221,'參數'!$A$24:$A$45,0)),""))</f>
        <v/>
      </c>
      <c r="X221" s="8">
        <f>IF($A221="","",IFERROR(INDEX('參數'!$C$24:$C$45,MATCH(G221,'參數'!$A$24:$A$45,0)),""))</f>
        <v/>
      </c>
      <c r="Y221" s="30">
        <f>IF(AND(ISNUMBER(N221),ISNUMBER(O221),ISNUMBER(U221)),IF(AND(O221&gt;0,X221&lt;&gt;""),1,0),0)</f>
        <v/>
      </c>
      <c r="Z221" s="17">
        <f>IF(Y221=1,O221*N221,"")</f>
        <v/>
      </c>
      <c r="AA221" s="33">
        <f>IF(Y221=1,IF(ISNUMBER(Q221),N221-Q221,""),"")</f>
        <v/>
      </c>
      <c r="AB221" s="33">
        <f>IF(Y221=1,IF(AND(ISNUMBER(P221),ISNUMBER(R221)),R221*5/12-O221*(P221-R221),""),"")</f>
        <v/>
      </c>
      <c r="AC221" s="30">
        <f>IF(Y221=1,COUNTIFS($X$5:$X$404,X221,$V$5:$V$404,V221,$Y$5:$Y$404,1),"")</f>
        <v/>
      </c>
      <c r="AD221" s="30">
        <f>IF(Y221=1,IFERROR(IF(AC221&gt;='參數'!$B$9,INDEX('分群統計'!$G$13:$K$16,MATCH(X221,'分群統計'!$A$13:$A$16,0),MATCH(V221,'分群統計'!$G$12:$K$12,0)),INDEX('分群統計'!$I$5:$I$8,MATCH(X221,'分群統計'!$A$5:$A$8,0))),""),"")</f>
        <v/>
      </c>
      <c r="AE221" s="18">
        <f>IF(Y221=1,IFERROR(IF(AC221&gt;='參數'!$B$9,INDEX('分群統計'!$L$13:$P$16,MATCH(X221,'分群統計'!$A$13:$A$16,0),MATCH(V221,'分群統計'!$L$12:$P$12,0)),INDEX('分群統計'!$J$5:$J$8,MATCH(X221,'分群統計'!$A$5:$A$8,0))),""),"")</f>
        <v/>
      </c>
      <c r="AF221" s="31">
        <f>IF(ISNUMBER(AE221),IF(AE221&gt;0,MAX(-3,MIN(3,(N221-AD221)/AE221)),0),"")</f>
        <v/>
      </c>
      <c r="AG221" s="30">
        <f>IF(Y221=1,COUNTIFS($B$5:$B$404,B221,$Y$5:$Y$404,1),"")</f>
        <v/>
      </c>
      <c r="AH221" s="30">
        <f>IF(Y221=1,IFERROR(IF(ISNUMBER(INDEX('分群統計'!$G$20:$G$59,MATCH(B221,'分群統計'!$A$20:$A$59,0))),INDEX('分群統計'!$H$20:$H$59,MATCH(B221,'分群統計'!$A$20:$A$59,0))+INDEX('分群統計'!$G$20:$G$59,MATCH(B221,'分群統計'!$A$20:$A$59,0))*AU221,""),""),"")</f>
        <v/>
      </c>
      <c r="AI221" s="34">
        <f>IF(ISNUMBER(AH221),N221-AH221,"")</f>
        <v/>
      </c>
      <c r="AJ221" s="30">
        <f>IF(Y221=1,IFERROR(IF(ISNUMBER(INDEX('分群統計'!$G$5:$G$8,MATCH(X221,'分群統計'!$A$5:$A$8,0))),INDEX('分群統計'!$H$5:$H$8,MATCH(X221,'分群統計'!$A$5:$A$8,0))+INDEX('分群統計'!$G$5:$G$8,MATCH(X221,'分群統計'!$A$5:$A$8,0))*AU221,""),""),"")</f>
        <v/>
      </c>
      <c r="AK221" s="34">
        <f>IF(ISNUMBER(AJ221),N221-AJ221,"")</f>
        <v/>
      </c>
      <c r="AL221" s="21">
        <f>IF(ISNUMBER(AJ221),IF(AJ221&gt;0,AK221/AJ221,""),"")</f>
        <v/>
      </c>
      <c r="AM221" s="31">
        <f>IF(AY221&lt;&gt;1,"",IFERROR(IF(INDEX('分群統計'!$K$5:$K$8,MATCH(X221,'分群統計'!$A$5:$A$8,0))&lt;3,"",IF(INDEX('分群統計'!$M$5:$M$8,MATCH(X221,'分群統計'!$A$5:$A$8,0))&gt;0,MAX(-3,MIN(3,(AX221-INDEX('分群統計'!$L$5:$L$8,MATCH(X221,'分群統計'!$A$5:$A$8,0)))/INDEX('分群統計'!$M$5:$M$8,MATCH(X221,'分群統計'!$A$5:$A$8,0)))),0)),""))</f>
        <v/>
      </c>
      <c r="AN221" s="31">
        <f>IF(ISNUMBER(AB221),IF(Z221&gt;0,AB221/Z221*100,""),"")</f>
        <v/>
      </c>
      <c r="AO221" s="31">
        <f>IF(BA221&lt;&gt;1,"",IFERROR(IF(INDEX('分群統計'!$N$5:$N$8,MATCH(X221,'分群統計'!$A$5:$A$8,0))&lt;3,"",IF(INDEX('分群統計'!$P$5:$P$8,MATCH(X221,'分群統計'!$A$5:$A$8,0))&gt;0,MAX(-3,MIN(3,(AZ221-INDEX('分群統計'!$O$5:$O$8,MATCH(X221,'分群統計'!$A$5:$A$8,0)))/INDEX('分群統計'!$P$5:$P$8,MATCH(X221,'分群統計'!$A$5:$A$8,0)))),0)),""))</f>
        <v/>
      </c>
      <c r="AP221" s="31">
        <f>IF(BC221&lt;&gt;1,"",IFERROR(IF(INDEX('分群統計'!$Q$5:$Q$8,MATCH(X221,'分群統計'!$A$5:$A$8,0))&lt;3,"",IF(INDEX('分群統計'!$S$5:$S$8,MATCH(X221,'分群統計'!$A$5:$A$8,0))&gt;0,MAX(-3,MIN(3,(BB221-INDEX('分群統計'!$R$5:$R$8,MATCH(X221,'分群統計'!$A$5:$A$8,0)))/INDEX('分群統計'!$S$5:$S$8,MATCH(X221,'分群統計'!$A$5:$A$8,0)))),0)),""))</f>
        <v/>
      </c>
      <c r="AQ221" s="31">
        <f>IF(Y221=1,(IF(ISNUMBER(AF221),AF221,0)*'參數'!$B$13+IF(ISNUMBER(AM221),AM221,0)*'參數'!$B$14+IF(ISNUMBER(AO221),AO221,0)*'參數'!$B$15+IF(ISNUMBER(AP221),AP221,0)*'參數'!$B$16)/('參數'!$B$13+'參數'!$B$14+'參數'!$B$15+'參數'!$B$16),"")</f>
        <v/>
      </c>
      <c r="AR221" s="35">
        <f>IF(Y221=1,(SUMPRODUCT(($X$5:$X$404=X221)*($Y$5:$Y$404=1)*($BD$5:$BD$404&gt;BD221))+1)/COUNTIFS($X$5:$X$404,X221,$Y$5:$Y$404,1),"")</f>
        <v/>
      </c>
      <c r="AS221" s="8">
        <f>IF(ISNUMBER(AR221),IF(AR221&lt;='參數'!$B$18,"加碼候選",IF(AR221&gt;'參數'!$B$19,"減碼候選","")),"")</f>
        <v/>
      </c>
      <c r="AT221" s="7">
        <f>IF(Y221=1,N221,0)</f>
        <v/>
      </c>
      <c r="AU221" s="7">
        <f>IF(Y221=1,LN(O221),0)</f>
        <v/>
      </c>
      <c r="AV221" s="36">
        <f>IF(Y221=1,IF(ISNUMBER(F221),F221,0),0)</f>
        <v/>
      </c>
      <c r="AW221" s="7">
        <f>IF(Y221=1,Z221,0)</f>
        <v/>
      </c>
      <c r="AX221" s="7">
        <f>IF(Y221=1,IF(ISNUMBER(AL221),AL221,0),0)</f>
        <v/>
      </c>
      <c r="AY221" s="7">
        <f>IF(Y221=1,IF(ISNUMBER(AL221),1,0),0)</f>
        <v/>
      </c>
      <c r="AZ221" s="7">
        <f>IF(Y221=1,IF(ISNUMBER(AN221),AN221,0),0)</f>
        <v/>
      </c>
      <c r="BA221" s="7">
        <f>IF(Y221=1,IF(ISNUMBER(AN221),1,0),0)</f>
        <v/>
      </c>
      <c r="BB221" s="7">
        <f>IF(Y221=1,IF(ISNUMBER(T221),T221,0),0)</f>
        <v/>
      </c>
      <c r="BC221" s="7">
        <f>IF(Y221=1,IF(ISNUMBER(T221),1,0),0)</f>
        <v/>
      </c>
      <c r="BD221" s="7">
        <f>IF(Y221=1,AQ221+ROW()/1E9,-1E9)</f>
        <v/>
      </c>
      <c r="BE221" s="7">
        <f>IF(Y221=1,AQ221+ROW()/1E9,1E9)</f>
        <v/>
      </c>
    </row>
    <row r="222">
      <c r="A222" s="16" t="n"/>
      <c r="B222" s="8">
        <f>IF($A222="","",BDP($A222,B$3))</f>
        <v/>
      </c>
      <c r="C222" s="8">
        <f>IF($A222="","",BDP($A222,C$3))</f>
        <v/>
      </c>
      <c r="D222" s="28">
        <f>IF($A222="","",BDP($A222,D$3))</f>
        <v/>
      </c>
      <c r="E222" s="29">
        <f>IF($A222="","",BDP($A222,E$3))</f>
        <v/>
      </c>
      <c r="F222" s="17">
        <f>IF($A222="","",BDP($A222,F$3))</f>
        <v/>
      </c>
      <c r="G222" s="8">
        <f>IF($A222="","",BDP($A222,G$3))</f>
        <v/>
      </c>
      <c r="H222" s="8">
        <f>IF($A222="","",BDP($A222,H$3))</f>
        <v/>
      </c>
      <c r="I222" s="8">
        <f>IF($A222="","",BDP($A222,I$3))</f>
        <v/>
      </c>
      <c r="J222" s="8">
        <f>IF($A222="","",BDP($A222,J$3))</f>
        <v/>
      </c>
      <c r="K222" s="8">
        <f>IF($A222="","",BDP($A222,K$3))</f>
        <v/>
      </c>
      <c r="L222" s="28">
        <f>IF($A222="","",BDP($A222,L$3))</f>
        <v/>
      </c>
      <c r="M222" s="28">
        <f>IF($A222="","",BDP($A222,M$3))</f>
        <v/>
      </c>
      <c r="N222" s="30">
        <f>IF($A222="","",BDP($A222,N$3))</f>
        <v/>
      </c>
      <c r="O222" s="31">
        <f>IF($A222="","",BDP($A222,O$3))</f>
        <v/>
      </c>
      <c r="P222" s="30">
        <f>IF($A222="","",BDH($A222,$N$3,'參數'!$B$5,'參數'!$B$5,"Days=A","Fill=P","Dates=H"))</f>
        <v/>
      </c>
      <c r="Q222" s="30">
        <f>IF($A222="","",BDH($A222,$N$3,'參數'!$B$6,'參數'!$B$6,"Days=A","Fill=P","Dates=H"))</f>
        <v/>
      </c>
      <c r="R222" s="30">
        <f>IF($A222="","",BDH($A222,$N$3,'參數'!$B$7,'參數'!$B$7,"Days=A","Fill=P","Dates=H"))</f>
        <v/>
      </c>
      <c r="S222" s="32">
        <f>IF($A222="","",IFERROR(INDEX('發行人'!$A$5:$A$44,MATCH(B222,'發行人'!$D$5:$D$44,0)),"未對應"))</f>
        <v/>
      </c>
      <c r="T222" s="24">
        <f>IF($A222="","",IFERROR(INDEX('發行人'!$G$5:$G$44,MATCH(B222,'發行人'!$D$5:$D$44,0))+0,""))</f>
        <v/>
      </c>
      <c r="U222" s="18">
        <f>IF(ISNUMBER(E222),YEARFRAC('參數'!$B$4,E222),"")</f>
        <v/>
      </c>
      <c r="V222" s="8">
        <f>IF(U222="","",IF(U222&lt;3,"1-3y",IF(U222&lt;5,"3-5y",IF(U222&lt;7,"5-7y",IF(U222&lt;10,"7-10y","10y+")))))</f>
        <v/>
      </c>
      <c r="W222" s="30">
        <f>IF($A222="","",IFERROR(INDEX('參數'!$B$24:$B$45,MATCH(G222,'參數'!$A$24:$A$45,0)),""))</f>
        <v/>
      </c>
      <c r="X222" s="8">
        <f>IF($A222="","",IFERROR(INDEX('參數'!$C$24:$C$45,MATCH(G222,'參數'!$A$24:$A$45,0)),""))</f>
        <v/>
      </c>
      <c r="Y222" s="30">
        <f>IF(AND(ISNUMBER(N222),ISNUMBER(O222),ISNUMBER(U222)),IF(AND(O222&gt;0,X222&lt;&gt;""),1,0),0)</f>
        <v/>
      </c>
      <c r="Z222" s="17">
        <f>IF(Y222=1,O222*N222,"")</f>
        <v/>
      </c>
      <c r="AA222" s="33">
        <f>IF(Y222=1,IF(ISNUMBER(Q222),N222-Q222,""),"")</f>
        <v/>
      </c>
      <c r="AB222" s="33">
        <f>IF(Y222=1,IF(AND(ISNUMBER(P222),ISNUMBER(R222)),R222*5/12-O222*(P222-R222),""),"")</f>
        <v/>
      </c>
      <c r="AC222" s="30">
        <f>IF(Y222=1,COUNTIFS($X$5:$X$404,X222,$V$5:$V$404,V222,$Y$5:$Y$404,1),"")</f>
        <v/>
      </c>
      <c r="AD222" s="30">
        <f>IF(Y222=1,IFERROR(IF(AC222&gt;='參數'!$B$9,INDEX('分群統計'!$G$13:$K$16,MATCH(X222,'分群統計'!$A$13:$A$16,0),MATCH(V222,'分群統計'!$G$12:$K$12,0)),INDEX('分群統計'!$I$5:$I$8,MATCH(X222,'分群統計'!$A$5:$A$8,0))),""),"")</f>
        <v/>
      </c>
      <c r="AE222" s="18">
        <f>IF(Y222=1,IFERROR(IF(AC222&gt;='參數'!$B$9,INDEX('分群統計'!$L$13:$P$16,MATCH(X222,'分群統計'!$A$13:$A$16,0),MATCH(V222,'分群統計'!$L$12:$P$12,0)),INDEX('分群統計'!$J$5:$J$8,MATCH(X222,'分群統計'!$A$5:$A$8,0))),""),"")</f>
        <v/>
      </c>
      <c r="AF222" s="31">
        <f>IF(ISNUMBER(AE222),IF(AE222&gt;0,MAX(-3,MIN(3,(N222-AD222)/AE222)),0),"")</f>
        <v/>
      </c>
      <c r="AG222" s="30">
        <f>IF(Y222=1,COUNTIFS($B$5:$B$404,B222,$Y$5:$Y$404,1),"")</f>
        <v/>
      </c>
      <c r="AH222" s="30">
        <f>IF(Y222=1,IFERROR(IF(ISNUMBER(INDEX('分群統計'!$G$20:$G$59,MATCH(B222,'分群統計'!$A$20:$A$59,0))),INDEX('分群統計'!$H$20:$H$59,MATCH(B222,'分群統計'!$A$20:$A$59,0))+INDEX('分群統計'!$G$20:$G$59,MATCH(B222,'分群統計'!$A$20:$A$59,0))*AU222,""),""),"")</f>
        <v/>
      </c>
      <c r="AI222" s="34">
        <f>IF(ISNUMBER(AH222),N222-AH222,"")</f>
        <v/>
      </c>
      <c r="AJ222" s="30">
        <f>IF(Y222=1,IFERROR(IF(ISNUMBER(INDEX('分群統計'!$G$5:$G$8,MATCH(X222,'分群統計'!$A$5:$A$8,0))),INDEX('分群統計'!$H$5:$H$8,MATCH(X222,'分群統計'!$A$5:$A$8,0))+INDEX('分群統計'!$G$5:$G$8,MATCH(X222,'分群統計'!$A$5:$A$8,0))*AU222,""),""),"")</f>
        <v/>
      </c>
      <c r="AK222" s="34">
        <f>IF(ISNUMBER(AJ222),N222-AJ222,"")</f>
        <v/>
      </c>
      <c r="AL222" s="21">
        <f>IF(ISNUMBER(AJ222),IF(AJ222&gt;0,AK222/AJ222,""),"")</f>
        <v/>
      </c>
      <c r="AM222" s="31">
        <f>IF(AY222&lt;&gt;1,"",IFERROR(IF(INDEX('分群統計'!$K$5:$K$8,MATCH(X222,'分群統計'!$A$5:$A$8,0))&lt;3,"",IF(INDEX('分群統計'!$M$5:$M$8,MATCH(X222,'分群統計'!$A$5:$A$8,0))&gt;0,MAX(-3,MIN(3,(AX222-INDEX('分群統計'!$L$5:$L$8,MATCH(X222,'分群統計'!$A$5:$A$8,0)))/INDEX('分群統計'!$M$5:$M$8,MATCH(X222,'分群統計'!$A$5:$A$8,0)))),0)),""))</f>
        <v/>
      </c>
      <c r="AN222" s="31">
        <f>IF(ISNUMBER(AB222),IF(Z222&gt;0,AB222/Z222*100,""),"")</f>
        <v/>
      </c>
      <c r="AO222" s="31">
        <f>IF(BA222&lt;&gt;1,"",IFERROR(IF(INDEX('分群統計'!$N$5:$N$8,MATCH(X222,'分群統計'!$A$5:$A$8,0))&lt;3,"",IF(INDEX('分群統計'!$P$5:$P$8,MATCH(X222,'分群統計'!$A$5:$A$8,0))&gt;0,MAX(-3,MIN(3,(AZ222-INDEX('分群統計'!$O$5:$O$8,MATCH(X222,'分群統計'!$A$5:$A$8,0)))/INDEX('分群統計'!$P$5:$P$8,MATCH(X222,'分群統計'!$A$5:$A$8,0)))),0)),""))</f>
        <v/>
      </c>
      <c r="AP222" s="31">
        <f>IF(BC222&lt;&gt;1,"",IFERROR(IF(INDEX('分群統計'!$Q$5:$Q$8,MATCH(X222,'分群統計'!$A$5:$A$8,0))&lt;3,"",IF(INDEX('分群統計'!$S$5:$S$8,MATCH(X222,'分群統計'!$A$5:$A$8,0))&gt;0,MAX(-3,MIN(3,(BB222-INDEX('分群統計'!$R$5:$R$8,MATCH(X222,'分群統計'!$A$5:$A$8,0)))/INDEX('分群統計'!$S$5:$S$8,MATCH(X222,'分群統計'!$A$5:$A$8,0)))),0)),""))</f>
        <v/>
      </c>
      <c r="AQ222" s="31">
        <f>IF(Y222=1,(IF(ISNUMBER(AF222),AF222,0)*'參數'!$B$13+IF(ISNUMBER(AM222),AM222,0)*'參數'!$B$14+IF(ISNUMBER(AO222),AO222,0)*'參數'!$B$15+IF(ISNUMBER(AP222),AP222,0)*'參數'!$B$16)/('參數'!$B$13+'參數'!$B$14+'參數'!$B$15+'參數'!$B$16),"")</f>
        <v/>
      </c>
      <c r="AR222" s="35">
        <f>IF(Y222=1,(SUMPRODUCT(($X$5:$X$404=X222)*($Y$5:$Y$404=1)*($BD$5:$BD$404&gt;BD222))+1)/COUNTIFS($X$5:$X$404,X222,$Y$5:$Y$404,1),"")</f>
        <v/>
      </c>
      <c r="AS222" s="8">
        <f>IF(ISNUMBER(AR222),IF(AR222&lt;='參數'!$B$18,"加碼候選",IF(AR222&gt;'參數'!$B$19,"減碼候選","")),"")</f>
        <v/>
      </c>
      <c r="AT222" s="7">
        <f>IF(Y222=1,N222,0)</f>
        <v/>
      </c>
      <c r="AU222" s="7">
        <f>IF(Y222=1,LN(O222),0)</f>
        <v/>
      </c>
      <c r="AV222" s="36">
        <f>IF(Y222=1,IF(ISNUMBER(F222),F222,0),0)</f>
        <v/>
      </c>
      <c r="AW222" s="7">
        <f>IF(Y222=1,Z222,0)</f>
        <v/>
      </c>
      <c r="AX222" s="7">
        <f>IF(Y222=1,IF(ISNUMBER(AL222),AL222,0),0)</f>
        <v/>
      </c>
      <c r="AY222" s="7">
        <f>IF(Y222=1,IF(ISNUMBER(AL222),1,0),0)</f>
        <v/>
      </c>
      <c r="AZ222" s="7">
        <f>IF(Y222=1,IF(ISNUMBER(AN222),AN222,0),0)</f>
        <v/>
      </c>
      <c r="BA222" s="7">
        <f>IF(Y222=1,IF(ISNUMBER(AN222),1,0),0)</f>
        <v/>
      </c>
      <c r="BB222" s="7">
        <f>IF(Y222=1,IF(ISNUMBER(T222),T222,0),0)</f>
        <v/>
      </c>
      <c r="BC222" s="7">
        <f>IF(Y222=1,IF(ISNUMBER(T222),1,0),0)</f>
        <v/>
      </c>
      <c r="BD222" s="7">
        <f>IF(Y222=1,AQ222+ROW()/1E9,-1E9)</f>
        <v/>
      </c>
      <c r="BE222" s="7">
        <f>IF(Y222=1,AQ222+ROW()/1E9,1E9)</f>
        <v/>
      </c>
    </row>
    <row r="223">
      <c r="A223" s="16" t="n"/>
      <c r="B223" s="8">
        <f>IF($A223="","",BDP($A223,B$3))</f>
        <v/>
      </c>
      <c r="C223" s="8">
        <f>IF($A223="","",BDP($A223,C$3))</f>
        <v/>
      </c>
      <c r="D223" s="28">
        <f>IF($A223="","",BDP($A223,D$3))</f>
        <v/>
      </c>
      <c r="E223" s="29">
        <f>IF($A223="","",BDP($A223,E$3))</f>
        <v/>
      </c>
      <c r="F223" s="17">
        <f>IF($A223="","",BDP($A223,F$3))</f>
        <v/>
      </c>
      <c r="G223" s="8">
        <f>IF($A223="","",BDP($A223,G$3))</f>
        <v/>
      </c>
      <c r="H223" s="8">
        <f>IF($A223="","",BDP($A223,H$3))</f>
        <v/>
      </c>
      <c r="I223" s="8">
        <f>IF($A223="","",BDP($A223,I$3))</f>
        <v/>
      </c>
      <c r="J223" s="8">
        <f>IF($A223="","",BDP($A223,J$3))</f>
        <v/>
      </c>
      <c r="K223" s="8">
        <f>IF($A223="","",BDP($A223,K$3))</f>
        <v/>
      </c>
      <c r="L223" s="28">
        <f>IF($A223="","",BDP($A223,L$3))</f>
        <v/>
      </c>
      <c r="M223" s="28">
        <f>IF($A223="","",BDP($A223,M$3))</f>
        <v/>
      </c>
      <c r="N223" s="30">
        <f>IF($A223="","",BDP($A223,N$3))</f>
        <v/>
      </c>
      <c r="O223" s="31">
        <f>IF($A223="","",BDP($A223,O$3))</f>
        <v/>
      </c>
      <c r="P223" s="30">
        <f>IF($A223="","",BDH($A223,$N$3,'參數'!$B$5,'參數'!$B$5,"Days=A","Fill=P","Dates=H"))</f>
        <v/>
      </c>
      <c r="Q223" s="30">
        <f>IF($A223="","",BDH($A223,$N$3,'參數'!$B$6,'參數'!$B$6,"Days=A","Fill=P","Dates=H"))</f>
        <v/>
      </c>
      <c r="R223" s="30">
        <f>IF($A223="","",BDH($A223,$N$3,'參數'!$B$7,'參數'!$B$7,"Days=A","Fill=P","Dates=H"))</f>
        <v/>
      </c>
      <c r="S223" s="32">
        <f>IF($A223="","",IFERROR(INDEX('發行人'!$A$5:$A$44,MATCH(B223,'發行人'!$D$5:$D$44,0)),"未對應"))</f>
        <v/>
      </c>
      <c r="T223" s="24">
        <f>IF($A223="","",IFERROR(INDEX('發行人'!$G$5:$G$44,MATCH(B223,'發行人'!$D$5:$D$44,0))+0,""))</f>
        <v/>
      </c>
      <c r="U223" s="18">
        <f>IF(ISNUMBER(E223),YEARFRAC('參數'!$B$4,E223),"")</f>
        <v/>
      </c>
      <c r="V223" s="8">
        <f>IF(U223="","",IF(U223&lt;3,"1-3y",IF(U223&lt;5,"3-5y",IF(U223&lt;7,"5-7y",IF(U223&lt;10,"7-10y","10y+")))))</f>
        <v/>
      </c>
      <c r="W223" s="30">
        <f>IF($A223="","",IFERROR(INDEX('參數'!$B$24:$B$45,MATCH(G223,'參數'!$A$24:$A$45,0)),""))</f>
        <v/>
      </c>
      <c r="X223" s="8">
        <f>IF($A223="","",IFERROR(INDEX('參數'!$C$24:$C$45,MATCH(G223,'參數'!$A$24:$A$45,0)),""))</f>
        <v/>
      </c>
      <c r="Y223" s="30">
        <f>IF(AND(ISNUMBER(N223),ISNUMBER(O223),ISNUMBER(U223)),IF(AND(O223&gt;0,X223&lt;&gt;""),1,0),0)</f>
        <v/>
      </c>
      <c r="Z223" s="17">
        <f>IF(Y223=1,O223*N223,"")</f>
        <v/>
      </c>
      <c r="AA223" s="33">
        <f>IF(Y223=1,IF(ISNUMBER(Q223),N223-Q223,""),"")</f>
        <v/>
      </c>
      <c r="AB223" s="33">
        <f>IF(Y223=1,IF(AND(ISNUMBER(P223),ISNUMBER(R223)),R223*5/12-O223*(P223-R223),""),"")</f>
        <v/>
      </c>
      <c r="AC223" s="30">
        <f>IF(Y223=1,COUNTIFS($X$5:$X$404,X223,$V$5:$V$404,V223,$Y$5:$Y$404,1),"")</f>
        <v/>
      </c>
      <c r="AD223" s="30">
        <f>IF(Y223=1,IFERROR(IF(AC223&gt;='參數'!$B$9,INDEX('分群統計'!$G$13:$K$16,MATCH(X223,'分群統計'!$A$13:$A$16,0),MATCH(V223,'分群統計'!$G$12:$K$12,0)),INDEX('分群統計'!$I$5:$I$8,MATCH(X223,'分群統計'!$A$5:$A$8,0))),""),"")</f>
        <v/>
      </c>
      <c r="AE223" s="18">
        <f>IF(Y223=1,IFERROR(IF(AC223&gt;='參數'!$B$9,INDEX('分群統計'!$L$13:$P$16,MATCH(X223,'分群統計'!$A$13:$A$16,0),MATCH(V223,'分群統計'!$L$12:$P$12,0)),INDEX('分群統計'!$J$5:$J$8,MATCH(X223,'分群統計'!$A$5:$A$8,0))),""),"")</f>
        <v/>
      </c>
      <c r="AF223" s="31">
        <f>IF(ISNUMBER(AE223),IF(AE223&gt;0,MAX(-3,MIN(3,(N223-AD223)/AE223)),0),"")</f>
        <v/>
      </c>
      <c r="AG223" s="30">
        <f>IF(Y223=1,COUNTIFS($B$5:$B$404,B223,$Y$5:$Y$404,1),"")</f>
        <v/>
      </c>
      <c r="AH223" s="30">
        <f>IF(Y223=1,IFERROR(IF(ISNUMBER(INDEX('分群統計'!$G$20:$G$59,MATCH(B223,'分群統計'!$A$20:$A$59,0))),INDEX('分群統計'!$H$20:$H$59,MATCH(B223,'分群統計'!$A$20:$A$59,0))+INDEX('分群統計'!$G$20:$G$59,MATCH(B223,'分群統計'!$A$20:$A$59,0))*AU223,""),""),"")</f>
        <v/>
      </c>
      <c r="AI223" s="34">
        <f>IF(ISNUMBER(AH223),N223-AH223,"")</f>
        <v/>
      </c>
      <c r="AJ223" s="30">
        <f>IF(Y223=1,IFERROR(IF(ISNUMBER(INDEX('分群統計'!$G$5:$G$8,MATCH(X223,'分群統計'!$A$5:$A$8,0))),INDEX('分群統計'!$H$5:$H$8,MATCH(X223,'分群統計'!$A$5:$A$8,0))+INDEX('分群統計'!$G$5:$G$8,MATCH(X223,'分群統計'!$A$5:$A$8,0))*AU223,""),""),"")</f>
        <v/>
      </c>
      <c r="AK223" s="34">
        <f>IF(ISNUMBER(AJ223),N223-AJ223,"")</f>
        <v/>
      </c>
      <c r="AL223" s="21">
        <f>IF(ISNUMBER(AJ223),IF(AJ223&gt;0,AK223/AJ223,""),"")</f>
        <v/>
      </c>
      <c r="AM223" s="31">
        <f>IF(AY223&lt;&gt;1,"",IFERROR(IF(INDEX('分群統計'!$K$5:$K$8,MATCH(X223,'分群統計'!$A$5:$A$8,0))&lt;3,"",IF(INDEX('分群統計'!$M$5:$M$8,MATCH(X223,'分群統計'!$A$5:$A$8,0))&gt;0,MAX(-3,MIN(3,(AX223-INDEX('分群統計'!$L$5:$L$8,MATCH(X223,'分群統計'!$A$5:$A$8,0)))/INDEX('分群統計'!$M$5:$M$8,MATCH(X223,'分群統計'!$A$5:$A$8,0)))),0)),""))</f>
        <v/>
      </c>
      <c r="AN223" s="31">
        <f>IF(ISNUMBER(AB223),IF(Z223&gt;0,AB223/Z223*100,""),"")</f>
        <v/>
      </c>
      <c r="AO223" s="31">
        <f>IF(BA223&lt;&gt;1,"",IFERROR(IF(INDEX('分群統計'!$N$5:$N$8,MATCH(X223,'分群統計'!$A$5:$A$8,0))&lt;3,"",IF(INDEX('分群統計'!$P$5:$P$8,MATCH(X223,'分群統計'!$A$5:$A$8,0))&gt;0,MAX(-3,MIN(3,(AZ223-INDEX('分群統計'!$O$5:$O$8,MATCH(X223,'分群統計'!$A$5:$A$8,0)))/INDEX('分群統計'!$P$5:$P$8,MATCH(X223,'分群統計'!$A$5:$A$8,0)))),0)),""))</f>
        <v/>
      </c>
      <c r="AP223" s="31">
        <f>IF(BC223&lt;&gt;1,"",IFERROR(IF(INDEX('分群統計'!$Q$5:$Q$8,MATCH(X223,'分群統計'!$A$5:$A$8,0))&lt;3,"",IF(INDEX('分群統計'!$S$5:$S$8,MATCH(X223,'分群統計'!$A$5:$A$8,0))&gt;0,MAX(-3,MIN(3,(BB223-INDEX('分群統計'!$R$5:$R$8,MATCH(X223,'分群統計'!$A$5:$A$8,0)))/INDEX('分群統計'!$S$5:$S$8,MATCH(X223,'分群統計'!$A$5:$A$8,0)))),0)),""))</f>
        <v/>
      </c>
      <c r="AQ223" s="31">
        <f>IF(Y223=1,(IF(ISNUMBER(AF223),AF223,0)*'參數'!$B$13+IF(ISNUMBER(AM223),AM223,0)*'參數'!$B$14+IF(ISNUMBER(AO223),AO223,0)*'參數'!$B$15+IF(ISNUMBER(AP223),AP223,0)*'參數'!$B$16)/('參數'!$B$13+'參數'!$B$14+'參數'!$B$15+'參數'!$B$16),"")</f>
        <v/>
      </c>
      <c r="AR223" s="35">
        <f>IF(Y223=1,(SUMPRODUCT(($X$5:$X$404=X223)*($Y$5:$Y$404=1)*($BD$5:$BD$404&gt;BD223))+1)/COUNTIFS($X$5:$X$404,X223,$Y$5:$Y$404,1),"")</f>
        <v/>
      </c>
      <c r="AS223" s="8">
        <f>IF(ISNUMBER(AR223),IF(AR223&lt;='參數'!$B$18,"加碼候選",IF(AR223&gt;'參數'!$B$19,"減碼候選","")),"")</f>
        <v/>
      </c>
      <c r="AT223" s="7">
        <f>IF(Y223=1,N223,0)</f>
        <v/>
      </c>
      <c r="AU223" s="7">
        <f>IF(Y223=1,LN(O223),0)</f>
        <v/>
      </c>
      <c r="AV223" s="36">
        <f>IF(Y223=1,IF(ISNUMBER(F223),F223,0),0)</f>
        <v/>
      </c>
      <c r="AW223" s="7">
        <f>IF(Y223=1,Z223,0)</f>
        <v/>
      </c>
      <c r="AX223" s="7">
        <f>IF(Y223=1,IF(ISNUMBER(AL223),AL223,0),0)</f>
        <v/>
      </c>
      <c r="AY223" s="7">
        <f>IF(Y223=1,IF(ISNUMBER(AL223),1,0),0)</f>
        <v/>
      </c>
      <c r="AZ223" s="7">
        <f>IF(Y223=1,IF(ISNUMBER(AN223),AN223,0),0)</f>
        <v/>
      </c>
      <c r="BA223" s="7">
        <f>IF(Y223=1,IF(ISNUMBER(AN223),1,0),0)</f>
        <v/>
      </c>
      <c r="BB223" s="7">
        <f>IF(Y223=1,IF(ISNUMBER(T223),T223,0),0)</f>
        <v/>
      </c>
      <c r="BC223" s="7">
        <f>IF(Y223=1,IF(ISNUMBER(T223),1,0),0)</f>
        <v/>
      </c>
      <c r="BD223" s="7">
        <f>IF(Y223=1,AQ223+ROW()/1E9,-1E9)</f>
        <v/>
      </c>
      <c r="BE223" s="7">
        <f>IF(Y223=1,AQ223+ROW()/1E9,1E9)</f>
        <v/>
      </c>
    </row>
    <row r="224">
      <c r="A224" s="16" t="n"/>
      <c r="B224" s="8">
        <f>IF($A224="","",BDP($A224,B$3))</f>
        <v/>
      </c>
      <c r="C224" s="8">
        <f>IF($A224="","",BDP($A224,C$3))</f>
        <v/>
      </c>
      <c r="D224" s="28">
        <f>IF($A224="","",BDP($A224,D$3))</f>
        <v/>
      </c>
      <c r="E224" s="29">
        <f>IF($A224="","",BDP($A224,E$3))</f>
        <v/>
      </c>
      <c r="F224" s="17">
        <f>IF($A224="","",BDP($A224,F$3))</f>
        <v/>
      </c>
      <c r="G224" s="8">
        <f>IF($A224="","",BDP($A224,G$3))</f>
        <v/>
      </c>
      <c r="H224" s="8">
        <f>IF($A224="","",BDP($A224,H$3))</f>
        <v/>
      </c>
      <c r="I224" s="8">
        <f>IF($A224="","",BDP($A224,I$3))</f>
        <v/>
      </c>
      <c r="J224" s="8">
        <f>IF($A224="","",BDP($A224,J$3))</f>
        <v/>
      </c>
      <c r="K224" s="8">
        <f>IF($A224="","",BDP($A224,K$3))</f>
        <v/>
      </c>
      <c r="L224" s="28">
        <f>IF($A224="","",BDP($A224,L$3))</f>
        <v/>
      </c>
      <c r="M224" s="28">
        <f>IF($A224="","",BDP($A224,M$3))</f>
        <v/>
      </c>
      <c r="N224" s="30">
        <f>IF($A224="","",BDP($A224,N$3))</f>
        <v/>
      </c>
      <c r="O224" s="31">
        <f>IF($A224="","",BDP($A224,O$3))</f>
        <v/>
      </c>
      <c r="P224" s="30">
        <f>IF($A224="","",BDH($A224,$N$3,'參數'!$B$5,'參數'!$B$5,"Days=A","Fill=P","Dates=H"))</f>
        <v/>
      </c>
      <c r="Q224" s="30">
        <f>IF($A224="","",BDH($A224,$N$3,'參數'!$B$6,'參數'!$B$6,"Days=A","Fill=P","Dates=H"))</f>
        <v/>
      </c>
      <c r="R224" s="30">
        <f>IF($A224="","",BDH($A224,$N$3,'參數'!$B$7,'參數'!$B$7,"Days=A","Fill=P","Dates=H"))</f>
        <v/>
      </c>
      <c r="S224" s="32">
        <f>IF($A224="","",IFERROR(INDEX('發行人'!$A$5:$A$44,MATCH(B224,'發行人'!$D$5:$D$44,0)),"未對應"))</f>
        <v/>
      </c>
      <c r="T224" s="24">
        <f>IF($A224="","",IFERROR(INDEX('發行人'!$G$5:$G$44,MATCH(B224,'發行人'!$D$5:$D$44,0))+0,""))</f>
        <v/>
      </c>
      <c r="U224" s="18">
        <f>IF(ISNUMBER(E224),YEARFRAC('參數'!$B$4,E224),"")</f>
        <v/>
      </c>
      <c r="V224" s="8">
        <f>IF(U224="","",IF(U224&lt;3,"1-3y",IF(U224&lt;5,"3-5y",IF(U224&lt;7,"5-7y",IF(U224&lt;10,"7-10y","10y+")))))</f>
        <v/>
      </c>
      <c r="W224" s="30">
        <f>IF($A224="","",IFERROR(INDEX('參數'!$B$24:$B$45,MATCH(G224,'參數'!$A$24:$A$45,0)),""))</f>
        <v/>
      </c>
      <c r="X224" s="8">
        <f>IF($A224="","",IFERROR(INDEX('參數'!$C$24:$C$45,MATCH(G224,'參數'!$A$24:$A$45,0)),""))</f>
        <v/>
      </c>
      <c r="Y224" s="30">
        <f>IF(AND(ISNUMBER(N224),ISNUMBER(O224),ISNUMBER(U224)),IF(AND(O224&gt;0,X224&lt;&gt;""),1,0),0)</f>
        <v/>
      </c>
      <c r="Z224" s="17">
        <f>IF(Y224=1,O224*N224,"")</f>
        <v/>
      </c>
      <c r="AA224" s="33">
        <f>IF(Y224=1,IF(ISNUMBER(Q224),N224-Q224,""),"")</f>
        <v/>
      </c>
      <c r="AB224" s="33">
        <f>IF(Y224=1,IF(AND(ISNUMBER(P224),ISNUMBER(R224)),R224*5/12-O224*(P224-R224),""),"")</f>
        <v/>
      </c>
      <c r="AC224" s="30">
        <f>IF(Y224=1,COUNTIFS($X$5:$X$404,X224,$V$5:$V$404,V224,$Y$5:$Y$404,1),"")</f>
        <v/>
      </c>
      <c r="AD224" s="30">
        <f>IF(Y224=1,IFERROR(IF(AC224&gt;='參數'!$B$9,INDEX('分群統計'!$G$13:$K$16,MATCH(X224,'分群統計'!$A$13:$A$16,0),MATCH(V224,'分群統計'!$G$12:$K$12,0)),INDEX('分群統計'!$I$5:$I$8,MATCH(X224,'分群統計'!$A$5:$A$8,0))),""),"")</f>
        <v/>
      </c>
      <c r="AE224" s="18">
        <f>IF(Y224=1,IFERROR(IF(AC224&gt;='參數'!$B$9,INDEX('分群統計'!$L$13:$P$16,MATCH(X224,'分群統計'!$A$13:$A$16,0),MATCH(V224,'分群統計'!$L$12:$P$12,0)),INDEX('分群統計'!$J$5:$J$8,MATCH(X224,'分群統計'!$A$5:$A$8,0))),""),"")</f>
        <v/>
      </c>
      <c r="AF224" s="31">
        <f>IF(ISNUMBER(AE224),IF(AE224&gt;0,MAX(-3,MIN(3,(N224-AD224)/AE224)),0),"")</f>
        <v/>
      </c>
      <c r="AG224" s="30">
        <f>IF(Y224=1,COUNTIFS($B$5:$B$404,B224,$Y$5:$Y$404,1),"")</f>
        <v/>
      </c>
      <c r="AH224" s="30">
        <f>IF(Y224=1,IFERROR(IF(ISNUMBER(INDEX('分群統計'!$G$20:$G$59,MATCH(B224,'分群統計'!$A$20:$A$59,0))),INDEX('分群統計'!$H$20:$H$59,MATCH(B224,'分群統計'!$A$20:$A$59,0))+INDEX('分群統計'!$G$20:$G$59,MATCH(B224,'分群統計'!$A$20:$A$59,0))*AU224,""),""),"")</f>
        <v/>
      </c>
      <c r="AI224" s="34">
        <f>IF(ISNUMBER(AH224),N224-AH224,"")</f>
        <v/>
      </c>
      <c r="AJ224" s="30">
        <f>IF(Y224=1,IFERROR(IF(ISNUMBER(INDEX('分群統計'!$G$5:$G$8,MATCH(X224,'分群統計'!$A$5:$A$8,0))),INDEX('分群統計'!$H$5:$H$8,MATCH(X224,'分群統計'!$A$5:$A$8,0))+INDEX('分群統計'!$G$5:$G$8,MATCH(X224,'分群統計'!$A$5:$A$8,0))*AU224,""),""),"")</f>
        <v/>
      </c>
      <c r="AK224" s="34">
        <f>IF(ISNUMBER(AJ224),N224-AJ224,"")</f>
        <v/>
      </c>
      <c r="AL224" s="21">
        <f>IF(ISNUMBER(AJ224),IF(AJ224&gt;0,AK224/AJ224,""),"")</f>
        <v/>
      </c>
      <c r="AM224" s="31">
        <f>IF(AY224&lt;&gt;1,"",IFERROR(IF(INDEX('分群統計'!$K$5:$K$8,MATCH(X224,'分群統計'!$A$5:$A$8,0))&lt;3,"",IF(INDEX('分群統計'!$M$5:$M$8,MATCH(X224,'分群統計'!$A$5:$A$8,0))&gt;0,MAX(-3,MIN(3,(AX224-INDEX('分群統計'!$L$5:$L$8,MATCH(X224,'分群統計'!$A$5:$A$8,0)))/INDEX('分群統計'!$M$5:$M$8,MATCH(X224,'分群統計'!$A$5:$A$8,0)))),0)),""))</f>
        <v/>
      </c>
      <c r="AN224" s="31">
        <f>IF(ISNUMBER(AB224),IF(Z224&gt;0,AB224/Z224*100,""),"")</f>
        <v/>
      </c>
      <c r="AO224" s="31">
        <f>IF(BA224&lt;&gt;1,"",IFERROR(IF(INDEX('分群統計'!$N$5:$N$8,MATCH(X224,'分群統計'!$A$5:$A$8,0))&lt;3,"",IF(INDEX('分群統計'!$P$5:$P$8,MATCH(X224,'分群統計'!$A$5:$A$8,0))&gt;0,MAX(-3,MIN(3,(AZ224-INDEX('分群統計'!$O$5:$O$8,MATCH(X224,'分群統計'!$A$5:$A$8,0)))/INDEX('分群統計'!$P$5:$P$8,MATCH(X224,'分群統計'!$A$5:$A$8,0)))),0)),""))</f>
        <v/>
      </c>
      <c r="AP224" s="31">
        <f>IF(BC224&lt;&gt;1,"",IFERROR(IF(INDEX('分群統計'!$Q$5:$Q$8,MATCH(X224,'分群統計'!$A$5:$A$8,0))&lt;3,"",IF(INDEX('分群統計'!$S$5:$S$8,MATCH(X224,'分群統計'!$A$5:$A$8,0))&gt;0,MAX(-3,MIN(3,(BB224-INDEX('分群統計'!$R$5:$R$8,MATCH(X224,'分群統計'!$A$5:$A$8,0)))/INDEX('分群統計'!$S$5:$S$8,MATCH(X224,'分群統計'!$A$5:$A$8,0)))),0)),""))</f>
        <v/>
      </c>
      <c r="AQ224" s="31">
        <f>IF(Y224=1,(IF(ISNUMBER(AF224),AF224,0)*'參數'!$B$13+IF(ISNUMBER(AM224),AM224,0)*'參數'!$B$14+IF(ISNUMBER(AO224),AO224,0)*'參數'!$B$15+IF(ISNUMBER(AP224),AP224,0)*'參數'!$B$16)/('參數'!$B$13+'參數'!$B$14+'參數'!$B$15+'參數'!$B$16),"")</f>
        <v/>
      </c>
      <c r="AR224" s="35">
        <f>IF(Y224=1,(SUMPRODUCT(($X$5:$X$404=X224)*($Y$5:$Y$404=1)*($BD$5:$BD$404&gt;BD224))+1)/COUNTIFS($X$5:$X$404,X224,$Y$5:$Y$404,1),"")</f>
        <v/>
      </c>
      <c r="AS224" s="8">
        <f>IF(ISNUMBER(AR224),IF(AR224&lt;='參數'!$B$18,"加碼候選",IF(AR224&gt;'參數'!$B$19,"減碼候選","")),"")</f>
        <v/>
      </c>
      <c r="AT224" s="7">
        <f>IF(Y224=1,N224,0)</f>
        <v/>
      </c>
      <c r="AU224" s="7">
        <f>IF(Y224=1,LN(O224),0)</f>
        <v/>
      </c>
      <c r="AV224" s="36">
        <f>IF(Y224=1,IF(ISNUMBER(F224),F224,0),0)</f>
        <v/>
      </c>
      <c r="AW224" s="7">
        <f>IF(Y224=1,Z224,0)</f>
        <v/>
      </c>
      <c r="AX224" s="7">
        <f>IF(Y224=1,IF(ISNUMBER(AL224),AL224,0),0)</f>
        <v/>
      </c>
      <c r="AY224" s="7">
        <f>IF(Y224=1,IF(ISNUMBER(AL224),1,0),0)</f>
        <v/>
      </c>
      <c r="AZ224" s="7">
        <f>IF(Y224=1,IF(ISNUMBER(AN224),AN224,0),0)</f>
        <v/>
      </c>
      <c r="BA224" s="7">
        <f>IF(Y224=1,IF(ISNUMBER(AN224),1,0),0)</f>
        <v/>
      </c>
      <c r="BB224" s="7">
        <f>IF(Y224=1,IF(ISNUMBER(T224),T224,0),0)</f>
        <v/>
      </c>
      <c r="BC224" s="7">
        <f>IF(Y224=1,IF(ISNUMBER(T224),1,0),0)</f>
        <v/>
      </c>
      <c r="BD224" s="7">
        <f>IF(Y224=1,AQ224+ROW()/1E9,-1E9)</f>
        <v/>
      </c>
      <c r="BE224" s="7">
        <f>IF(Y224=1,AQ224+ROW()/1E9,1E9)</f>
        <v/>
      </c>
    </row>
    <row r="225">
      <c r="A225" s="16" t="n"/>
      <c r="B225" s="8">
        <f>IF($A225="","",BDP($A225,B$3))</f>
        <v/>
      </c>
      <c r="C225" s="8">
        <f>IF($A225="","",BDP($A225,C$3))</f>
        <v/>
      </c>
      <c r="D225" s="28">
        <f>IF($A225="","",BDP($A225,D$3))</f>
        <v/>
      </c>
      <c r="E225" s="29">
        <f>IF($A225="","",BDP($A225,E$3))</f>
        <v/>
      </c>
      <c r="F225" s="17">
        <f>IF($A225="","",BDP($A225,F$3))</f>
        <v/>
      </c>
      <c r="G225" s="8">
        <f>IF($A225="","",BDP($A225,G$3))</f>
        <v/>
      </c>
      <c r="H225" s="8">
        <f>IF($A225="","",BDP($A225,H$3))</f>
        <v/>
      </c>
      <c r="I225" s="8">
        <f>IF($A225="","",BDP($A225,I$3))</f>
        <v/>
      </c>
      <c r="J225" s="8">
        <f>IF($A225="","",BDP($A225,J$3))</f>
        <v/>
      </c>
      <c r="K225" s="8">
        <f>IF($A225="","",BDP($A225,K$3))</f>
        <v/>
      </c>
      <c r="L225" s="28">
        <f>IF($A225="","",BDP($A225,L$3))</f>
        <v/>
      </c>
      <c r="M225" s="28">
        <f>IF($A225="","",BDP($A225,M$3))</f>
        <v/>
      </c>
      <c r="N225" s="30">
        <f>IF($A225="","",BDP($A225,N$3))</f>
        <v/>
      </c>
      <c r="O225" s="31">
        <f>IF($A225="","",BDP($A225,O$3))</f>
        <v/>
      </c>
      <c r="P225" s="30">
        <f>IF($A225="","",BDH($A225,$N$3,'參數'!$B$5,'參數'!$B$5,"Days=A","Fill=P","Dates=H"))</f>
        <v/>
      </c>
      <c r="Q225" s="30">
        <f>IF($A225="","",BDH($A225,$N$3,'參數'!$B$6,'參數'!$B$6,"Days=A","Fill=P","Dates=H"))</f>
        <v/>
      </c>
      <c r="R225" s="30">
        <f>IF($A225="","",BDH($A225,$N$3,'參數'!$B$7,'參數'!$B$7,"Days=A","Fill=P","Dates=H"))</f>
        <v/>
      </c>
      <c r="S225" s="32">
        <f>IF($A225="","",IFERROR(INDEX('發行人'!$A$5:$A$44,MATCH(B225,'發行人'!$D$5:$D$44,0)),"未對應"))</f>
        <v/>
      </c>
      <c r="T225" s="24">
        <f>IF($A225="","",IFERROR(INDEX('發行人'!$G$5:$G$44,MATCH(B225,'發行人'!$D$5:$D$44,0))+0,""))</f>
        <v/>
      </c>
      <c r="U225" s="18">
        <f>IF(ISNUMBER(E225),YEARFRAC('參數'!$B$4,E225),"")</f>
        <v/>
      </c>
      <c r="V225" s="8">
        <f>IF(U225="","",IF(U225&lt;3,"1-3y",IF(U225&lt;5,"3-5y",IF(U225&lt;7,"5-7y",IF(U225&lt;10,"7-10y","10y+")))))</f>
        <v/>
      </c>
      <c r="W225" s="30">
        <f>IF($A225="","",IFERROR(INDEX('參數'!$B$24:$B$45,MATCH(G225,'參數'!$A$24:$A$45,0)),""))</f>
        <v/>
      </c>
      <c r="X225" s="8">
        <f>IF($A225="","",IFERROR(INDEX('參數'!$C$24:$C$45,MATCH(G225,'參數'!$A$24:$A$45,0)),""))</f>
        <v/>
      </c>
      <c r="Y225" s="30">
        <f>IF(AND(ISNUMBER(N225),ISNUMBER(O225),ISNUMBER(U225)),IF(AND(O225&gt;0,X225&lt;&gt;""),1,0),0)</f>
        <v/>
      </c>
      <c r="Z225" s="17">
        <f>IF(Y225=1,O225*N225,"")</f>
        <v/>
      </c>
      <c r="AA225" s="33">
        <f>IF(Y225=1,IF(ISNUMBER(Q225),N225-Q225,""),"")</f>
        <v/>
      </c>
      <c r="AB225" s="33">
        <f>IF(Y225=1,IF(AND(ISNUMBER(P225),ISNUMBER(R225)),R225*5/12-O225*(P225-R225),""),"")</f>
        <v/>
      </c>
      <c r="AC225" s="30">
        <f>IF(Y225=1,COUNTIFS($X$5:$X$404,X225,$V$5:$V$404,V225,$Y$5:$Y$404,1),"")</f>
        <v/>
      </c>
      <c r="AD225" s="30">
        <f>IF(Y225=1,IFERROR(IF(AC225&gt;='參數'!$B$9,INDEX('分群統計'!$G$13:$K$16,MATCH(X225,'分群統計'!$A$13:$A$16,0),MATCH(V225,'分群統計'!$G$12:$K$12,0)),INDEX('分群統計'!$I$5:$I$8,MATCH(X225,'分群統計'!$A$5:$A$8,0))),""),"")</f>
        <v/>
      </c>
      <c r="AE225" s="18">
        <f>IF(Y225=1,IFERROR(IF(AC225&gt;='參數'!$B$9,INDEX('分群統計'!$L$13:$P$16,MATCH(X225,'分群統計'!$A$13:$A$16,0),MATCH(V225,'分群統計'!$L$12:$P$12,0)),INDEX('分群統計'!$J$5:$J$8,MATCH(X225,'分群統計'!$A$5:$A$8,0))),""),"")</f>
        <v/>
      </c>
      <c r="AF225" s="31">
        <f>IF(ISNUMBER(AE225),IF(AE225&gt;0,MAX(-3,MIN(3,(N225-AD225)/AE225)),0),"")</f>
        <v/>
      </c>
      <c r="AG225" s="30">
        <f>IF(Y225=1,COUNTIFS($B$5:$B$404,B225,$Y$5:$Y$404,1),"")</f>
        <v/>
      </c>
      <c r="AH225" s="30">
        <f>IF(Y225=1,IFERROR(IF(ISNUMBER(INDEX('分群統計'!$G$20:$G$59,MATCH(B225,'分群統計'!$A$20:$A$59,0))),INDEX('分群統計'!$H$20:$H$59,MATCH(B225,'分群統計'!$A$20:$A$59,0))+INDEX('分群統計'!$G$20:$G$59,MATCH(B225,'分群統計'!$A$20:$A$59,0))*AU225,""),""),"")</f>
        <v/>
      </c>
      <c r="AI225" s="34">
        <f>IF(ISNUMBER(AH225),N225-AH225,"")</f>
        <v/>
      </c>
      <c r="AJ225" s="30">
        <f>IF(Y225=1,IFERROR(IF(ISNUMBER(INDEX('分群統計'!$G$5:$G$8,MATCH(X225,'分群統計'!$A$5:$A$8,0))),INDEX('分群統計'!$H$5:$H$8,MATCH(X225,'分群統計'!$A$5:$A$8,0))+INDEX('分群統計'!$G$5:$G$8,MATCH(X225,'分群統計'!$A$5:$A$8,0))*AU225,""),""),"")</f>
        <v/>
      </c>
      <c r="AK225" s="34">
        <f>IF(ISNUMBER(AJ225),N225-AJ225,"")</f>
        <v/>
      </c>
      <c r="AL225" s="21">
        <f>IF(ISNUMBER(AJ225),IF(AJ225&gt;0,AK225/AJ225,""),"")</f>
        <v/>
      </c>
      <c r="AM225" s="31">
        <f>IF(AY225&lt;&gt;1,"",IFERROR(IF(INDEX('分群統計'!$K$5:$K$8,MATCH(X225,'分群統計'!$A$5:$A$8,0))&lt;3,"",IF(INDEX('分群統計'!$M$5:$M$8,MATCH(X225,'分群統計'!$A$5:$A$8,0))&gt;0,MAX(-3,MIN(3,(AX225-INDEX('分群統計'!$L$5:$L$8,MATCH(X225,'分群統計'!$A$5:$A$8,0)))/INDEX('分群統計'!$M$5:$M$8,MATCH(X225,'分群統計'!$A$5:$A$8,0)))),0)),""))</f>
        <v/>
      </c>
      <c r="AN225" s="31">
        <f>IF(ISNUMBER(AB225),IF(Z225&gt;0,AB225/Z225*100,""),"")</f>
        <v/>
      </c>
      <c r="AO225" s="31">
        <f>IF(BA225&lt;&gt;1,"",IFERROR(IF(INDEX('分群統計'!$N$5:$N$8,MATCH(X225,'分群統計'!$A$5:$A$8,0))&lt;3,"",IF(INDEX('分群統計'!$P$5:$P$8,MATCH(X225,'分群統計'!$A$5:$A$8,0))&gt;0,MAX(-3,MIN(3,(AZ225-INDEX('分群統計'!$O$5:$O$8,MATCH(X225,'分群統計'!$A$5:$A$8,0)))/INDEX('分群統計'!$P$5:$P$8,MATCH(X225,'分群統計'!$A$5:$A$8,0)))),0)),""))</f>
        <v/>
      </c>
      <c r="AP225" s="31">
        <f>IF(BC225&lt;&gt;1,"",IFERROR(IF(INDEX('分群統計'!$Q$5:$Q$8,MATCH(X225,'分群統計'!$A$5:$A$8,0))&lt;3,"",IF(INDEX('分群統計'!$S$5:$S$8,MATCH(X225,'分群統計'!$A$5:$A$8,0))&gt;0,MAX(-3,MIN(3,(BB225-INDEX('分群統計'!$R$5:$R$8,MATCH(X225,'分群統計'!$A$5:$A$8,0)))/INDEX('分群統計'!$S$5:$S$8,MATCH(X225,'分群統計'!$A$5:$A$8,0)))),0)),""))</f>
        <v/>
      </c>
      <c r="AQ225" s="31">
        <f>IF(Y225=1,(IF(ISNUMBER(AF225),AF225,0)*'參數'!$B$13+IF(ISNUMBER(AM225),AM225,0)*'參數'!$B$14+IF(ISNUMBER(AO225),AO225,0)*'參數'!$B$15+IF(ISNUMBER(AP225),AP225,0)*'參數'!$B$16)/('參數'!$B$13+'參數'!$B$14+'參數'!$B$15+'參數'!$B$16),"")</f>
        <v/>
      </c>
      <c r="AR225" s="35">
        <f>IF(Y225=1,(SUMPRODUCT(($X$5:$X$404=X225)*($Y$5:$Y$404=1)*($BD$5:$BD$404&gt;BD225))+1)/COUNTIFS($X$5:$X$404,X225,$Y$5:$Y$404,1),"")</f>
        <v/>
      </c>
      <c r="AS225" s="8">
        <f>IF(ISNUMBER(AR225),IF(AR225&lt;='參數'!$B$18,"加碼候選",IF(AR225&gt;'參數'!$B$19,"減碼候選","")),"")</f>
        <v/>
      </c>
      <c r="AT225" s="7">
        <f>IF(Y225=1,N225,0)</f>
        <v/>
      </c>
      <c r="AU225" s="7">
        <f>IF(Y225=1,LN(O225),0)</f>
        <v/>
      </c>
      <c r="AV225" s="36">
        <f>IF(Y225=1,IF(ISNUMBER(F225),F225,0),0)</f>
        <v/>
      </c>
      <c r="AW225" s="7">
        <f>IF(Y225=1,Z225,0)</f>
        <v/>
      </c>
      <c r="AX225" s="7">
        <f>IF(Y225=1,IF(ISNUMBER(AL225),AL225,0),0)</f>
        <v/>
      </c>
      <c r="AY225" s="7">
        <f>IF(Y225=1,IF(ISNUMBER(AL225),1,0),0)</f>
        <v/>
      </c>
      <c r="AZ225" s="7">
        <f>IF(Y225=1,IF(ISNUMBER(AN225),AN225,0),0)</f>
        <v/>
      </c>
      <c r="BA225" s="7">
        <f>IF(Y225=1,IF(ISNUMBER(AN225),1,0),0)</f>
        <v/>
      </c>
      <c r="BB225" s="7">
        <f>IF(Y225=1,IF(ISNUMBER(T225),T225,0),0)</f>
        <v/>
      </c>
      <c r="BC225" s="7">
        <f>IF(Y225=1,IF(ISNUMBER(T225),1,0),0)</f>
        <v/>
      </c>
      <c r="BD225" s="7">
        <f>IF(Y225=1,AQ225+ROW()/1E9,-1E9)</f>
        <v/>
      </c>
      <c r="BE225" s="7">
        <f>IF(Y225=1,AQ225+ROW()/1E9,1E9)</f>
        <v/>
      </c>
    </row>
    <row r="226">
      <c r="A226" s="16" t="n"/>
      <c r="B226" s="8">
        <f>IF($A226="","",BDP($A226,B$3))</f>
        <v/>
      </c>
      <c r="C226" s="8">
        <f>IF($A226="","",BDP($A226,C$3))</f>
        <v/>
      </c>
      <c r="D226" s="28">
        <f>IF($A226="","",BDP($A226,D$3))</f>
        <v/>
      </c>
      <c r="E226" s="29">
        <f>IF($A226="","",BDP($A226,E$3))</f>
        <v/>
      </c>
      <c r="F226" s="17">
        <f>IF($A226="","",BDP($A226,F$3))</f>
        <v/>
      </c>
      <c r="G226" s="8">
        <f>IF($A226="","",BDP($A226,G$3))</f>
        <v/>
      </c>
      <c r="H226" s="8">
        <f>IF($A226="","",BDP($A226,H$3))</f>
        <v/>
      </c>
      <c r="I226" s="8">
        <f>IF($A226="","",BDP($A226,I$3))</f>
        <v/>
      </c>
      <c r="J226" s="8">
        <f>IF($A226="","",BDP($A226,J$3))</f>
        <v/>
      </c>
      <c r="K226" s="8">
        <f>IF($A226="","",BDP($A226,K$3))</f>
        <v/>
      </c>
      <c r="L226" s="28">
        <f>IF($A226="","",BDP($A226,L$3))</f>
        <v/>
      </c>
      <c r="M226" s="28">
        <f>IF($A226="","",BDP($A226,M$3))</f>
        <v/>
      </c>
      <c r="N226" s="30">
        <f>IF($A226="","",BDP($A226,N$3))</f>
        <v/>
      </c>
      <c r="O226" s="31">
        <f>IF($A226="","",BDP($A226,O$3))</f>
        <v/>
      </c>
      <c r="P226" s="30">
        <f>IF($A226="","",BDH($A226,$N$3,'參數'!$B$5,'參數'!$B$5,"Days=A","Fill=P","Dates=H"))</f>
        <v/>
      </c>
      <c r="Q226" s="30">
        <f>IF($A226="","",BDH($A226,$N$3,'參數'!$B$6,'參數'!$B$6,"Days=A","Fill=P","Dates=H"))</f>
        <v/>
      </c>
      <c r="R226" s="30">
        <f>IF($A226="","",BDH($A226,$N$3,'參數'!$B$7,'參數'!$B$7,"Days=A","Fill=P","Dates=H"))</f>
        <v/>
      </c>
      <c r="S226" s="32">
        <f>IF($A226="","",IFERROR(INDEX('發行人'!$A$5:$A$44,MATCH(B226,'發行人'!$D$5:$D$44,0)),"未對應"))</f>
        <v/>
      </c>
      <c r="T226" s="24">
        <f>IF($A226="","",IFERROR(INDEX('發行人'!$G$5:$G$44,MATCH(B226,'發行人'!$D$5:$D$44,0))+0,""))</f>
        <v/>
      </c>
      <c r="U226" s="18">
        <f>IF(ISNUMBER(E226),YEARFRAC('參數'!$B$4,E226),"")</f>
        <v/>
      </c>
      <c r="V226" s="8">
        <f>IF(U226="","",IF(U226&lt;3,"1-3y",IF(U226&lt;5,"3-5y",IF(U226&lt;7,"5-7y",IF(U226&lt;10,"7-10y","10y+")))))</f>
        <v/>
      </c>
      <c r="W226" s="30">
        <f>IF($A226="","",IFERROR(INDEX('參數'!$B$24:$B$45,MATCH(G226,'參數'!$A$24:$A$45,0)),""))</f>
        <v/>
      </c>
      <c r="X226" s="8">
        <f>IF($A226="","",IFERROR(INDEX('參數'!$C$24:$C$45,MATCH(G226,'參數'!$A$24:$A$45,0)),""))</f>
        <v/>
      </c>
      <c r="Y226" s="30">
        <f>IF(AND(ISNUMBER(N226),ISNUMBER(O226),ISNUMBER(U226)),IF(AND(O226&gt;0,X226&lt;&gt;""),1,0),0)</f>
        <v/>
      </c>
      <c r="Z226" s="17">
        <f>IF(Y226=1,O226*N226,"")</f>
        <v/>
      </c>
      <c r="AA226" s="33">
        <f>IF(Y226=1,IF(ISNUMBER(Q226),N226-Q226,""),"")</f>
        <v/>
      </c>
      <c r="AB226" s="33">
        <f>IF(Y226=1,IF(AND(ISNUMBER(P226),ISNUMBER(R226)),R226*5/12-O226*(P226-R226),""),"")</f>
        <v/>
      </c>
      <c r="AC226" s="30">
        <f>IF(Y226=1,COUNTIFS($X$5:$X$404,X226,$V$5:$V$404,V226,$Y$5:$Y$404,1),"")</f>
        <v/>
      </c>
      <c r="AD226" s="30">
        <f>IF(Y226=1,IFERROR(IF(AC226&gt;='參數'!$B$9,INDEX('分群統計'!$G$13:$K$16,MATCH(X226,'分群統計'!$A$13:$A$16,0),MATCH(V226,'分群統計'!$G$12:$K$12,0)),INDEX('分群統計'!$I$5:$I$8,MATCH(X226,'分群統計'!$A$5:$A$8,0))),""),"")</f>
        <v/>
      </c>
      <c r="AE226" s="18">
        <f>IF(Y226=1,IFERROR(IF(AC226&gt;='參數'!$B$9,INDEX('分群統計'!$L$13:$P$16,MATCH(X226,'分群統計'!$A$13:$A$16,0),MATCH(V226,'分群統計'!$L$12:$P$12,0)),INDEX('分群統計'!$J$5:$J$8,MATCH(X226,'分群統計'!$A$5:$A$8,0))),""),"")</f>
        <v/>
      </c>
      <c r="AF226" s="31">
        <f>IF(ISNUMBER(AE226),IF(AE226&gt;0,MAX(-3,MIN(3,(N226-AD226)/AE226)),0),"")</f>
        <v/>
      </c>
      <c r="AG226" s="30">
        <f>IF(Y226=1,COUNTIFS($B$5:$B$404,B226,$Y$5:$Y$404,1),"")</f>
        <v/>
      </c>
      <c r="AH226" s="30">
        <f>IF(Y226=1,IFERROR(IF(ISNUMBER(INDEX('分群統計'!$G$20:$G$59,MATCH(B226,'分群統計'!$A$20:$A$59,0))),INDEX('分群統計'!$H$20:$H$59,MATCH(B226,'分群統計'!$A$20:$A$59,0))+INDEX('分群統計'!$G$20:$G$59,MATCH(B226,'分群統計'!$A$20:$A$59,0))*AU226,""),""),"")</f>
        <v/>
      </c>
      <c r="AI226" s="34">
        <f>IF(ISNUMBER(AH226),N226-AH226,"")</f>
        <v/>
      </c>
      <c r="AJ226" s="30">
        <f>IF(Y226=1,IFERROR(IF(ISNUMBER(INDEX('分群統計'!$G$5:$G$8,MATCH(X226,'分群統計'!$A$5:$A$8,0))),INDEX('分群統計'!$H$5:$H$8,MATCH(X226,'分群統計'!$A$5:$A$8,0))+INDEX('分群統計'!$G$5:$G$8,MATCH(X226,'分群統計'!$A$5:$A$8,0))*AU226,""),""),"")</f>
        <v/>
      </c>
      <c r="AK226" s="34">
        <f>IF(ISNUMBER(AJ226),N226-AJ226,"")</f>
        <v/>
      </c>
      <c r="AL226" s="21">
        <f>IF(ISNUMBER(AJ226),IF(AJ226&gt;0,AK226/AJ226,""),"")</f>
        <v/>
      </c>
      <c r="AM226" s="31">
        <f>IF(AY226&lt;&gt;1,"",IFERROR(IF(INDEX('分群統計'!$K$5:$K$8,MATCH(X226,'分群統計'!$A$5:$A$8,0))&lt;3,"",IF(INDEX('分群統計'!$M$5:$M$8,MATCH(X226,'分群統計'!$A$5:$A$8,0))&gt;0,MAX(-3,MIN(3,(AX226-INDEX('分群統計'!$L$5:$L$8,MATCH(X226,'分群統計'!$A$5:$A$8,0)))/INDEX('分群統計'!$M$5:$M$8,MATCH(X226,'分群統計'!$A$5:$A$8,0)))),0)),""))</f>
        <v/>
      </c>
      <c r="AN226" s="31">
        <f>IF(ISNUMBER(AB226),IF(Z226&gt;0,AB226/Z226*100,""),"")</f>
        <v/>
      </c>
      <c r="AO226" s="31">
        <f>IF(BA226&lt;&gt;1,"",IFERROR(IF(INDEX('分群統計'!$N$5:$N$8,MATCH(X226,'分群統計'!$A$5:$A$8,0))&lt;3,"",IF(INDEX('分群統計'!$P$5:$P$8,MATCH(X226,'分群統計'!$A$5:$A$8,0))&gt;0,MAX(-3,MIN(3,(AZ226-INDEX('分群統計'!$O$5:$O$8,MATCH(X226,'分群統計'!$A$5:$A$8,0)))/INDEX('分群統計'!$P$5:$P$8,MATCH(X226,'分群統計'!$A$5:$A$8,0)))),0)),""))</f>
        <v/>
      </c>
      <c r="AP226" s="31">
        <f>IF(BC226&lt;&gt;1,"",IFERROR(IF(INDEX('分群統計'!$Q$5:$Q$8,MATCH(X226,'分群統計'!$A$5:$A$8,0))&lt;3,"",IF(INDEX('分群統計'!$S$5:$S$8,MATCH(X226,'分群統計'!$A$5:$A$8,0))&gt;0,MAX(-3,MIN(3,(BB226-INDEX('分群統計'!$R$5:$R$8,MATCH(X226,'分群統計'!$A$5:$A$8,0)))/INDEX('分群統計'!$S$5:$S$8,MATCH(X226,'分群統計'!$A$5:$A$8,0)))),0)),""))</f>
        <v/>
      </c>
      <c r="AQ226" s="31">
        <f>IF(Y226=1,(IF(ISNUMBER(AF226),AF226,0)*'參數'!$B$13+IF(ISNUMBER(AM226),AM226,0)*'參數'!$B$14+IF(ISNUMBER(AO226),AO226,0)*'參數'!$B$15+IF(ISNUMBER(AP226),AP226,0)*'參數'!$B$16)/('參數'!$B$13+'參數'!$B$14+'參數'!$B$15+'參數'!$B$16),"")</f>
        <v/>
      </c>
      <c r="AR226" s="35">
        <f>IF(Y226=1,(SUMPRODUCT(($X$5:$X$404=X226)*($Y$5:$Y$404=1)*($BD$5:$BD$404&gt;BD226))+1)/COUNTIFS($X$5:$X$404,X226,$Y$5:$Y$404,1),"")</f>
        <v/>
      </c>
      <c r="AS226" s="8">
        <f>IF(ISNUMBER(AR226),IF(AR226&lt;='參數'!$B$18,"加碼候選",IF(AR226&gt;'參數'!$B$19,"減碼候選","")),"")</f>
        <v/>
      </c>
      <c r="AT226" s="7">
        <f>IF(Y226=1,N226,0)</f>
        <v/>
      </c>
      <c r="AU226" s="7">
        <f>IF(Y226=1,LN(O226),0)</f>
        <v/>
      </c>
      <c r="AV226" s="36">
        <f>IF(Y226=1,IF(ISNUMBER(F226),F226,0),0)</f>
        <v/>
      </c>
      <c r="AW226" s="7">
        <f>IF(Y226=1,Z226,0)</f>
        <v/>
      </c>
      <c r="AX226" s="7">
        <f>IF(Y226=1,IF(ISNUMBER(AL226),AL226,0),0)</f>
        <v/>
      </c>
      <c r="AY226" s="7">
        <f>IF(Y226=1,IF(ISNUMBER(AL226),1,0),0)</f>
        <v/>
      </c>
      <c r="AZ226" s="7">
        <f>IF(Y226=1,IF(ISNUMBER(AN226),AN226,0),0)</f>
        <v/>
      </c>
      <c r="BA226" s="7">
        <f>IF(Y226=1,IF(ISNUMBER(AN226),1,0),0)</f>
        <v/>
      </c>
      <c r="BB226" s="7">
        <f>IF(Y226=1,IF(ISNUMBER(T226),T226,0),0)</f>
        <v/>
      </c>
      <c r="BC226" s="7">
        <f>IF(Y226=1,IF(ISNUMBER(T226),1,0),0)</f>
        <v/>
      </c>
      <c r="BD226" s="7">
        <f>IF(Y226=1,AQ226+ROW()/1E9,-1E9)</f>
        <v/>
      </c>
      <c r="BE226" s="7">
        <f>IF(Y226=1,AQ226+ROW()/1E9,1E9)</f>
        <v/>
      </c>
    </row>
    <row r="227">
      <c r="A227" s="16" t="n"/>
      <c r="B227" s="8">
        <f>IF($A227="","",BDP($A227,B$3))</f>
        <v/>
      </c>
      <c r="C227" s="8">
        <f>IF($A227="","",BDP($A227,C$3))</f>
        <v/>
      </c>
      <c r="D227" s="28">
        <f>IF($A227="","",BDP($A227,D$3))</f>
        <v/>
      </c>
      <c r="E227" s="29">
        <f>IF($A227="","",BDP($A227,E$3))</f>
        <v/>
      </c>
      <c r="F227" s="17">
        <f>IF($A227="","",BDP($A227,F$3))</f>
        <v/>
      </c>
      <c r="G227" s="8">
        <f>IF($A227="","",BDP($A227,G$3))</f>
        <v/>
      </c>
      <c r="H227" s="8">
        <f>IF($A227="","",BDP($A227,H$3))</f>
        <v/>
      </c>
      <c r="I227" s="8">
        <f>IF($A227="","",BDP($A227,I$3))</f>
        <v/>
      </c>
      <c r="J227" s="8">
        <f>IF($A227="","",BDP($A227,J$3))</f>
        <v/>
      </c>
      <c r="K227" s="8">
        <f>IF($A227="","",BDP($A227,K$3))</f>
        <v/>
      </c>
      <c r="L227" s="28">
        <f>IF($A227="","",BDP($A227,L$3))</f>
        <v/>
      </c>
      <c r="M227" s="28">
        <f>IF($A227="","",BDP($A227,M$3))</f>
        <v/>
      </c>
      <c r="N227" s="30">
        <f>IF($A227="","",BDP($A227,N$3))</f>
        <v/>
      </c>
      <c r="O227" s="31">
        <f>IF($A227="","",BDP($A227,O$3))</f>
        <v/>
      </c>
      <c r="P227" s="30">
        <f>IF($A227="","",BDH($A227,$N$3,'參數'!$B$5,'參數'!$B$5,"Days=A","Fill=P","Dates=H"))</f>
        <v/>
      </c>
      <c r="Q227" s="30">
        <f>IF($A227="","",BDH($A227,$N$3,'參數'!$B$6,'參數'!$B$6,"Days=A","Fill=P","Dates=H"))</f>
        <v/>
      </c>
      <c r="R227" s="30">
        <f>IF($A227="","",BDH($A227,$N$3,'參數'!$B$7,'參數'!$B$7,"Days=A","Fill=P","Dates=H"))</f>
        <v/>
      </c>
      <c r="S227" s="32">
        <f>IF($A227="","",IFERROR(INDEX('發行人'!$A$5:$A$44,MATCH(B227,'發行人'!$D$5:$D$44,0)),"未對應"))</f>
        <v/>
      </c>
      <c r="T227" s="24">
        <f>IF($A227="","",IFERROR(INDEX('發行人'!$G$5:$G$44,MATCH(B227,'發行人'!$D$5:$D$44,0))+0,""))</f>
        <v/>
      </c>
      <c r="U227" s="18">
        <f>IF(ISNUMBER(E227),YEARFRAC('參數'!$B$4,E227),"")</f>
        <v/>
      </c>
      <c r="V227" s="8">
        <f>IF(U227="","",IF(U227&lt;3,"1-3y",IF(U227&lt;5,"3-5y",IF(U227&lt;7,"5-7y",IF(U227&lt;10,"7-10y","10y+")))))</f>
        <v/>
      </c>
      <c r="W227" s="30">
        <f>IF($A227="","",IFERROR(INDEX('參數'!$B$24:$B$45,MATCH(G227,'參數'!$A$24:$A$45,0)),""))</f>
        <v/>
      </c>
      <c r="X227" s="8">
        <f>IF($A227="","",IFERROR(INDEX('參數'!$C$24:$C$45,MATCH(G227,'參數'!$A$24:$A$45,0)),""))</f>
        <v/>
      </c>
      <c r="Y227" s="30">
        <f>IF(AND(ISNUMBER(N227),ISNUMBER(O227),ISNUMBER(U227)),IF(AND(O227&gt;0,X227&lt;&gt;""),1,0),0)</f>
        <v/>
      </c>
      <c r="Z227" s="17">
        <f>IF(Y227=1,O227*N227,"")</f>
        <v/>
      </c>
      <c r="AA227" s="33">
        <f>IF(Y227=1,IF(ISNUMBER(Q227),N227-Q227,""),"")</f>
        <v/>
      </c>
      <c r="AB227" s="33">
        <f>IF(Y227=1,IF(AND(ISNUMBER(P227),ISNUMBER(R227)),R227*5/12-O227*(P227-R227),""),"")</f>
        <v/>
      </c>
      <c r="AC227" s="30">
        <f>IF(Y227=1,COUNTIFS($X$5:$X$404,X227,$V$5:$V$404,V227,$Y$5:$Y$404,1),"")</f>
        <v/>
      </c>
      <c r="AD227" s="30">
        <f>IF(Y227=1,IFERROR(IF(AC227&gt;='參數'!$B$9,INDEX('分群統計'!$G$13:$K$16,MATCH(X227,'分群統計'!$A$13:$A$16,0),MATCH(V227,'分群統計'!$G$12:$K$12,0)),INDEX('分群統計'!$I$5:$I$8,MATCH(X227,'分群統計'!$A$5:$A$8,0))),""),"")</f>
        <v/>
      </c>
      <c r="AE227" s="18">
        <f>IF(Y227=1,IFERROR(IF(AC227&gt;='參數'!$B$9,INDEX('分群統計'!$L$13:$P$16,MATCH(X227,'分群統計'!$A$13:$A$16,0),MATCH(V227,'分群統計'!$L$12:$P$12,0)),INDEX('分群統計'!$J$5:$J$8,MATCH(X227,'分群統計'!$A$5:$A$8,0))),""),"")</f>
        <v/>
      </c>
      <c r="AF227" s="31">
        <f>IF(ISNUMBER(AE227),IF(AE227&gt;0,MAX(-3,MIN(3,(N227-AD227)/AE227)),0),"")</f>
        <v/>
      </c>
      <c r="AG227" s="30">
        <f>IF(Y227=1,COUNTIFS($B$5:$B$404,B227,$Y$5:$Y$404,1),"")</f>
        <v/>
      </c>
      <c r="AH227" s="30">
        <f>IF(Y227=1,IFERROR(IF(ISNUMBER(INDEX('分群統計'!$G$20:$G$59,MATCH(B227,'分群統計'!$A$20:$A$59,0))),INDEX('分群統計'!$H$20:$H$59,MATCH(B227,'分群統計'!$A$20:$A$59,0))+INDEX('分群統計'!$G$20:$G$59,MATCH(B227,'分群統計'!$A$20:$A$59,0))*AU227,""),""),"")</f>
        <v/>
      </c>
      <c r="AI227" s="34">
        <f>IF(ISNUMBER(AH227),N227-AH227,"")</f>
        <v/>
      </c>
      <c r="AJ227" s="30">
        <f>IF(Y227=1,IFERROR(IF(ISNUMBER(INDEX('分群統計'!$G$5:$G$8,MATCH(X227,'分群統計'!$A$5:$A$8,0))),INDEX('分群統計'!$H$5:$H$8,MATCH(X227,'分群統計'!$A$5:$A$8,0))+INDEX('分群統計'!$G$5:$G$8,MATCH(X227,'分群統計'!$A$5:$A$8,0))*AU227,""),""),"")</f>
        <v/>
      </c>
      <c r="AK227" s="34">
        <f>IF(ISNUMBER(AJ227),N227-AJ227,"")</f>
        <v/>
      </c>
      <c r="AL227" s="21">
        <f>IF(ISNUMBER(AJ227),IF(AJ227&gt;0,AK227/AJ227,""),"")</f>
        <v/>
      </c>
      <c r="AM227" s="31">
        <f>IF(AY227&lt;&gt;1,"",IFERROR(IF(INDEX('分群統計'!$K$5:$K$8,MATCH(X227,'分群統計'!$A$5:$A$8,0))&lt;3,"",IF(INDEX('分群統計'!$M$5:$M$8,MATCH(X227,'分群統計'!$A$5:$A$8,0))&gt;0,MAX(-3,MIN(3,(AX227-INDEX('分群統計'!$L$5:$L$8,MATCH(X227,'分群統計'!$A$5:$A$8,0)))/INDEX('分群統計'!$M$5:$M$8,MATCH(X227,'分群統計'!$A$5:$A$8,0)))),0)),""))</f>
        <v/>
      </c>
      <c r="AN227" s="31">
        <f>IF(ISNUMBER(AB227),IF(Z227&gt;0,AB227/Z227*100,""),"")</f>
        <v/>
      </c>
      <c r="AO227" s="31">
        <f>IF(BA227&lt;&gt;1,"",IFERROR(IF(INDEX('分群統計'!$N$5:$N$8,MATCH(X227,'分群統計'!$A$5:$A$8,0))&lt;3,"",IF(INDEX('分群統計'!$P$5:$P$8,MATCH(X227,'分群統計'!$A$5:$A$8,0))&gt;0,MAX(-3,MIN(3,(AZ227-INDEX('分群統計'!$O$5:$O$8,MATCH(X227,'分群統計'!$A$5:$A$8,0)))/INDEX('分群統計'!$P$5:$P$8,MATCH(X227,'分群統計'!$A$5:$A$8,0)))),0)),""))</f>
        <v/>
      </c>
      <c r="AP227" s="31">
        <f>IF(BC227&lt;&gt;1,"",IFERROR(IF(INDEX('分群統計'!$Q$5:$Q$8,MATCH(X227,'分群統計'!$A$5:$A$8,0))&lt;3,"",IF(INDEX('分群統計'!$S$5:$S$8,MATCH(X227,'分群統計'!$A$5:$A$8,0))&gt;0,MAX(-3,MIN(3,(BB227-INDEX('分群統計'!$R$5:$R$8,MATCH(X227,'分群統計'!$A$5:$A$8,0)))/INDEX('分群統計'!$S$5:$S$8,MATCH(X227,'分群統計'!$A$5:$A$8,0)))),0)),""))</f>
        <v/>
      </c>
      <c r="AQ227" s="31">
        <f>IF(Y227=1,(IF(ISNUMBER(AF227),AF227,0)*'參數'!$B$13+IF(ISNUMBER(AM227),AM227,0)*'參數'!$B$14+IF(ISNUMBER(AO227),AO227,0)*'參數'!$B$15+IF(ISNUMBER(AP227),AP227,0)*'參數'!$B$16)/('參數'!$B$13+'參數'!$B$14+'參數'!$B$15+'參數'!$B$16),"")</f>
        <v/>
      </c>
      <c r="AR227" s="35">
        <f>IF(Y227=1,(SUMPRODUCT(($X$5:$X$404=X227)*($Y$5:$Y$404=1)*($BD$5:$BD$404&gt;BD227))+1)/COUNTIFS($X$5:$X$404,X227,$Y$5:$Y$404,1),"")</f>
        <v/>
      </c>
      <c r="AS227" s="8">
        <f>IF(ISNUMBER(AR227),IF(AR227&lt;='參數'!$B$18,"加碼候選",IF(AR227&gt;'參數'!$B$19,"減碼候選","")),"")</f>
        <v/>
      </c>
      <c r="AT227" s="7">
        <f>IF(Y227=1,N227,0)</f>
        <v/>
      </c>
      <c r="AU227" s="7">
        <f>IF(Y227=1,LN(O227),0)</f>
        <v/>
      </c>
      <c r="AV227" s="36">
        <f>IF(Y227=1,IF(ISNUMBER(F227),F227,0),0)</f>
        <v/>
      </c>
      <c r="AW227" s="7">
        <f>IF(Y227=1,Z227,0)</f>
        <v/>
      </c>
      <c r="AX227" s="7">
        <f>IF(Y227=1,IF(ISNUMBER(AL227),AL227,0),0)</f>
        <v/>
      </c>
      <c r="AY227" s="7">
        <f>IF(Y227=1,IF(ISNUMBER(AL227),1,0),0)</f>
        <v/>
      </c>
      <c r="AZ227" s="7">
        <f>IF(Y227=1,IF(ISNUMBER(AN227),AN227,0),0)</f>
        <v/>
      </c>
      <c r="BA227" s="7">
        <f>IF(Y227=1,IF(ISNUMBER(AN227),1,0),0)</f>
        <v/>
      </c>
      <c r="BB227" s="7">
        <f>IF(Y227=1,IF(ISNUMBER(T227),T227,0),0)</f>
        <v/>
      </c>
      <c r="BC227" s="7">
        <f>IF(Y227=1,IF(ISNUMBER(T227),1,0),0)</f>
        <v/>
      </c>
      <c r="BD227" s="7">
        <f>IF(Y227=1,AQ227+ROW()/1E9,-1E9)</f>
        <v/>
      </c>
      <c r="BE227" s="7">
        <f>IF(Y227=1,AQ227+ROW()/1E9,1E9)</f>
        <v/>
      </c>
    </row>
    <row r="228">
      <c r="A228" s="16" t="n"/>
      <c r="B228" s="8">
        <f>IF($A228="","",BDP($A228,B$3))</f>
        <v/>
      </c>
      <c r="C228" s="8">
        <f>IF($A228="","",BDP($A228,C$3))</f>
        <v/>
      </c>
      <c r="D228" s="28">
        <f>IF($A228="","",BDP($A228,D$3))</f>
        <v/>
      </c>
      <c r="E228" s="29">
        <f>IF($A228="","",BDP($A228,E$3))</f>
        <v/>
      </c>
      <c r="F228" s="17">
        <f>IF($A228="","",BDP($A228,F$3))</f>
        <v/>
      </c>
      <c r="G228" s="8">
        <f>IF($A228="","",BDP($A228,G$3))</f>
        <v/>
      </c>
      <c r="H228" s="8">
        <f>IF($A228="","",BDP($A228,H$3))</f>
        <v/>
      </c>
      <c r="I228" s="8">
        <f>IF($A228="","",BDP($A228,I$3))</f>
        <v/>
      </c>
      <c r="J228" s="8">
        <f>IF($A228="","",BDP($A228,J$3))</f>
        <v/>
      </c>
      <c r="K228" s="8">
        <f>IF($A228="","",BDP($A228,K$3))</f>
        <v/>
      </c>
      <c r="L228" s="28">
        <f>IF($A228="","",BDP($A228,L$3))</f>
        <v/>
      </c>
      <c r="M228" s="28">
        <f>IF($A228="","",BDP($A228,M$3))</f>
        <v/>
      </c>
      <c r="N228" s="30">
        <f>IF($A228="","",BDP($A228,N$3))</f>
        <v/>
      </c>
      <c r="O228" s="31">
        <f>IF($A228="","",BDP($A228,O$3))</f>
        <v/>
      </c>
      <c r="P228" s="30">
        <f>IF($A228="","",BDH($A228,$N$3,'參數'!$B$5,'參數'!$B$5,"Days=A","Fill=P","Dates=H"))</f>
        <v/>
      </c>
      <c r="Q228" s="30">
        <f>IF($A228="","",BDH($A228,$N$3,'參數'!$B$6,'參數'!$B$6,"Days=A","Fill=P","Dates=H"))</f>
        <v/>
      </c>
      <c r="R228" s="30">
        <f>IF($A228="","",BDH($A228,$N$3,'參數'!$B$7,'參數'!$B$7,"Days=A","Fill=P","Dates=H"))</f>
        <v/>
      </c>
      <c r="S228" s="32">
        <f>IF($A228="","",IFERROR(INDEX('發行人'!$A$5:$A$44,MATCH(B228,'發行人'!$D$5:$D$44,0)),"未對應"))</f>
        <v/>
      </c>
      <c r="T228" s="24">
        <f>IF($A228="","",IFERROR(INDEX('發行人'!$G$5:$G$44,MATCH(B228,'發行人'!$D$5:$D$44,0))+0,""))</f>
        <v/>
      </c>
      <c r="U228" s="18">
        <f>IF(ISNUMBER(E228),YEARFRAC('參數'!$B$4,E228),"")</f>
        <v/>
      </c>
      <c r="V228" s="8">
        <f>IF(U228="","",IF(U228&lt;3,"1-3y",IF(U228&lt;5,"3-5y",IF(U228&lt;7,"5-7y",IF(U228&lt;10,"7-10y","10y+")))))</f>
        <v/>
      </c>
      <c r="W228" s="30">
        <f>IF($A228="","",IFERROR(INDEX('參數'!$B$24:$B$45,MATCH(G228,'參數'!$A$24:$A$45,0)),""))</f>
        <v/>
      </c>
      <c r="X228" s="8">
        <f>IF($A228="","",IFERROR(INDEX('參數'!$C$24:$C$45,MATCH(G228,'參數'!$A$24:$A$45,0)),""))</f>
        <v/>
      </c>
      <c r="Y228" s="30">
        <f>IF(AND(ISNUMBER(N228),ISNUMBER(O228),ISNUMBER(U228)),IF(AND(O228&gt;0,X228&lt;&gt;""),1,0),0)</f>
        <v/>
      </c>
      <c r="Z228" s="17">
        <f>IF(Y228=1,O228*N228,"")</f>
        <v/>
      </c>
      <c r="AA228" s="33">
        <f>IF(Y228=1,IF(ISNUMBER(Q228),N228-Q228,""),"")</f>
        <v/>
      </c>
      <c r="AB228" s="33">
        <f>IF(Y228=1,IF(AND(ISNUMBER(P228),ISNUMBER(R228)),R228*5/12-O228*(P228-R228),""),"")</f>
        <v/>
      </c>
      <c r="AC228" s="30">
        <f>IF(Y228=1,COUNTIFS($X$5:$X$404,X228,$V$5:$V$404,V228,$Y$5:$Y$404,1),"")</f>
        <v/>
      </c>
      <c r="AD228" s="30">
        <f>IF(Y228=1,IFERROR(IF(AC228&gt;='參數'!$B$9,INDEX('分群統計'!$G$13:$K$16,MATCH(X228,'分群統計'!$A$13:$A$16,0),MATCH(V228,'分群統計'!$G$12:$K$12,0)),INDEX('分群統計'!$I$5:$I$8,MATCH(X228,'分群統計'!$A$5:$A$8,0))),""),"")</f>
        <v/>
      </c>
      <c r="AE228" s="18">
        <f>IF(Y228=1,IFERROR(IF(AC228&gt;='參數'!$B$9,INDEX('分群統計'!$L$13:$P$16,MATCH(X228,'分群統計'!$A$13:$A$16,0),MATCH(V228,'分群統計'!$L$12:$P$12,0)),INDEX('分群統計'!$J$5:$J$8,MATCH(X228,'分群統計'!$A$5:$A$8,0))),""),"")</f>
        <v/>
      </c>
      <c r="AF228" s="31">
        <f>IF(ISNUMBER(AE228),IF(AE228&gt;0,MAX(-3,MIN(3,(N228-AD228)/AE228)),0),"")</f>
        <v/>
      </c>
      <c r="AG228" s="30">
        <f>IF(Y228=1,COUNTIFS($B$5:$B$404,B228,$Y$5:$Y$404,1),"")</f>
        <v/>
      </c>
      <c r="AH228" s="30">
        <f>IF(Y228=1,IFERROR(IF(ISNUMBER(INDEX('分群統計'!$G$20:$G$59,MATCH(B228,'分群統計'!$A$20:$A$59,0))),INDEX('分群統計'!$H$20:$H$59,MATCH(B228,'分群統計'!$A$20:$A$59,0))+INDEX('分群統計'!$G$20:$G$59,MATCH(B228,'分群統計'!$A$20:$A$59,0))*AU228,""),""),"")</f>
        <v/>
      </c>
      <c r="AI228" s="34">
        <f>IF(ISNUMBER(AH228),N228-AH228,"")</f>
        <v/>
      </c>
      <c r="AJ228" s="30">
        <f>IF(Y228=1,IFERROR(IF(ISNUMBER(INDEX('分群統計'!$G$5:$G$8,MATCH(X228,'分群統計'!$A$5:$A$8,0))),INDEX('分群統計'!$H$5:$H$8,MATCH(X228,'分群統計'!$A$5:$A$8,0))+INDEX('分群統計'!$G$5:$G$8,MATCH(X228,'分群統計'!$A$5:$A$8,0))*AU228,""),""),"")</f>
        <v/>
      </c>
      <c r="AK228" s="34">
        <f>IF(ISNUMBER(AJ228),N228-AJ228,"")</f>
        <v/>
      </c>
      <c r="AL228" s="21">
        <f>IF(ISNUMBER(AJ228),IF(AJ228&gt;0,AK228/AJ228,""),"")</f>
        <v/>
      </c>
      <c r="AM228" s="31">
        <f>IF(AY228&lt;&gt;1,"",IFERROR(IF(INDEX('分群統計'!$K$5:$K$8,MATCH(X228,'分群統計'!$A$5:$A$8,0))&lt;3,"",IF(INDEX('分群統計'!$M$5:$M$8,MATCH(X228,'分群統計'!$A$5:$A$8,0))&gt;0,MAX(-3,MIN(3,(AX228-INDEX('分群統計'!$L$5:$L$8,MATCH(X228,'分群統計'!$A$5:$A$8,0)))/INDEX('分群統計'!$M$5:$M$8,MATCH(X228,'分群統計'!$A$5:$A$8,0)))),0)),""))</f>
        <v/>
      </c>
      <c r="AN228" s="31">
        <f>IF(ISNUMBER(AB228),IF(Z228&gt;0,AB228/Z228*100,""),"")</f>
        <v/>
      </c>
      <c r="AO228" s="31">
        <f>IF(BA228&lt;&gt;1,"",IFERROR(IF(INDEX('分群統計'!$N$5:$N$8,MATCH(X228,'分群統計'!$A$5:$A$8,0))&lt;3,"",IF(INDEX('分群統計'!$P$5:$P$8,MATCH(X228,'分群統計'!$A$5:$A$8,0))&gt;0,MAX(-3,MIN(3,(AZ228-INDEX('分群統計'!$O$5:$O$8,MATCH(X228,'分群統計'!$A$5:$A$8,0)))/INDEX('分群統計'!$P$5:$P$8,MATCH(X228,'分群統計'!$A$5:$A$8,0)))),0)),""))</f>
        <v/>
      </c>
      <c r="AP228" s="31">
        <f>IF(BC228&lt;&gt;1,"",IFERROR(IF(INDEX('分群統計'!$Q$5:$Q$8,MATCH(X228,'分群統計'!$A$5:$A$8,0))&lt;3,"",IF(INDEX('分群統計'!$S$5:$S$8,MATCH(X228,'分群統計'!$A$5:$A$8,0))&gt;0,MAX(-3,MIN(3,(BB228-INDEX('分群統計'!$R$5:$R$8,MATCH(X228,'分群統計'!$A$5:$A$8,0)))/INDEX('分群統計'!$S$5:$S$8,MATCH(X228,'分群統計'!$A$5:$A$8,0)))),0)),""))</f>
        <v/>
      </c>
      <c r="AQ228" s="31">
        <f>IF(Y228=1,(IF(ISNUMBER(AF228),AF228,0)*'參數'!$B$13+IF(ISNUMBER(AM228),AM228,0)*'參數'!$B$14+IF(ISNUMBER(AO228),AO228,0)*'參數'!$B$15+IF(ISNUMBER(AP228),AP228,0)*'參數'!$B$16)/('參數'!$B$13+'參數'!$B$14+'參數'!$B$15+'參數'!$B$16),"")</f>
        <v/>
      </c>
      <c r="AR228" s="35">
        <f>IF(Y228=1,(SUMPRODUCT(($X$5:$X$404=X228)*($Y$5:$Y$404=1)*($BD$5:$BD$404&gt;BD228))+1)/COUNTIFS($X$5:$X$404,X228,$Y$5:$Y$404,1),"")</f>
        <v/>
      </c>
      <c r="AS228" s="8">
        <f>IF(ISNUMBER(AR228),IF(AR228&lt;='參數'!$B$18,"加碼候選",IF(AR228&gt;'參數'!$B$19,"減碼候選","")),"")</f>
        <v/>
      </c>
      <c r="AT228" s="7">
        <f>IF(Y228=1,N228,0)</f>
        <v/>
      </c>
      <c r="AU228" s="7">
        <f>IF(Y228=1,LN(O228),0)</f>
        <v/>
      </c>
      <c r="AV228" s="36">
        <f>IF(Y228=1,IF(ISNUMBER(F228),F228,0),0)</f>
        <v/>
      </c>
      <c r="AW228" s="7">
        <f>IF(Y228=1,Z228,0)</f>
        <v/>
      </c>
      <c r="AX228" s="7">
        <f>IF(Y228=1,IF(ISNUMBER(AL228),AL228,0),0)</f>
        <v/>
      </c>
      <c r="AY228" s="7">
        <f>IF(Y228=1,IF(ISNUMBER(AL228),1,0),0)</f>
        <v/>
      </c>
      <c r="AZ228" s="7">
        <f>IF(Y228=1,IF(ISNUMBER(AN228),AN228,0),0)</f>
        <v/>
      </c>
      <c r="BA228" s="7">
        <f>IF(Y228=1,IF(ISNUMBER(AN228),1,0),0)</f>
        <v/>
      </c>
      <c r="BB228" s="7">
        <f>IF(Y228=1,IF(ISNUMBER(T228),T228,0),0)</f>
        <v/>
      </c>
      <c r="BC228" s="7">
        <f>IF(Y228=1,IF(ISNUMBER(T228),1,0),0)</f>
        <v/>
      </c>
      <c r="BD228" s="7">
        <f>IF(Y228=1,AQ228+ROW()/1E9,-1E9)</f>
        <v/>
      </c>
      <c r="BE228" s="7">
        <f>IF(Y228=1,AQ228+ROW()/1E9,1E9)</f>
        <v/>
      </c>
    </row>
    <row r="229">
      <c r="A229" s="16" t="n"/>
      <c r="B229" s="8">
        <f>IF($A229="","",BDP($A229,B$3))</f>
        <v/>
      </c>
      <c r="C229" s="8">
        <f>IF($A229="","",BDP($A229,C$3))</f>
        <v/>
      </c>
      <c r="D229" s="28">
        <f>IF($A229="","",BDP($A229,D$3))</f>
        <v/>
      </c>
      <c r="E229" s="29">
        <f>IF($A229="","",BDP($A229,E$3))</f>
        <v/>
      </c>
      <c r="F229" s="17">
        <f>IF($A229="","",BDP($A229,F$3))</f>
        <v/>
      </c>
      <c r="G229" s="8">
        <f>IF($A229="","",BDP($A229,G$3))</f>
        <v/>
      </c>
      <c r="H229" s="8">
        <f>IF($A229="","",BDP($A229,H$3))</f>
        <v/>
      </c>
      <c r="I229" s="8">
        <f>IF($A229="","",BDP($A229,I$3))</f>
        <v/>
      </c>
      <c r="J229" s="8">
        <f>IF($A229="","",BDP($A229,J$3))</f>
        <v/>
      </c>
      <c r="K229" s="8">
        <f>IF($A229="","",BDP($A229,K$3))</f>
        <v/>
      </c>
      <c r="L229" s="28">
        <f>IF($A229="","",BDP($A229,L$3))</f>
        <v/>
      </c>
      <c r="M229" s="28">
        <f>IF($A229="","",BDP($A229,M$3))</f>
        <v/>
      </c>
      <c r="N229" s="30">
        <f>IF($A229="","",BDP($A229,N$3))</f>
        <v/>
      </c>
      <c r="O229" s="31">
        <f>IF($A229="","",BDP($A229,O$3))</f>
        <v/>
      </c>
      <c r="P229" s="30">
        <f>IF($A229="","",BDH($A229,$N$3,'參數'!$B$5,'參數'!$B$5,"Days=A","Fill=P","Dates=H"))</f>
        <v/>
      </c>
      <c r="Q229" s="30">
        <f>IF($A229="","",BDH($A229,$N$3,'參數'!$B$6,'參數'!$B$6,"Days=A","Fill=P","Dates=H"))</f>
        <v/>
      </c>
      <c r="R229" s="30">
        <f>IF($A229="","",BDH($A229,$N$3,'參數'!$B$7,'參數'!$B$7,"Days=A","Fill=P","Dates=H"))</f>
        <v/>
      </c>
      <c r="S229" s="32">
        <f>IF($A229="","",IFERROR(INDEX('發行人'!$A$5:$A$44,MATCH(B229,'發行人'!$D$5:$D$44,0)),"未對應"))</f>
        <v/>
      </c>
      <c r="T229" s="24">
        <f>IF($A229="","",IFERROR(INDEX('發行人'!$G$5:$G$44,MATCH(B229,'發行人'!$D$5:$D$44,0))+0,""))</f>
        <v/>
      </c>
      <c r="U229" s="18">
        <f>IF(ISNUMBER(E229),YEARFRAC('參數'!$B$4,E229),"")</f>
        <v/>
      </c>
      <c r="V229" s="8">
        <f>IF(U229="","",IF(U229&lt;3,"1-3y",IF(U229&lt;5,"3-5y",IF(U229&lt;7,"5-7y",IF(U229&lt;10,"7-10y","10y+")))))</f>
        <v/>
      </c>
      <c r="W229" s="30">
        <f>IF($A229="","",IFERROR(INDEX('參數'!$B$24:$B$45,MATCH(G229,'參數'!$A$24:$A$45,0)),""))</f>
        <v/>
      </c>
      <c r="X229" s="8">
        <f>IF($A229="","",IFERROR(INDEX('參數'!$C$24:$C$45,MATCH(G229,'參數'!$A$24:$A$45,0)),""))</f>
        <v/>
      </c>
      <c r="Y229" s="30">
        <f>IF(AND(ISNUMBER(N229),ISNUMBER(O229),ISNUMBER(U229)),IF(AND(O229&gt;0,X229&lt;&gt;""),1,0),0)</f>
        <v/>
      </c>
      <c r="Z229" s="17">
        <f>IF(Y229=1,O229*N229,"")</f>
        <v/>
      </c>
      <c r="AA229" s="33">
        <f>IF(Y229=1,IF(ISNUMBER(Q229),N229-Q229,""),"")</f>
        <v/>
      </c>
      <c r="AB229" s="33">
        <f>IF(Y229=1,IF(AND(ISNUMBER(P229),ISNUMBER(R229)),R229*5/12-O229*(P229-R229),""),"")</f>
        <v/>
      </c>
      <c r="AC229" s="30">
        <f>IF(Y229=1,COUNTIFS($X$5:$X$404,X229,$V$5:$V$404,V229,$Y$5:$Y$404,1),"")</f>
        <v/>
      </c>
      <c r="AD229" s="30">
        <f>IF(Y229=1,IFERROR(IF(AC229&gt;='參數'!$B$9,INDEX('分群統計'!$G$13:$K$16,MATCH(X229,'分群統計'!$A$13:$A$16,0),MATCH(V229,'分群統計'!$G$12:$K$12,0)),INDEX('分群統計'!$I$5:$I$8,MATCH(X229,'分群統計'!$A$5:$A$8,0))),""),"")</f>
        <v/>
      </c>
      <c r="AE229" s="18">
        <f>IF(Y229=1,IFERROR(IF(AC229&gt;='參數'!$B$9,INDEX('分群統計'!$L$13:$P$16,MATCH(X229,'分群統計'!$A$13:$A$16,0),MATCH(V229,'分群統計'!$L$12:$P$12,0)),INDEX('分群統計'!$J$5:$J$8,MATCH(X229,'分群統計'!$A$5:$A$8,0))),""),"")</f>
        <v/>
      </c>
      <c r="AF229" s="31">
        <f>IF(ISNUMBER(AE229),IF(AE229&gt;0,MAX(-3,MIN(3,(N229-AD229)/AE229)),0),"")</f>
        <v/>
      </c>
      <c r="AG229" s="30">
        <f>IF(Y229=1,COUNTIFS($B$5:$B$404,B229,$Y$5:$Y$404,1),"")</f>
        <v/>
      </c>
      <c r="AH229" s="30">
        <f>IF(Y229=1,IFERROR(IF(ISNUMBER(INDEX('分群統計'!$G$20:$G$59,MATCH(B229,'分群統計'!$A$20:$A$59,0))),INDEX('分群統計'!$H$20:$H$59,MATCH(B229,'分群統計'!$A$20:$A$59,0))+INDEX('分群統計'!$G$20:$G$59,MATCH(B229,'分群統計'!$A$20:$A$59,0))*AU229,""),""),"")</f>
        <v/>
      </c>
      <c r="AI229" s="34">
        <f>IF(ISNUMBER(AH229),N229-AH229,"")</f>
        <v/>
      </c>
      <c r="AJ229" s="30">
        <f>IF(Y229=1,IFERROR(IF(ISNUMBER(INDEX('分群統計'!$G$5:$G$8,MATCH(X229,'分群統計'!$A$5:$A$8,0))),INDEX('分群統計'!$H$5:$H$8,MATCH(X229,'分群統計'!$A$5:$A$8,0))+INDEX('分群統計'!$G$5:$G$8,MATCH(X229,'分群統計'!$A$5:$A$8,0))*AU229,""),""),"")</f>
        <v/>
      </c>
      <c r="AK229" s="34">
        <f>IF(ISNUMBER(AJ229),N229-AJ229,"")</f>
        <v/>
      </c>
      <c r="AL229" s="21">
        <f>IF(ISNUMBER(AJ229),IF(AJ229&gt;0,AK229/AJ229,""),"")</f>
        <v/>
      </c>
      <c r="AM229" s="31">
        <f>IF(AY229&lt;&gt;1,"",IFERROR(IF(INDEX('分群統計'!$K$5:$K$8,MATCH(X229,'分群統計'!$A$5:$A$8,0))&lt;3,"",IF(INDEX('分群統計'!$M$5:$M$8,MATCH(X229,'分群統計'!$A$5:$A$8,0))&gt;0,MAX(-3,MIN(3,(AX229-INDEX('分群統計'!$L$5:$L$8,MATCH(X229,'分群統計'!$A$5:$A$8,0)))/INDEX('分群統計'!$M$5:$M$8,MATCH(X229,'分群統計'!$A$5:$A$8,0)))),0)),""))</f>
        <v/>
      </c>
      <c r="AN229" s="31">
        <f>IF(ISNUMBER(AB229),IF(Z229&gt;0,AB229/Z229*100,""),"")</f>
        <v/>
      </c>
      <c r="AO229" s="31">
        <f>IF(BA229&lt;&gt;1,"",IFERROR(IF(INDEX('分群統計'!$N$5:$N$8,MATCH(X229,'分群統計'!$A$5:$A$8,0))&lt;3,"",IF(INDEX('分群統計'!$P$5:$P$8,MATCH(X229,'分群統計'!$A$5:$A$8,0))&gt;0,MAX(-3,MIN(3,(AZ229-INDEX('分群統計'!$O$5:$O$8,MATCH(X229,'分群統計'!$A$5:$A$8,0)))/INDEX('分群統計'!$P$5:$P$8,MATCH(X229,'分群統計'!$A$5:$A$8,0)))),0)),""))</f>
        <v/>
      </c>
      <c r="AP229" s="31">
        <f>IF(BC229&lt;&gt;1,"",IFERROR(IF(INDEX('分群統計'!$Q$5:$Q$8,MATCH(X229,'分群統計'!$A$5:$A$8,0))&lt;3,"",IF(INDEX('分群統計'!$S$5:$S$8,MATCH(X229,'分群統計'!$A$5:$A$8,0))&gt;0,MAX(-3,MIN(3,(BB229-INDEX('分群統計'!$R$5:$R$8,MATCH(X229,'分群統計'!$A$5:$A$8,0)))/INDEX('分群統計'!$S$5:$S$8,MATCH(X229,'分群統計'!$A$5:$A$8,0)))),0)),""))</f>
        <v/>
      </c>
      <c r="AQ229" s="31">
        <f>IF(Y229=1,(IF(ISNUMBER(AF229),AF229,0)*'參數'!$B$13+IF(ISNUMBER(AM229),AM229,0)*'參數'!$B$14+IF(ISNUMBER(AO229),AO229,0)*'參數'!$B$15+IF(ISNUMBER(AP229),AP229,0)*'參數'!$B$16)/('參數'!$B$13+'參數'!$B$14+'參數'!$B$15+'參數'!$B$16),"")</f>
        <v/>
      </c>
      <c r="AR229" s="35">
        <f>IF(Y229=1,(SUMPRODUCT(($X$5:$X$404=X229)*($Y$5:$Y$404=1)*($BD$5:$BD$404&gt;BD229))+1)/COUNTIFS($X$5:$X$404,X229,$Y$5:$Y$404,1),"")</f>
        <v/>
      </c>
      <c r="AS229" s="8">
        <f>IF(ISNUMBER(AR229),IF(AR229&lt;='參數'!$B$18,"加碼候選",IF(AR229&gt;'參數'!$B$19,"減碼候選","")),"")</f>
        <v/>
      </c>
      <c r="AT229" s="7">
        <f>IF(Y229=1,N229,0)</f>
        <v/>
      </c>
      <c r="AU229" s="7">
        <f>IF(Y229=1,LN(O229),0)</f>
        <v/>
      </c>
      <c r="AV229" s="36">
        <f>IF(Y229=1,IF(ISNUMBER(F229),F229,0),0)</f>
        <v/>
      </c>
      <c r="AW229" s="7">
        <f>IF(Y229=1,Z229,0)</f>
        <v/>
      </c>
      <c r="AX229" s="7">
        <f>IF(Y229=1,IF(ISNUMBER(AL229),AL229,0),0)</f>
        <v/>
      </c>
      <c r="AY229" s="7">
        <f>IF(Y229=1,IF(ISNUMBER(AL229),1,0),0)</f>
        <v/>
      </c>
      <c r="AZ229" s="7">
        <f>IF(Y229=1,IF(ISNUMBER(AN229),AN229,0),0)</f>
        <v/>
      </c>
      <c r="BA229" s="7">
        <f>IF(Y229=1,IF(ISNUMBER(AN229),1,0),0)</f>
        <v/>
      </c>
      <c r="BB229" s="7">
        <f>IF(Y229=1,IF(ISNUMBER(T229),T229,0),0)</f>
        <v/>
      </c>
      <c r="BC229" s="7">
        <f>IF(Y229=1,IF(ISNUMBER(T229),1,0),0)</f>
        <v/>
      </c>
      <c r="BD229" s="7">
        <f>IF(Y229=1,AQ229+ROW()/1E9,-1E9)</f>
        <v/>
      </c>
      <c r="BE229" s="7">
        <f>IF(Y229=1,AQ229+ROW()/1E9,1E9)</f>
        <v/>
      </c>
    </row>
    <row r="230">
      <c r="A230" s="16" t="n"/>
      <c r="B230" s="8">
        <f>IF($A230="","",BDP($A230,B$3))</f>
        <v/>
      </c>
      <c r="C230" s="8">
        <f>IF($A230="","",BDP($A230,C$3))</f>
        <v/>
      </c>
      <c r="D230" s="28">
        <f>IF($A230="","",BDP($A230,D$3))</f>
        <v/>
      </c>
      <c r="E230" s="29">
        <f>IF($A230="","",BDP($A230,E$3))</f>
        <v/>
      </c>
      <c r="F230" s="17">
        <f>IF($A230="","",BDP($A230,F$3))</f>
        <v/>
      </c>
      <c r="G230" s="8">
        <f>IF($A230="","",BDP($A230,G$3))</f>
        <v/>
      </c>
      <c r="H230" s="8">
        <f>IF($A230="","",BDP($A230,H$3))</f>
        <v/>
      </c>
      <c r="I230" s="8">
        <f>IF($A230="","",BDP($A230,I$3))</f>
        <v/>
      </c>
      <c r="J230" s="8">
        <f>IF($A230="","",BDP($A230,J$3))</f>
        <v/>
      </c>
      <c r="K230" s="8">
        <f>IF($A230="","",BDP($A230,K$3))</f>
        <v/>
      </c>
      <c r="L230" s="28">
        <f>IF($A230="","",BDP($A230,L$3))</f>
        <v/>
      </c>
      <c r="M230" s="28">
        <f>IF($A230="","",BDP($A230,M$3))</f>
        <v/>
      </c>
      <c r="N230" s="30">
        <f>IF($A230="","",BDP($A230,N$3))</f>
        <v/>
      </c>
      <c r="O230" s="31">
        <f>IF($A230="","",BDP($A230,O$3))</f>
        <v/>
      </c>
      <c r="P230" s="30">
        <f>IF($A230="","",BDH($A230,$N$3,'參數'!$B$5,'參數'!$B$5,"Days=A","Fill=P","Dates=H"))</f>
        <v/>
      </c>
      <c r="Q230" s="30">
        <f>IF($A230="","",BDH($A230,$N$3,'參數'!$B$6,'參數'!$B$6,"Days=A","Fill=P","Dates=H"))</f>
        <v/>
      </c>
      <c r="R230" s="30">
        <f>IF($A230="","",BDH($A230,$N$3,'參數'!$B$7,'參數'!$B$7,"Days=A","Fill=P","Dates=H"))</f>
        <v/>
      </c>
      <c r="S230" s="32">
        <f>IF($A230="","",IFERROR(INDEX('發行人'!$A$5:$A$44,MATCH(B230,'發行人'!$D$5:$D$44,0)),"未對應"))</f>
        <v/>
      </c>
      <c r="T230" s="24">
        <f>IF($A230="","",IFERROR(INDEX('發行人'!$G$5:$G$44,MATCH(B230,'發行人'!$D$5:$D$44,0))+0,""))</f>
        <v/>
      </c>
      <c r="U230" s="18">
        <f>IF(ISNUMBER(E230),YEARFRAC('參數'!$B$4,E230),"")</f>
        <v/>
      </c>
      <c r="V230" s="8">
        <f>IF(U230="","",IF(U230&lt;3,"1-3y",IF(U230&lt;5,"3-5y",IF(U230&lt;7,"5-7y",IF(U230&lt;10,"7-10y","10y+")))))</f>
        <v/>
      </c>
      <c r="W230" s="30">
        <f>IF($A230="","",IFERROR(INDEX('參數'!$B$24:$B$45,MATCH(G230,'參數'!$A$24:$A$45,0)),""))</f>
        <v/>
      </c>
      <c r="X230" s="8">
        <f>IF($A230="","",IFERROR(INDEX('參數'!$C$24:$C$45,MATCH(G230,'參數'!$A$24:$A$45,0)),""))</f>
        <v/>
      </c>
      <c r="Y230" s="30">
        <f>IF(AND(ISNUMBER(N230),ISNUMBER(O230),ISNUMBER(U230)),IF(AND(O230&gt;0,X230&lt;&gt;""),1,0),0)</f>
        <v/>
      </c>
      <c r="Z230" s="17">
        <f>IF(Y230=1,O230*N230,"")</f>
        <v/>
      </c>
      <c r="AA230" s="33">
        <f>IF(Y230=1,IF(ISNUMBER(Q230),N230-Q230,""),"")</f>
        <v/>
      </c>
      <c r="AB230" s="33">
        <f>IF(Y230=1,IF(AND(ISNUMBER(P230),ISNUMBER(R230)),R230*5/12-O230*(P230-R230),""),"")</f>
        <v/>
      </c>
      <c r="AC230" s="30">
        <f>IF(Y230=1,COUNTIFS($X$5:$X$404,X230,$V$5:$V$404,V230,$Y$5:$Y$404,1),"")</f>
        <v/>
      </c>
      <c r="AD230" s="30">
        <f>IF(Y230=1,IFERROR(IF(AC230&gt;='參數'!$B$9,INDEX('分群統計'!$G$13:$K$16,MATCH(X230,'分群統計'!$A$13:$A$16,0),MATCH(V230,'分群統計'!$G$12:$K$12,0)),INDEX('分群統計'!$I$5:$I$8,MATCH(X230,'分群統計'!$A$5:$A$8,0))),""),"")</f>
        <v/>
      </c>
      <c r="AE230" s="18">
        <f>IF(Y230=1,IFERROR(IF(AC230&gt;='參數'!$B$9,INDEX('分群統計'!$L$13:$P$16,MATCH(X230,'分群統計'!$A$13:$A$16,0),MATCH(V230,'分群統計'!$L$12:$P$12,0)),INDEX('分群統計'!$J$5:$J$8,MATCH(X230,'分群統計'!$A$5:$A$8,0))),""),"")</f>
        <v/>
      </c>
      <c r="AF230" s="31">
        <f>IF(ISNUMBER(AE230),IF(AE230&gt;0,MAX(-3,MIN(3,(N230-AD230)/AE230)),0),"")</f>
        <v/>
      </c>
      <c r="AG230" s="30">
        <f>IF(Y230=1,COUNTIFS($B$5:$B$404,B230,$Y$5:$Y$404,1),"")</f>
        <v/>
      </c>
      <c r="AH230" s="30">
        <f>IF(Y230=1,IFERROR(IF(ISNUMBER(INDEX('分群統計'!$G$20:$G$59,MATCH(B230,'分群統計'!$A$20:$A$59,0))),INDEX('分群統計'!$H$20:$H$59,MATCH(B230,'分群統計'!$A$20:$A$59,0))+INDEX('分群統計'!$G$20:$G$59,MATCH(B230,'分群統計'!$A$20:$A$59,0))*AU230,""),""),"")</f>
        <v/>
      </c>
      <c r="AI230" s="34">
        <f>IF(ISNUMBER(AH230),N230-AH230,"")</f>
        <v/>
      </c>
      <c r="AJ230" s="30">
        <f>IF(Y230=1,IFERROR(IF(ISNUMBER(INDEX('分群統計'!$G$5:$G$8,MATCH(X230,'分群統計'!$A$5:$A$8,0))),INDEX('分群統計'!$H$5:$H$8,MATCH(X230,'分群統計'!$A$5:$A$8,0))+INDEX('分群統計'!$G$5:$G$8,MATCH(X230,'分群統計'!$A$5:$A$8,0))*AU230,""),""),"")</f>
        <v/>
      </c>
      <c r="AK230" s="34">
        <f>IF(ISNUMBER(AJ230),N230-AJ230,"")</f>
        <v/>
      </c>
      <c r="AL230" s="21">
        <f>IF(ISNUMBER(AJ230),IF(AJ230&gt;0,AK230/AJ230,""),"")</f>
        <v/>
      </c>
      <c r="AM230" s="31">
        <f>IF(AY230&lt;&gt;1,"",IFERROR(IF(INDEX('分群統計'!$K$5:$K$8,MATCH(X230,'分群統計'!$A$5:$A$8,0))&lt;3,"",IF(INDEX('分群統計'!$M$5:$M$8,MATCH(X230,'分群統計'!$A$5:$A$8,0))&gt;0,MAX(-3,MIN(3,(AX230-INDEX('分群統計'!$L$5:$L$8,MATCH(X230,'分群統計'!$A$5:$A$8,0)))/INDEX('分群統計'!$M$5:$M$8,MATCH(X230,'分群統計'!$A$5:$A$8,0)))),0)),""))</f>
        <v/>
      </c>
      <c r="AN230" s="31">
        <f>IF(ISNUMBER(AB230),IF(Z230&gt;0,AB230/Z230*100,""),"")</f>
        <v/>
      </c>
      <c r="AO230" s="31">
        <f>IF(BA230&lt;&gt;1,"",IFERROR(IF(INDEX('分群統計'!$N$5:$N$8,MATCH(X230,'分群統計'!$A$5:$A$8,0))&lt;3,"",IF(INDEX('分群統計'!$P$5:$P$8,MATCH(X230,'分群統計'!$A$5:$A$8,0))&gt;0,MAX(-3,MIN(3,(AZ230-INDEX('分群統計'!$O$5:$O$8,MATCH(X230,'分群統計'!$A$5:$A$8,0)))/INDEX('分群統計'!$P$5:$P$8,MATCH(X230,'分群統計'!$A$5:$A$8,0)))),0)),""))</f>
        <v/>
      </c>
      <c r="AP230" s="31">
        <f>IF(BC230&lt;&gt;1,"",IFERROR(IF(INDEX('分群統計'!$Q$5:$Q$8,MATCH(X230,'分群統計'!$A$5:$A$8,0))&lt;3,"",IF(INDEX('分群統計'!$S$5:$S$8,MATCH(X230,'分群統計'!$A$5:$A$8,0))&gt;0,MAX(-3,MIN(3,(BB230-INDEX('分群統計'!$R$5:$R$8,MATCH(X230,'分群統計'!$A$5:$A$8,0)))/INDEX('分群統計'!$S$5:$S$8,MATCH(X230,'分群統計'!$A$5:$A$8,0)))),0)),""))</f>
        <v/>
      </c>
      <c r="AQ230" s="31">
        <f>IF(Y230=1,(IF(ISNUMBER(AF230),AF230,0)*'參數'!$B$13+IF(ISNUMBER(AM230),AM230,0)*'參數'!$B$14+IF(ISNUMBER(AO230),AO230,0)*'參數'!$B$15+IF(ISNUMBER(AP230),AP230,0)*'參數'!$B$16)/('參數'!$B$13+'參數'!$B$14+'參數'!$B$15+'參數'!$B$16),"")</f>
        <v/>
      </c>
      <c r="AR230" s="35">
        <f>IF(Y230=1,(SUMPRODUCT(($X$5:$X$404=X230)*($Y$5:$Y$404=1)*($BD$5:$BD$404&gt;BD230))+1)/COUNTIFS($X$5:$X$404,X230,$Y$5:$Y$404,1),"")</f>
        <v/>
      </c>
      <c r="AS230" s="8">
        <f>IF(ISNUMBER(AR230),IF(AR230&lt;='參數'!$B$18,"加碼候選",IF(AR230&gt;'參數'!$B$19,"減碼候選","")),"")</f>
        <v/>
      </c>
      <c r="AT230" s="7">
        <f>IF(Y230=1,N230,0)</f>
        <v/>
      </c>
      <c r="AU230" s="7">
        <f>IF(Y230=1,LN(O230),0)</f>
        <v/>
      </c>
      <c r="AV230" s="36">
        <f>IF(Y230=1,IF(ISNUMBER(F230),F230,0),0)</f>
        <v/>
      </c>
      <c r="AW230" s="7">
        <f>IF(Y230=1,Z230,0)</f>
        <v/>
      </c>
      <c r="AX230" s="7">
        <f>IF(Y230=1,IF(ISNUMBER(AL230),AL230,0),0)</f>
        <v/>
      </c>
      <c r="AY230" s="7">
        <f>IF(Y230=1,IF(ISNUMBER(AL230),1,0),0)</f>
        <v/>
      </c>
      <c r="AZ230" s="7">
        <f>IF(Y230=1,IF(ISNUMBER(AN230),AN230,0),0)</f>
        <v/>
      </c>
      <c r="BA230" s="7">
        <f>IF(Y230=1,IF(ISNUMBER(AN230),1,0),0)</f>
        <v/>
      </c>
      <c r="BB230" s="7">
        <f>IF(Y230=1,IF(ISNUMBER(T230),T230,0),0)</f>
        <v/>
      </c>
      <c r="BC230" s="7">
        <f>IF(Y230=1,IF(ISNUMBER(T230),1,0),0)</f>
        <v/>
      </c>
      <c r="BD230" s="7">
        <f>IF(Y230=1,AQ230+ROW()/1E9,-1E9)</f>
        <v/>
      </c>
      <c r="BE230" s="7">
        <f>IF(Y230=1,AQ230+ROW()/1E9,1E9)</f>
        <v/>
      </c>
    </row>
    <row r="231">
      <c r="A231" s="16" t="n"/>
      <c r="B231" s="8">
        <f>IF($A231="","",BDP($A231,B$3))</f>
        <v/>
      </c>
      <c r="C231" s="8">
        <f>IF($A231="","",BDP($A231,C$3))</f>
        <v/>
      </c>
      <c r="D231" s="28">
        <f>IF($A231="","",BDP($A231,D$3))</f>
        <v/>
      </c>
      <c r="E231" s="29">
        <f>IF($A231="","",BDP($A231,E$3))</f>
        <v/>
      </c>
      <c r="F231" s="17">
        <f>IF($A231="","",BDP($A231,F$3))</f>
        <v/>
      </c>
      <c r="G231" s="8">
        <f>IF($A231="","",BDP($A231,G$3))</f>
        <v/>
      </c>
      <c r="H231" s="8">
        <f>IF($A231="","",BDP($A231,H$3))</f>
        <v/>
      </c>
      <c r="I231" s="8">
        <f>IF($A231="","",BDP($A231,I$3))</f>
        <v/>
      </c>
      <c r="J231" s="8">
        <f>IF($A231="","",BDP($A231,J$3))</f>
        <v/>
      </c>
      <c r="K231" s="8">
        <f>IF($A231="","",BDP($A231,K$3))</f>
        <v/>
      </c>
      <c r="L231" s="28">
        <f>IF($A231="","",BDP($A231,L$3))</f>
        <v/>
      </c>
      <c r="M231" s="28">
        <f>IF($A231="","",BDP($A231,M$3))</f>
        <v/>
      </c>
      <c r="N231" s="30">
        <f>IF($A231="","",BDP($A231,N$3))</f>
        <v/>
      </c>
      <c r="O231" s="31">
        <f>IF($A231="","",BDP($A231,O$3))</f>
        <v/>
      </c>
      <c r="P231" s="30">
        <f>IF($A231="","",BDH($A231,$N$3,'參數'!$B$5,'參數'!$B$5,"Days=A","Fill=P","Dates=H"))</f>
        <v/>
      </c>
      <c r="Q231" s="30">
        <f>IF($A231="","",BDH($A231,$N$3,'參數'!$B$6,'參數'!$B$6,"Days=A","Fill=P","Dates=H"))</f>
        <v/>
      </c>
      <c r="R231" s="30">
        <f>IF($A231="","",BDH($A231,$N$3,'參數'!$B$7,'參數'!$B$7,"Days=A","Fill=P","Dates=H"))</f>
        <v/>
      </c>
      <c r="S231" s="32">
        <f>IF($A231="","",IFERROR(INDEX('發行人'!$A$5:$A$44,MATCH(B231,'發行人'!$D$5:$D$44,0)),"未對應"))</f>
        <v/>
      </c>
      <c r="T231" s="24">
        <f>IF($A231="","",IFERROR(INDEX('發行人'!$G$5:$G$44,MATCH(B231,'發行人'!$D$5:$D$44,0))+0,""))</f>
        <v/>
      </c>
      <c r="U231" s="18">
        <f>IF(ISNUMBER(E231),YEARFRAC('參數'!$B$4,E231),"")</f>
        <v/>
      </c>
      <c r="V231" s="8">
        <f>IF(U231="","",IF(U231&lt;3,"1-3y",IF(U231&lt;5,"3-5y",IF(U231&lt;7,"5-7y",IF(U231&lt;10,"7-10y","10y+")))))</f>
        <v/>
      </c>
      <c r="W231" s="30">
        <f>IF($A231="","",IFERROR(INDEX('參數'!$B$24:$B$45,MATCH(G231,'參數'!$A$24:$A$45,0)),""))</f>
        <v/>
      </c>
      <c r="X231" s="8">
        <f>IF($A231="","",IFERROR(INDEX('參數'!$C$24:$C$45,MATCH(G231,'參數'!$A$24:$A$45,0)),""))</f>
        <v/>
      </c>
      <c r="Y231" s="30">
        <f>IF(AND(ISNUMBER(N231),ISNUMBER(O231),ISNUMBER(U231)),IF(AND(O231&gt;0,X231&lt;&gt;""),1,0),0)</f>
        <v/>
      </c>
      <c r="Z231" s="17">
        <f>IF(Y231=1,O231*N231,"")</f>
        <v/>
      </c>
      <c r="AA231" s="33">
        <f>IF(Y231=1,IF(ISNUMBER(Q231),N231-Q231,""),"")</f>
        <v/>
      </c>
      <c r="AB231" s="33">
        <f>IF(Y231=1,IF(AND(ISNUMBER(P231),ISNUMBER(R231)),R231*5/12-O231*(P231-R231),""),"")</f>
        <v/>
      </c>
      <c r="AC231" s="30">
        <f>IF(Y231=1,COUNTIFS($X$5:$X$404,X231,$V$5:$V$404,V231,$Y$5:$Y$404,1),"")</f>
        <v/>
      </c>
      <c r="AD231" s="30">
        <f>IF(Y231=1,IFERROR(IF(AC231&gt;='參數'!$B$9,INDEX('分群統計'!$G$13:$K$16,MATCH(X231,'分群統計'!$A$13:$A$16,0),MATCH(V231,'分群統計'!$G$12:$K$12,0)),INDEX('分群統計'!$I$5:$I$8,MATCH(X231,'分群統計'!$A$5:$A$8,0))),""),"")</f>
        <v/>
      </c>
      <c r="AE231" s="18">
        <f>IF(Y231=1,IFERROR(IF(AC231&gt;='參數'!$B$9,INDEX('分群統計'!$L$13:$P$16,MATCH(X231,'分群統計'!$A$13:$A$16,0),MATCH(V231,'分群統計'!$L$12:$P$12,0)),INDEX('分群統計'!$J$5:$J$8,MATCH(X231,'分群統計'!$A$5:$A$8,0))),""),"")</f>
        <v/>
      </c>
      <c r="AF231" s="31">
        <f>IF(ISNUMBER(AE231),IF(AE231&gt;0,MAX(-3,MIN(3,(N231-AD231)/AE231)),0),"")</f>
        <v/>
      </c>
      <c r="AG231" s="30">
        <f>IF(Y231=1,COUNTIFS($B$5:$B$404,B231,$Y$5:$Y$404,1),"")</f>
        <v/>
      </c>
      <c r="AH231" s="30">
        <f>IF(Y231=1,IFERROR(IF(ISNUMBER(INDEX('分群統計'!$G$20:$G$59,MATCH(B231,'分群統計'!$A$20:$A$59,0))),INDEX('分群統計'!$H$20:$H$59,MATCH(B231,'分群統計'!$A$20:$A$59,0))+INDEX('分群統計'!$G$20:$G$59,MATCH(B231,'分群統計'!$A$20:$A$59,0))*AU231,""),""),"")</f>
        <v/>
      </c>
      <c r="AI231" s="34">
        <f>IF(ISNUMBER(AH231),N231-AH231,"")</f>
        <v/>
      </c>
      <c r="AJ231" s="30">
        <f>IF(Y231=1,IFERROR(IF(ISNUMBER(INDEX('分群統計'!$G$5:$G$8,MATCH(X231,'分群統計'!$A$5:$A$8,0))),INDEX('分群統計'!$H$5:$H$8,MATCH(X231,'分群統計'!$A$5:$A$8,0))+INDEX('分群統計'!$G$5:$G$8,MATCH(X231,'分群統計'!$A$5:$A$8,0))*AU231,""),""),"")</f>
        <v/>
      </c>
      <c r="AK231" s="34">
        <f>IF(ISNUMBER(AJ231),N231-AJ231,"")</f>
        <v/>
      </c>
      <c r="AL231" s="21">
        <f>IF(ISNUMBER(AJ231),IF(AJ231&gt;0,AK231/AJ231,""),"")</f>
        <v/>
      </c>
      <c r="AM231" s="31">
        <f>IF(AY231&lt;&gt;1,"",IFERROR(IF(INDEX('分群統計'!$K$5:$K$8,MATCH(X231,'分群統計'!$A$5:$A$8,0))&lt;3,"",IF(INDEX('分群統計'!$M$5:$M$8,MATCH(X231,'分群統計'!$A$5:$A$8,0))&gt;0,MAX(-3,MIN(3,(AX231-INDEX('分群統計'!$L$5:$L$8,MATCH(X231,'分群統計'!$A$5:$A$8,0)))/INDEX('分群統計'!$M$5:$M$8,MATCH(X231,'分群統計'!$A$5:$A$8,0)))),0)),""))</f>
        <v/>
      </c>
      <c r="AN231" s="31">
        <f>IF(ISNUMBER(AB231),IF(Z231&gt;0,AB231/Z231*100,""),"")</f>
        <v/>
      </c>
      <c r="AO231" s="31">
        <f>IF(BA231&lt;&gt;1,"",IFERROR(IF(INDEX('分群統計'!$N$5:$N$8,MATCH(X231,'分群統計'!$A$5:$A$8,0))&lt;3,"",IF(INDEX('分群統計'!$P$5:$P$8,MATCH(X231,'分群統計'!$A$5:$A$8,0))&gt;0,MAX(-3,MIN(3,(AZ231-INDEX('分群統計'!$O$5:$O$8,MATCH(X231,'分群統計'!$A$5:$A$8,0)))/INDEX('分群統計'!$P$5:$P$8,MATCH(X231,'分群統計'!$A$5:$A$8,0)))),0)),""))</f>
        <v/>
      </c>
      <c r="AP231" s="31">
        <f>IF(BC231&lt;&gt;1,"",IFERROR(IF(INDEX('分群統計'!$Q$5:$Q$8,MATCH(X231,'分群統計'!$A$5:$A$8,0))&lt;3,"",IF(INDEX('分群統計'!$S$5:$S$8,MATCH(X231,'分群統計'!$A$5:$A$8,0))&gt;0,MAX(-3,MIN(3,(BB231-INDEX('分群統計'!$R$5:$R$8,MATCH(X231,'分群統計'!$A$5:$A$8,0)))/INDEX('分群統計'!$S$5:$S$8,MATCH(X231,'分群統計'!$A$5:$A$8,0)))),0)),""))</f>
        <v/>
      </c>
      <c r="AQ231" s="31">
        <f>IF(Y231=1,(IF(ISNUMBER(AF231),AF231,0)*'參數'!$B$13+IF(ISNUMBER(AM231),AM231,0)*'參數'!$B$14+IF(ISNUMBER(AO231),AO231,0)*'參數'!$B$15+IF(ISNUMBER(AP231),AP231,0)*'參數'!$B$16)/('參數'!$B$13+'參數'!$B$14+'參數'!$B$15+'參數'!$B$16),"")</f>
        <v/>
      </c>
      <c r="AR231" s="35">
        <f>IF(Y231=1,(SUMPRODUCT(($X$5:$X$404=X231)*($Y$5:$Y$404=1)*($BD$5:$BD$404&gt;BD231))+1)/COUNTIFS($X$5:$X$404,X231,$Y$5:$Y$404,1),"")</f>
        <v/>
      </c>
      <c r="AS231" s="8">
        <f>IF(ISNUMBER(AR231),IF(AR231&lt;='參數'!$B$18,"加碼候選",IF(AR231&gt;'參數'!$B$19,"減碼候選","")),"")</f>
        <v/>
      </c>
      <c r="AT231" s="7">
        <f>IF(Y231=1,N231,0)</f>
        <v/>
      </c>
      <c r="AU231" s="7">
        <f>IF(Y231=1,LN(O231),0)</f>
        <v/>
      </c>
      <c r="AV231" s="36">
        <f>IF(Y231=1,IF(ISNUMBER(F231),F231,0),0)</f>
        <v/>
      </c>
      <c r="AW231" s="7">
        <f>IF(Y231=1,Z231,0)</f>
        <v/>
      </c>
      <c r="AX231" s="7">
        <f>IF(Y231=1,IF(ISNUMBER(AL231),AL231,0),0)</f>
        <v/>
      </c>
      <c r="AY231" s="7">
        <f>IF(Y231=1,IF(ISNUMBER(AL231),1,0),0)</f>
        <v/>
      </c>
      <c r="AZ231" s="7">
        <f>IF(Y231=1,IF(ISNUMBER(AN231),AN231,0),0)</f>
        <v/>
      </c>
      <c r="BA231" s="7">
        <f>IF(Y231=1,IF(ISNUMBER(AN231),1,0),0)</f>
        <v/>
      </c>
      <c r="BB231" s="7">
        <f>IF(Y231=1,IF(ISNUMBER(T231),T231,0),0)</f>
        <v/>
      </c>
      <c r="BC231" s="7">
        <f>IF(Y231=1,IF(ISNUMBER(T231),1,0),0)</f>
        <v/>
      </c>
      <c r="BD231" s="7">
        <f>IF(Y231=1,AQ231+ROW()/1E9,-1E9)</f>
        <v/>
      </c>
      <c r="BE231" s="7">
        <f>IF(Y231=1,AQ231+ROW()/1E9,1E9)</f>
        <v/>
      </c>
    </row>
    <row r="232">
      <c r="A232" s="16" t="n"/>
      <c r="B232" s="8">
        <f>IF($A232="","",BDP($A232,B$3))</f>
        <v/>
      </c>
      <c r="C232" s="8">
        <f>IF($A232="","",BDP($A232,C$3))</f>
        <v/>
      </c>
      <c r="D232" s="28">
        <f>IF($A232="","",BDP($A232,D$3))</f>
        <v/>
      </c>
      <c r="E232" s="29">
        <f>IF($A232="","",BDP($A232,E$3))</f>
        <v/>
      </c>
      <c r="F232" s="17">
        <f>IF($A232="","",BDP($A232,F$3))</f>
        <v/>
      </c>
      <c r="G232" s="8">
        <f>IF($A232="","",BDP($A232,G$3))</f>
        <v/>
      </c>
      <c r="H232" s="8">
        <f>IF($A232="","",BDP($A232,H$3))</f>
        <v/>
      </c>
      <c r="I232" s="8">
        <f>IF($A232="","",BDP($A232,I$3))</f>
        <v/>
      </c>
      <c r="J232" s="8">
        <f>IF($A232="","",BDP($A232,J$3))</f>
        <v/>
      </c>
      <c r="K232" s="8">
        <f>IF($A232="","",BDP($A232,K$3))</f>
        <v/>
      </c>
      <c r="L232" s="28">
        <f>IF($A232="","",BDP($A232,L$3))</f>
        <v/>
      </c>
      <c r="M232" s="28">
        <f>IF($A232="","",BDP($A232,M$3))</f>
        <v/>
      </c>
      <c r="N232" s="30">
        <f>IF($A232="","",BDP($A232,N$3))</f>
        <v/>
      </c>
      <c r="O232" s="31">
        <f>IF($A232="","",BDP($A232,O$3))</f>
        <v/>
      </c>
      <c r="P232" s="30">
        <f>IF($A232="","",BDH($A232,$N$3,'參數'!$B$5,'參數'!$B$5,"Days=A","Fill=P","Dates=H"))</f>
        <v/>
      </c>
      <c r="Q232" s="30">
        <f>IF($A232="","",BDH($A232,$N$3,'參數'!$B$6,'參數'!$B$6,"Days=A","Fill=P","Dates=H"))</f>
        <v/>
      </c>
      <c r="R232" s="30">
        <f>IF($A232="","",BDH($A232,$N$3,'參數'!$B$7,'參數'!$B$7,"Days=A","Fill=P","Dates=H"))</f>
        <v/>
      </c>
      <c r="S232" s="32">
        <f>IF($A232="","",IFERROR(INDEX('發行人'!$A$5:$A$44,MATCH(B232,'發行人'!$D$5:$D$44,0)),"未對應"))</f>
        <v/>
      </c>
      <c r="T232" s="24">
        <f>IF($A232="","",IFERROR(INDEX('發行人'!$G$5:$G$44,MATCH(B232,'發行人'!$D$5:$D$44,0))+0,""))</f>
        <v/>
      </c>
      <c r="U232" s="18">
        <f>IF(ISNUMBER(E232),YEARFRAC('參數'!$B$4,E232),"")</f>
        <v/>
      </c>
      <c r="V232" s="8">
        <f>IF(U232="","",IF(U232&lt;3,"1-3y",IF(U232&lt;5,"3-5y",IF(U232&lt;7,"5-7y",IF(U232&lt;10,"7-10y","10y+")))))</f>
        <v/>
      </c>
      <c r="W232" s="30">
        <f>IF($A232="","",IFERROR(INDEX('參數'!$B$24:$B$45,MATCH(G232,'參數'!$A$24:$A$45,0)),""))</f>
        <v/>
      </c>
      <c r="X232" s="8">
        <f>IF($A232="","",IFERROR(INDEX('參數'!$C$24:$C$45,MATCH(G232,'參數'!$A$24:$A$45,0)),""))</f>
        <v/>
      </c>
      <c r="Y232" s="30">
        <f>IF(AND(ISNUMBER(N232),ISNUMBER(O232),ISNUMBER(U232)),IF(AND(O232&gt;0,X232&lt;&gt;""),1,0),0)</f>
        <v/>
      </c>
      <c r="Z232" s="17">
        <f>IF(Y232=1,O232*N232,"")</f>
        <v/>
      </c>
      <c r="AA232" s="33">
        <f>IF(Y232=1,IF(ISNUMBER(Q232),N232-Q232,""),"")</f>
        <v/>
      </c>
      <c r="AB232" s="33">
        <f>IF(Y232=1,IF(AND(ISNUMBER(P232),ISNUMBER(R232)),R232*5/12-O232*(P232-R232),""),"")</f>
        <v/>
      </c>
      <c r="AC232" s="30">
        <f>IF(Y232=1,COUNTIFS($X$5:$X$404,X232,$V$5:$V$404,V232,$Y$5:$Y$404,1),"")</f>
        <v/>
      </c>
      <c r="AD232" s="30">
        <f>IF(Y232=1,IFERROR(IF(AC232&gt;='參數'!$B$9,INDEX('分群統計'!$G$13:$K$16,MATCH(X232,'分群統計'!$A$13:$A$16,0),MATCH(V232,'分群統計'!$G$12:$K$12,0)),INDEX('分群統計'!$I$5:$I$8,MATCH(X232,'分群統計'!$A$5:$A$8,0))),""),"")</f>
        <v/>
      </c>
      <c r="AE232" s="18">
        <f>IF(Y232=1,IFERROR(IF(AC232&gt;='參數'!$B$9,INDEX('分群統計'!$L$13:$P$16,MATCH(X232,'分群統計'!$A$13:$A$16,0),MATCH(V232,'分群統計'!$L$12:$P$12,0)),INDEX('分群統計'!$J$5:$J$8,MATCH(X232,'分群統計'!$A$5:$A$8,0))),""),"")</f>
        <v/>
      </c>
      <c r="AF232" s="31">
        <f>IF(ISNUMBER(AE232),IF(AE232&gt;0,MAX(-3,MIN(3,(N232-AD232)/AE232)),0),"")</f>
        <v/>
      </c>
      <c r="AG232" s="30">
        <f>IF(Y232=1,COUNTIFS($B$5:$B$404,B232,$Y$5:$Y$404,1),"")</f>
        <v/>
      </c>
      <c r="AH232" s="30">
        <f>IF(Y232=1,IFERROR(IF(ISNUMBER(INDEX('分群統計'!$G$20:$G$59,MATCH(B232,'分群統計'!$A$20:$A$59,0))),INDEX('分群統計'!$H$20:$H$59,MATCH(B232,'分群統計'!$A$20:$A$59,0))+INDEX('分群統計'!$G$20:$G$59,MATCH(B232,'分群統計'!$A$20:$A$59,0))*AU232,""),""),"")</f>
        <v/>
      </c>
      <c r="AI232" s="34">
        <f>IF(ISNUMBER(AH232),N232-AH232,"")</f>
        <v/>
      </c>
      <c r="AJ232" s="30">
        <f>IF(Y232=1,IFERROR(IF(ISNUMBER(INDEX('分群統計'!$G$5:$G$8,MATCH(X232,'分群統計'!$A$5:$A$8,0))),INDEX('分群統計'!$H$5:$H$8,MATCH(X232,'分群統計'!$A$5:$A$8,0))+INDEX('分群統計'!$G$5:$G$8,MATCH(X232,'分群統計'!$A$5:$A$8,0))*AU232,""),""),"")</f>
        <v/>
      </c>
      <c r="AK232" s="34">
        <f>IF(ISNUMBER(AJ232),N232-AJ232,"")</f>
        <v/>
      </c>
      <c r="AL232" s="21">
        <f>IF(ISNUMBER(AJ232),IF(AJ232&gt;0,AK232/AJ232,""),"")</f>
        <v/>
      </c>
      <c r="AM232" s="31">
        <f>IF(AY232&lt;&gt;1,"",IFERROR(IF(INDEX('分群統計'!$K$5:$K$8,MATCH(X232,'分群統計'!$A$5:$A$8,0))&lt;3,"",IF(INDEX('分群統計'!$M$5:$M$8,MATCH(X232,'分群統計'!$A$5:$A$8,0))&gt;0,MAX(-3,MIN(3,(AX232-INDEX('分群統計'!$L$5:$L$8,MATCH(X232,'分群統計'!$A$5:$A$8,0)))/INDEX('分群統計'!$M$5:$M$8,MATCH(X232,'分群統計'!$A$5:$A$8,0)))),0)),""))</f>
        <v/>
      </c>
      <c r="AN232" s="31">
        <f>IF(ISNUMBER(AB232),IF(Z232&gt;0,AB232/Z232*100,""),"")</f>
        <v/>
      </c>
      <c r="AO232" s="31">
        <f>IF(BA232&lt;&gt;1,"",IFERROR(IF(INDEX('分群統計'!$N$5:$N$8,MATCH(X232,'分群統計'!$A$5:$A$8,0))&lt;3,"",IF(INDEX('分群統計'!$P$5:$P$8,MATCH(X232,'分群統計'!$A$5:$A$8,0))&gt;0,MAX(-3,MIN(3,(AZ232-INDEX('分群統計'!$O$5:$O$8,MATCH(X232,'分群統計'!$A$5:$A$8,0)))/INDEX('分群統計'!$P$5:$P$8,MATCH(X232,'分群統計'!$A$5:$A$8,0)))),0)),""))</f>
        <v/>
      </c>
      <c r="AP232" s="31">
        <f>IF(BC232&lt;&gt;1,"",IFERROR(IF(INDEX('分群統計'!$Q$5:$Q$8,MATCH(X232,'分群統計'!$A$5:$A$8,0))&lt;3,"",IF(INDEX('分群統計'!$S$5:$S$8,MATCH(X232,'分群統計'!$A$5:$A$8,0))&gt;0,MAX(-3,MIN(3,(BB232-INDEX('分群統計'!$R$5:$R$8,MATCH(X232,'分群統計'!$A$5:$A$8,0)))/INDEX('分群統計'!$S$5:$S$8,MATCH(X232,'分群統計'!$A$5:$A$8,0)))),0)),""))</f>
        <v/>
      </c>
      <c r="AQ232" s="31">
        <f>IF(Y232=1,(IF(ISNUMBER(AF232),AF232,0)*'參數'!$B$13+IF(ISNUMBER(AM232),AM232,0)*'參數'!$B$14+IF(ISNUMBER(AO232),AO232,0)*'參數'!$B$15+IF(ISNUMBER(AP232),AP232,0)*'參數'!$B$16)/('參數'!$B$13+'參數'!$B$14+'參數'!$B$15+'參數'!$B$16),"")</f>
        <v/>
      </c>
      <c r="AR232" s="35">
        <f>IF(Y232=1,(SUMPRODUCT(($X$5:$X$404=X232)*($Y$5:$Y$404=1)*($BD$5:$BD$404&gt;BD232))+1)/COUNTIFS($X$5:$X$404,X232,$Y$5:$Y$404,1),"")</f>
        <v/>
      </c>
      <c r="AS232" s="8">
        <f>IF(ISNUMBER(AR232),IF(AR232&lt;='參數'!$B$18,"加碼候選",IF(AR232&gt;'參數'!$B$19,"減碼候選","")),"")</f>
        <v/>
      </c>
      <c r="AT232" s="7">
        <f>IF(Y232=1,N232,0)</f>
        <v/>
      </c>
      <c r="AU232" s="7">
        <f>IF(Y232=1,LN(O232),0)</f>
        <v/>
      </c>
      <c r="AV232" s="36">
        <f>IF(Y232=1,IF(ISNUMBER(F232),F232,0),0)</f>
        <v/>
      </c>
      <c r="AW232" s="7">
        <f>IF(Y232=1,Z232,0)</f>
        <v/>
      </c>
      <c r="AX232" s="7">
        <f>IF(Y232=1,IF(ISNUMBER(AL232),AL232,0),0)</f>
        <v/>
      </c>
      <c r="AY232" s="7">
        <f>IF(Y232=1,IF(ISNUMBER(AL232),1,0),0)</f>
        <v/>
      </c>
      <c r="AZ232" s="7">
        <f>IF(Y232=1,IF(ISNUMBER(AN232),AN232,0),0)</f>
        <v/>
      </c>
      <c r="BA232" s="7">
        <f>IF(Y232=1,IF(ISNUMBER(AN232),1,0),0)</f>
        <v/>
      </c>
      <c r="BB232" s="7">
        <f>IF(Y232=1,IF(ISNUMBER(T232),T232,0),0)</f>
        <v/>
      </c>
      <c r="BC232" s="7">
        <f>IF(Y232=1,IF(ISNUMBER(T232),1,0),0)</f>
        <v/>
      </c>
      <c r="BD232" s="7">
        <f>IF(Y232=1,AQ232+ROW()/1E9,-1E9)</f>
        <v/>
      </c>
      <c r="BE232" s="7">
        <f>IF(Y232=1,AQ232+ROW()/1E9,1E9)</f>
        <v/>
      </c>
    </row>
    <row r="233">
      <c r="A233" s="16" t="n"/>
      <c r="B233" s="8">
        <f>IF($A233="","",BDP($A233,B$3))</f>
        <v/>
      </c>
      <c r="C233" s="8">
        <f>IF($A233="","",BDP($A233,C$3))</f>
        <v/>
      </c>
      <c r="D233" s="28">
        <f>IF($A233="","",BDP($A233,D$3))</f>
        <v/>
      </c>
      <c r="E233" s="29">
        <f>IF($A233="","",BDP($A233,E$3))</f>
        <v/>
      </c>
      <c r="F233" s="17">
        <f>IF($A233="","",BDP($A233,F$3))</f>
        <v/>
      </c>
      <c r="G233" s="8">
        <f>IF($A233="","",BDP($A233,G$3))</f>
        <v/>
      </c>
      <c r="H233" s="8">
        <f>IF($A233="","",BDP($A233,H$3))</f>
        <v/>
      </c>
      <c r="I233" s="8">
        <f>IF($A233="","",BDP($A233,I$3))</f>
        <v/>
      </c>
      <c r="J233" s="8">
        <f>IF($A233="","",BDP($A233,J$3))</f>
        <v/>
      </c>
      <c r="K233" s="8">
        <f>IF($A233="","",BDP($A233,K$3))</f>
        <v/>
      </c>
      <c r="L233" s="28">
        <f>IF($A233="","",BDP($A233,L$3))</f>
        <v/>
      </c>
      <c r="M233" s="28">
        <f>IF($A233="","",BDP($A233,M$3))</f>
        <v/>
      </c>
      <c r="N233" s="30">
        <f>IF($A233="","",BDP($A233,N$3))</f>
        <v/>
      </c>
      <c r="O233" s="31">
        <f>IF($A233="","",BDP($A233,O$3))</f>
        <v/>
      </c>
      <c r="P233" s="30">
        <f>IF($A233="","",BDH($A233,$N$3,'參數'!$B$5,'參數'!$B$5,"Days=A","Fill=P","Dates=H"))</f>
        <v/>
      </c>
      <c r="Q233" s="30">
        <f>IF($A233="","",BDH($A233,$N$3,'參數'!$B$6,'參數'!$B$6,"Days=A","Fill=P","Dates=H"))</f>
        <v/>
      </c>
      <c r="R233" s="30">
        <f>IF($A233="","",BDH($A233,$N$3,'參數'!$B$7,'參數'!$B$7,"Days=A","Fill=P","Dates=H"))</f>
        <v/>
      </c>
      <c r="S233" s="32">
        <f>IF($A233="","",IFERROR(INDEX('發行人'!$A$5:$A$44,MATCH(B233,'發行人'!$D$5:$D$44,0)),"未對應"))</f>
        <v/>
      </c>
      <c r="T233" s="24">
        <f>IF($A233="","",IFERROR(INDEX('發行人'!$G$5:$G$44,MATCH(B233,'發行人'!$D$5:$D$44,0))+0,""))</f>
        <v/>
      </c>
      <c r="U233" s="18">
        <f>IF(ISNUMBER(E233),YEARFRAC('參數'!$B$4,E233),"")</f>
        <v/>
      </c>
      <c r="V233" s="8">
        <f>IF(U233="","",IF(U233&lt;3,"1-3y",IF(U233&lt;5,"3-5y",IF(U233&lt;7,"5-7y",IF(U233&lt;10,"7-10y","10y+")))))</f>
        <v/>
      </c>
      <c r="W233" s="30">
        <f>IF($A233="","",IFERROR(INDEX('參數'!$B$24:$B$45,MATCH(G233,'參數'!$A$24:$A$45,0)),""))</f>
        <v/>
      </c>
      <c r="X233" s="8">
        <f>IF($A233="","",IFERROR(INDEX('參數'!$C$24:$C$45,MATCH(G233,'參數'!$A$24:$A$45,0)),""))</f>
        <v/>
      </c>
      <c r="Y233" s="30">
        <f>IF(AND(ISNUMBER(N233),ISNUMBER(O233),ISNUMBER(U233)),IF(AND(O233&gt;0,X233&lt;&gt;""),1,0),0)</f>
        <v/>
      </c>
      <c r="Z233" s="17">
        <f>IF(Y233=1,O233*N233,"")</f>
        <v/>
      </c>
      <c r="AA233" s="33">
        <f>IF(Y233=1,IF(ISNUMBER(Q233),N233-Q233,""),"")</f>
        <v/>
      </c>
      <c r="AB233" s="33">
        <f>IF(Y233=1,IF(AND(ISNUMBER(P233),ISNUMBER(R233)),R233*5/12-O233*(P233-R233),""),"")</f>
        <v/>
      </c>
      <c r="AC233" s="30">
        <f>IF(Y233=1,COUNTIFS($X$5:$X$404,X233,$V$5:$V$404,V233,$Y$5:$Y$404,1),"")</f>
        <v/>
      </c>
      <c r="AD233" s="30">
        <f>IF(Y233=1,IFERROR(IF(AC233&gt;='參數'!$B$9,INDEX('分群統計'!$G$13:$K$16,MATCH(X233,'分群統計'!$A$13:$A$16,0),MATCH(V233,'分群統計'!$G$12:$K$12,0)),INDEX('分群統計'!$I$5:$I$8,MATCH(X233,'分群統計'!$A$5:$A$8,0))),""),"")</f>
        <v/>
      </c>
      <c r="AE233" s="18">
        <f>IF(Y233=1,IFERROR(IF(AC233&gt;='參數'!$B$9,INDEX('分群統計'!$L$13:$P$16,MATCH(X233,'分群統計'!$A$13:$A$16,0),MATCH(V233,'分群統計'!$L$12:$P$12,0)),INDEX('分群統計'!$J$5:$J$8,MATCH(X233,'分群統計'!$A$5:$A$8,0))),""),"")</f>
        <v/>
      </c>
      <c r="AF233" s="31">
        <f>IF(ISNUMBER(AE233),IF(AE233&gt;0,MAX(-3,MIN(3,(N233-AD233)/AE233)),0),"")</f>
        <v/>
      </c>
      <c r="AG233" s="30">
        <f>IF(Y233=1,COUNTIFS($B$5:$B$404,B233,$Y$5:$Y$404,1),"")</f>
        <v/>
      </c>
      <c r="AH233" s="30">
        <f>IF(Y233=1,IFERROR(IF(ISNUMBER(INDEX('分群統計'!$G$20:$G$59,MATCH(B233,'分群統計'!$A$20:$A$59,0))),INDEX('分群統計'!$H$20:$H$59,MATCH(B233,'分群統計'!$A$20:$A$59,0))+INDEX('分群統計'!$G$20:$G$59,MATCH(B233,'分群統計'!$A$20:$A$59,0))*AU233,""),""),"")</f>
        <v/>
      </c>
      <c r="AI233" s="34">
        <f>IF(ISNUMBER(AH233),N233-AH233,"")</f>
        <v/>
      </c>
      <c r="AJ233" s="30">
        <f>IF(Y233=1,IFERROR(IF(ISNUMBER(INDEX('分群統計'!$G$5:$G$8,MATCH(X233,'分群統計'!$A$5:$A$8,0))),INDEX('分群統計'!$H$5:$H$8,MATCH(X233,'分群統計'!$A$5:$A$8,0))+INDEX('分群統計'!$G$5:$G$8,MATCH(X233,'分群統計'!$A$5:$A$8,0))*AU233,""),""),"")</f>
        <v/>
      </c>
      <c r="AK233" s="34">
        <f>IF(ISNUMBER(AJ233),N233-AJ233,"")</f>
        <v/>
      </c>
      <c r="AL233" s="21">
        <f>IF(ISNUMBER(AJ233),IF(AJ233&gt;0,AK233/AJ233,""),"")</f>
        <v/>
      </c>
      <c r="AM233" s="31">
        <f>IF(AY233&lt;&gt;1,"",IFERROR(IF(INDEX('分群統計'!$K$5:$K$8,MATCH(X233,'分群統計'!$A$5:$A$8,0))&lt;3,"",IF(INDEX('分群統計'!$M$5:$M$8,MATCH(X233,'分群統計'!$A$5:$A$8,0))&gt;0,MAX(-3,MIN(3,(AX233-INDEX('分群統計'!$L$5:$L$8,MATCH(X233,'分群統計'!$A$5:$A$8,0)))/INDEX('分群統計'!$M$5:$M$8,MATCH(X233,'分群統計'!$A$5:$A$8,0)))),0)),""))</f>
        <v/>
      </c>
      <c r="AN233" s="31">
        <f>IF(ISNUMBER(AB233),IF(Z233&gt;0,AB233/Z233*100,""),"")</f>
        <v/>
      </c>
      <c r="AO233" s="31">
        <f>IF(BA233&lt;&gt;1,"",IFERROR(IF(INDEX('分群統計'!$N$5:$N$8,MATCH(X233,'分群統計'!$A$5:$A$8,0))&lt;3,"",IF(INDEX('分群統計'!$P$5:$P$8,MATCH(X233,'分群統計'!$A$5:$A$8,0))&gt;0,MAX(-3,MIN(3,(AZ233-INDEX('分群統計'!$O$5:$O$8,MATCH(X233,'分群統計'!$A$5:$A$8,0)))/INDEX('分群統計'!$P$5:$P$8,MATCH(X233,'分群統計'!$A$5:$A$8,0)))),0)),""))</f>
        <v/>
      </c>
      <c r="AP233" s="31">
        <f>IF(BC233&lt;&gt;1,"",IFERROR(IF(INDEX('分群統計'!$Q$5:$Q$8,MATCH(X233,'分群統計'!$A$5:$A$8,0))&lt;3,"",IF(INDEX('分群統計'!$S$5:$S$8,MATCH(X233,'分群統計'!$A$5:$A$8,0))&gt;0,MAX(-3,MIN(3,(BB233-INDEX('分群統計'!$R$5:$R$8,MATCH(X233,'分群統計'!$A$5:$A$8,0)))/INDEX('分群統計'!$S$5:$S$8,MATCH(X233,'分群統計'!$A$5:$A$8,0)))),0)),""))</f>
        <v/>
      </c>
      <c r="AQ233" s="31">
        <f>IF(Y233=1,(IF(ISNUMBER(AF233),AF233,0)*'參數'!$B$13+IF(ISNUMBER(AM233),AM233,0)*'參數'!$B$14+IF(ISNUMBER(AO233),AO233,0)*'參數'!$B$15+IF(ISNUMBER(AP233),AP233,0)*'參數'!$B$16)/('參數'!$B$13+'參數'!$B$14+'參數'!$B$15+'參數'!$B$16),"")</f>
        <v/>
      </c>
      <c r="AR233" s="35">
        <f>IF(Y233=1,(SUMPRODUCT(($X$5:$X$404=X233)*($Y$5:$Y$404=1)*($BD$5:$BD$404&gt;BD233))+1)/COUNTIFS($X$5:$X$404,X233,$Y$5:$Y$404,1),"")</f>
        <v/>
      </c>
      <c r="AS233" s="8">
        <f>IF(ISNUMBER(AR233),IF(AR233&lt;='參數'!$B$18,"加碼候選",IF(AR233&gt;'參數'!$B$19,"減碼候選","")),"")</f>
        <v/>
      </c>
      <c r="AT233" s="7">
        <f>IF(Y233=1,N233,0)</f>
        <v/>
      </c>
      <c r="AU233" s="7">
        <f>IF(Y233=1,LN(O233),0)</f>
        <v/>
      </c>
      <c r="AV233" s="36">
        <f>IF(Y233=1,IF(ISNUMBER(F233),F233,0),0)</f>
        <v/>
      </c>
      <c r="AW233" s="7">
        <f>IF(Y233=1,Z233,0)</f>
        <v/>
      </c>
      <c r="AX233" s="7">
        <f>IF(Y233=1,IF(ISNUMBER(AL233),AL233,0),0)</f>
        <v/>
      </c>
      <c r="AY233" s="7">
        <f>IF(Y233=1,IF(ISNUMBER(AL233),1,0),0)</f>
        <v/>
      </c>
      <c r="AZ233" s="7">
        <f>IF(Y233=1,IF(ISNUMBER(AN233),AN233,0),0)</f>
        <v/>
      </c>
      <c r="BA233" s="7">
        <f>IF(Y233=1,IF(ISNUMBER(AN233),1,0),0)</f>
        <v/>
      </c>
      <c r="BB233" s="7">
        <f>IF(Y233=1,IF(ISNUMBER(T233),T233,0),0)</f>
        <v/>
      </c>
      <c r="BC233" s="7">
        <f>IF(Y233=1,IF(ISNUMBER(T233),1,0),0)</f>
        <v/>
      </c>
      <c r="BD233" s="7">
        <f>IF(Y233=1,AQ233+ROW()/1E9,-1E9)</f>
        <v/>
      </c>
      <c r="BE233" s="7">
        <f>IF(Y233=1,AQ233+ROW()/1E9,1E9)</f>
        <v/>
      </c>
    </row>
    <row r="234">
      <c r="A234" s="16" t="n"/>
      <c r="B234" s="8">
        <f>IF($A234="","",BDP($A234,B$3))</f>
        <v/>
      </c>
      <c r="C234" s="8">
        <f>IF($A234="","",BDP($A234,C$3))</f>
        <v/>
      </c>
      <c r="D234" s="28">
        <f>IF($A234="","",BDP($A234,D$3))</f>
        <v/>
      </c>
      <c r="E234" s="29">
        <f>IF($A234="","",BDP($A234,E$3))</f>
        <v/>
      </c>
      <c r="F234" s="17">
        <f>IF($A234="","",BDP($A234,F$3))</f>
        <v/>
      </c>
      <c r="G234" s="8">
        <f>IF($A234="","",BDP($A234,G$3))</f>
        <v/>
      </c>
      <c r="H234" s="8">
        <f>IF($A234="","",BDP($A234,H$3))</f>
        <v/>
      </c>
      <c r="I234" s="8">
        <f>IF($A234="","",BDP($A234,I$3))</f>
        <v/>
      </c>
      <c r="J234" s="8">
        <f>IF($A234="","",BDP($A234,J$3))</f>
        <v/>
      </c>
      <c r="K234" s="8">
        <f>IF($A234="","",BDP($A234,K$3))</f>
        <v/>
      </c>
      <c r="L234" s="28">
        <f>IF($A234="","",BDP($A234,L$3))</f>
        <v/>
      </c>
      <c r="M234" s="28">
        <f>IF($A234="","",BDP($A234,M$3))</f>
        <v/>
      </c>
      <c r="N234" s="30">
        <f>IF($A234="","",BDP($A234,N$3))</f>
        <v/>
      </c>
      <c r="O234" s="31">
        <f>IF($A234="","",BDP($A234,O$3))</f>
        <v/>
      </c>
      <c r="P234" s="30">
        <f>IF($A234="","",BDH($A234,$N$3,'參數'!$B$5,'參數'!$B$5,"Days=A","Fill=P","Dates=H"))</f>
        <v/>
      </c>
      <c r="Q234" s="30">
        <f>IF($A234="","",BDH($A234,$N$3,'參數'!$B$6,'參數'!$B$6,"Days=A","Fill=P","Dates=H"))</f>
        <v/>
      </c>
      <c r="R234" s="30">
        <f>IF($A234="","",BDH($A234,$N$3,'參數'!$B$7,'參數'!$B$7,"Days=A","Fill=P","Dates=H"))</f>
        <v/>
      </c>
      <c r="S234" s="32">
        <f>IF($A234="","",IFERROR(INDEX('發行人'!$A$5:$A$44,MATCH(B234,'發行人'!$D$5:$D$44,0)),"未對應"))</f>
        <v/>
      </c>
      <c r="T234" s="24">
        <f>IF($A234="","",IFERROR(INDEX('發行人'!$G$5:$G$44,MATCH(B234,'發行人'!$D$5:$D$44,0))+0,""))</f>
        <v/>
      </c>
      <c r="U234" s="18">
        <f>IF(ISNUMBER(E234),YEARFRAC('參數'!$B$4,E234),"")</f>
        <v/>
      </c>
      <c r="V234" s="8">
        <f>IF(U234="","",IF(U234&lt;3,"1-3y",IF(U234&lt;5,"3-5y",IF(U234&lt;7,"5-7y",IF(U234&lt;10,"7-10y","10y+")))))</f>
        <v/>
      </c>
      <c r="W234" s="30">
        <f>IF($A234="","",IFERROR(INDEX('參數'!$B$24:$B$45,MATCH(G234,'參數'!$A$24:$A$45,0)),""))</f>
        <v/>
      </c>
      <c r="X234" s="8">
        <f>IF($A234="","",IFERROR(INDEX('參數'!$C$24:$C$45,MATCH(G234,'參數'!$A$24:$A$45,0)),""))</f>
        <v/>
      </c>
      <c r="Y234" s="30">
        <f>IF(AND(ISNUMBER(N234),ISNUMBER(O234),ISNUMBER(U234)),IF(AND(O234&gt;0,X234&lt;&gt;""),1,0),0)</f>
        <v/>
      </c>
      <c r="Z234" s="17">
        <f>IF(Y234=1,O234*N234,"")</f>
        <v/>
      </c>
      <c r="AA234" s="33">
        <f>IF(Y234=1,IF(ISNUMBER(Q234),N234-Q234,""),"")</f>
        <v/>
      </c>
      <c r="AB234" s="33">
        <f>IF(Y234=1,IF(AND(ISNUMBER(P234),ISNUMBER(R234)),R234*5/12-O234*(P234-R234),""),"")</f>
        <v/>
      </c>
      <c r="AC234" s="30">
        <f>IF(Y234=1,COUNTIFS($X$5:$X$404,X234,$V$5:$V$404,V234,$Y$5:$Y$404,1),"")</f>
        <v/>
      </c>
      <c r="AD234" s="30">
        <f>IF(Y234=1,IFERROR(IF(AC234&gt;='參數'!$B$9,INDEX('分群統計'!$G$13:$K$16,MATCH(X234,'分群統計'!$A$13:$A$16,0),MATCH(V234,'分群統計'!$G$12:$K$12,0)),INDEX('分群統計'!$I$5:$I$8,MATCH(X234,'分群統計'!$A$5:$A$8,0))),""),"")</f>
        <v/>
      </c>
      <c r="AE234" s="18">
        <f>IF(Y234=1,IFERROR(IF(AC234&gt;='參數'!$B$9,INDEX('分群統計'!$L$13:$P$16,MATCH(X234,'分群統計'!$A$13:$A$16,0),MATCH(V234,'分群統計'!$L$12:$P$12,0)),INDEX('分群統計'!$J$5:$J$8,MATCH(X234,'分群統計'!$A$5:$A$8,0))),""),"")</f>
        <v/>
      </c>
      <c r="AF234" s="31">
        <f>IF(ISNUMBER(AE234),IF(AE234&gt;0,MAX(-3,MIN(3,(N234-AD234)/AE234)),0),"")</f>
        <v/>
      </c>
      <c r="AG234" s="30">
        <f>IF(Y234=1,COUNTIFS($B$5:$B$404,B234,$Y$5:$Y$404,1),"")</f>
        <v/>
      </c>
      <c r="AH234" s="30">
        <f>IF(Y234=1,IFERROR(IF(ISNUMBER(INDEX('分群統計'!$G$20:$G$59,MATCH(B234,'分群統計'!$A$20:$A$59,0))),INDEX('分群統計'!$H$20:$H$59,MATCH(B234,'分群統計'!$A$20:$A$59,0))+INDEX('分群統計'!$G$20:$G$59,MATCH(B234,'分群統計'!$A$20:$A$59,0))*AU234,""),""),"")</f>
        <v/>
      </c>
      <c r="AI234" s="34">
        <f>IF(ISNUMBER(AH234),N234-AH234,"")</f>
        <v/>
      </c>
      <c r="AJ234" s="30">
        <f>IF(Y234=1,IFERROR(IF(ISNUMBER(INDEX('分群統計'!$G$5:$G$8,MATCH(X234,'分群統計'!$A$5:$A$8,0))),INDEX('分群統計'!$H$5:$H$8,MATCH(X234,'分群統計'!$A$5:$A$8,0))+INDEX('分群統計'!$G$5:$G$8,MATCH(X234,'分群統計'!$A$5:$A$8,0))*AU234,""),""),"")</f>
        <v/>
      </c>
      <c r="AK234" s="34">
        <f>IF(ISNUMBER(AJ234),N234-AJ234,"")</f>
        <v/>
      </c>
      <c r="AL234" s="21">
        <f>IF(ISNUMBER(AJ234),IF(AJ234&gt;0,AK234/AJ234,""),"")</f>
        <v/>
      </c>
      <c r="AM234" s="31">
        <f>IF(AY234&lt;&gt;1,"",IFERROR(IF(INDEX('分群統計'!$K$5:$K$8,MATCH(X234,'分群統計'!$A$5:$A$8,0))&lt;3,"",IF(INDEX('分群統計'!$M$5:$M$8,MATCH(X234,'分群統計'!$A$5:$A$8,0))&gt;0,MAX(-3,MIN(3,(AX234-INDEX('分群統計'!$L$5:$L$8,MATCH(X234,'分群統計'!$A$5:$A$8,0)))/INDEX('分群統計'!$M$5:$M$8,MATCH(X234,'分群統計'!$A$5:$A$8,0)))),0)),""))</f>
        <v/>
      </c>
      <c r="AN234" s="31">
        <f>IF(ISNUMBER(AB234),IF(Z234&gt;0,AB234/Z234*100,""),"")</f>
        <v/>
      </c>
      <c r="AO234" s="31">
        <f>IF(BA234&lt;&gt;1,"",IFERROR(IF(INDEX('分群統計'!$N$5:$N$8,MATCH(X234,'分群統計'!$A$5:$A$8,0))&lt;3,"",IF(INDEX('分群統計'!$P$5:$P$8,MATCH(X234,'分群統計'!$A$5:$A$8,0))&gt;0,MAX(-3,MIN(3,(AZ234-INDEX('分群統計'!$O$5:$O$8,MATCH(X234,'分群統計'!$A$5:$A$8,0)))/INDEX('分群統計'!$P$5:$P$8,MATCH(X234,'分群統計'!$A$5:$A$8,0)))),0)),""))</f>
        <v/>
      </c>
      <c r="AP234" s="31">
        <f>IF(BC234&lt;&gt;1,"",IFERROR(IF(INDEX('分群統計'!$Q$5:$Q$8,MATCH(X234,'分群統計'!$A$5:$A$8,0))&lt;3,"",IF(INDEX('分群統計'!$S$5:$S$8,MATCH(X234,'分群統計'!$A$5:$A$8,0))&gt;0,MAX(-3,MIN(3,(BB234-INDEX('分群統計'!$R$5:$R$8,MATCH(X234,'分群統計'!$A$5:$A$8,0)))/INDEX('分群統計'!$S$5:$S$8,MATCH(X234,'分群統計'!$A$5:$A$8,0)))),0)),""))</f>
        <v/>
      </c>
      <c r="AQ234" s="31">
        <f>IF(Y234=1,(IF(ISNUMBER(AF234),AF234,0)*'參數'!$B$13+IF(ISNUMBER(AM234),AM234,0)*'參數'!$B$14+IF(ISNUMBER(AO234),AO234,0)*'參數'!$B$15+IF(ISNUMBER(AP234),AP234,0)*'參數'!$B$16)/('參數'!$B$13+'參數'!$B$14+'參數'!$B$15+'參數'!$B$16),"")</f>
        <v/>
      </c>
      <c r="AR234" s="35">
        <f>IF(Y234=1,(SUMPRODUCT(($X$5:$X$404=X234)*($Y$5:$Y$404=1)*($BD$5:$BD$404&gt;BD234))+1)/COUNTIFS($X$5:$X$404,X234,$Y$5:$Y$404,1),"")</f>
        <v/>
      </c>
      <c r="AS234" s="8">
        <f>IF(ISNUMBER(AR234),IF(AR234&lt;='參數'!$B$18,"加碼候選",IF(AR234&gt;'參數'!$B$19,"減碼候選","")),"")</f>
        <v/>
      </c>
      <c r="AT234" s="7">
        <f>IF(Y234=1,N234,0)</f>
        <v/>
      </c>
      <c r="AU234" s="7">
        <f>IF(Y234=1,LN(O234),0)</f>
        <v/>
      </c>
      <c r="AV234" s="36">
        <f>IF(Y234=1,IF(ISNUMBER(F234),F234,0),0)</f>
        <v/>
      </c>
      <c r="AW234" s="7">
        <f>IF(Y234=1,Z234,0)</f>
        <v/>
      </c>
      <c r="AX234" s="7">
        <f>IF(Y234=1,IF(ISNUMBER(AL234),AL234,0),0)</f>
        <v/>
      </c>
      <c r="AY234" s="7">
        <f>IF(Y234=1,IF(ISNUMBER(AL234),1,0),0)</f>
        <v/>
      </c>
      <c r="AZ234" s="7">
        <f>IF(Y234=1,IF(ISNUMBER(AN234),AN234,0),0)</f>
        <v/>
      </c>
      <c r="BA234" s="7">
        <f>IF(Y234=1,IF(ISNUMBER(AN234),1,0),0)</f>
        <v/>
      </c>
      <c r="BB234" s="7">
        <f>IF(Y234=1,IF(ISNUMBER(T234),T234,0),0)</f>
        <v/>
      </c>
      <c r="BC234" s="7">
        <f>IF(Y234=1,IF(ISNUMBER(T234),1,0),0)</f>
        <v/>
      </c>
      <c r="BD234" s="7">
        <f>IF(Y234=1,AQ234+ROW()/1E9,-1E9)</f>
        <v/>
      </c>
      <c r="BE234" s="7">
        <f>IF(Y234=1,AQ234+ROW()/1E9,1E9)</f>
        <v/>
      </c>
    </row>
    <row r="235">
      <c r="A235" s="16" t="n"/>
      <c r="B235" s="8">
        <f>IF($A235="","",BDP($A235,B$3))</f>
        <v/>
      </c>
      <c r="C235" s="8">
        <f>IF($A235="","",BDP($A235,C$3))</f>
        <v/>
      </c>
      <c r="D235" s="28">
        <f>IF($A235="","",BDP($A235,D$3))</f>
        <v/>
      </c>
      <c r="E235" s="29">
        <f>IF($A235="","",BDP($A235,E$3))</f>
        <v/>
      </c>
      <c r="F235" s="17">
        <f>IF($A235="","",BDP($A235,F$3))</f>
        <v/>
      </c>
      <c r="G235" s="8">
        <f>IF($A235="","",BDP($A235,G$3))</f>
        <v/>
      </c>
      <c r="H235" s="8">
        <f>IF($A235="","",BDP($A235,H$3))</f>
        <v/>
      </c>
      <c r="I235" s="8">
        <f>IF($A235="","",BDP($A235,I$3))</f>
        <v/>
      </c>
      <c r="J235" s="8">
        <f>IF($A235="","",BDP($A235,J$3))</f>
        <v/>
      </c>
      <c r="K235" s="8">
        <f>IF($A235="","",BDP($A235,K$3))</f>
        <v/>
      </c>
      <c r="L235" s="28">
        <f>IF($A235="","",BDP($A235,L$3))</f>
        <v/>
      </c>
      <c r="M235" s="28">
        <f>IF($A235="","",BDP($A235,M$3))</f>
        <v/>
      </c>
      <c r="N235" s="30">
        <f>IF($A235="","",BDP($A235,N$3))</f>
        <v/>
      </c>
      <c r="O235" s="31">
        <f>IF($A235="","",BDP($A235,O$3))</f>
        <v/>
      </c>
      <c r="P235" s="30">
        <f>IF($A235="","",BDH($A235,$N$3,'參數'!$B$5,'參數'!$B$5,"Days=A","Fill=P","Dates=H"))</f>
        <v/>
      </c>
      <c r="Q235" s="30">
        <f>IF($A235="","",BDH($A235,$N$3,'參數'!$B$6,'參數'!$B$6,"Days=A","Fill=P","Dates=H"))</f>
        <v/>
      </c>
      <c r="R235" s="30">
        <f>IF($A235="","",BDH($A235,$N$3,'參數'!$B$7,'參數'!$B$7,"Days=A","Fill=P","Dates=H"))</f>
        <v/>
      </c>
      <c r="S235" s="32">
        <f>IF($A235="","",IFERROR(INDEX('發行人'!$A$5:$A$44,MATCH(B235,'發行人'!$D$5:$D$44,0)),"未對應"))</f>
        <v/>
      </c>
      <c r="T235" s="24">
        <f>IF($A235="","",IFERROR(INDEX('發行人'!$G$5:$G$44,MATCH(B235,'發行人'!$D$5:$D$44,0))+0,""))</f>
        <v/>
      </c>
      <c r="U235" s="18">
        <f>IF(ISNUMBER(E235),YEARFRAC('參數'!$B$4,E235),"")</f>
        <v/>
      </c>
      <c r="V235" s="8">
        <f>IF(U235="","",IF(U235&lt;3,"1-3y",IF(U235&lt;5,"3-5y",IF(U235&lt;7,"5-7y",IF(U235&lt;10,"7-10y","10y+")))))</f>
        <v/>
      </c>
      <c r="W235" s="30">
        <f>IF($A235="","",IFERROR(INDEX('參數'!$B$24:$B$45,MATCH(G235,'參數'!$A$24:$A$45,0)),""))</f>
        <v/>
      </c>
      <c r="X235" s="8">
        <f>IF($A235="","",IFERROR(INDEX('參數'!$C$24:$C$45,MATCH(G235,'參數'!$A$24:$A$45,0)),""))</f>
        <v/>
      </c>
      <c r="Y235" s="30">
        <f>IF(AND(ISNUMBER(N235),ISNUMBER(O235),ISNUMBER(U235)),IF(AND(O235&gt;0,X235&lt;&gt;""),1,0),0)</f>
        <v/>
      </c>
      <c r="Z235" s="17">
        <f>IF(Y235=1,O235*N235,"")</f>
        <v/>
      </c>
      <c r="AA235" s="33">
        <f>IF(Y235=1,IF(ISNUMBER(Q235),N235-Q235,""),"")</f>
        <v/>
      </c>
      <c r="AB235" s="33">
        <f>IF(Y235=1,IF(AND(ISNUMBER(P235),ISNUMBER(R235)),R235*5/12-O235*(P235-R235),""),"")</f>
        <v/>
      </c>
      <c r="AC235" s="30">
        <f>IF(Y235=1,COUNTIFS($X$5:$X$404,X235,$V$5:$V$404,V235,$Y$5:$Y$404,1),"")</f>
        <v/>
      </c>
      <c r="AD235" s="30">
        <f>IF(Y235=1,IFERROR(IF(AC235&gt;='參數'!$B$9,INDEX('分群統計'!$G$13:$K$16,MATCH(X235,'分群統計'!$A$13:$A$16,0),MATCH(V235,'分群統計'!$G$12:$K$12,0)),INDEX('分群統計'!$I$5:$I$8,MATCH(X235,'分群統計'!$A$5:$A$8,0))),""),"")</f>
        <v/>
      </c>
      <c r="AE235" s="18">
        <f>IF(Y235=1,IFERROR(IF(AC235&gt;='參數'!$B$9,INDEX('分群統計'!$L$13:$P$16,MATCH(X235,'分群統計'!$A$13:$A$16,0),MATCH(V235,'分群統計'!$L$12:$P$12,0)),INDEX('分群統計'!$J$5:$J$8,MATCH(X235,'分群統計'!$A$5:$A$8,0))),""),"")</f>
        <v/>
      </c>
      <c r="AF235" s="31">
        <f>IF(ISNUMBER(AE235),IF(AE235&gt;0,MAX(-3,MIN(3,(N235-AD235)/AE235)),0),"")</f>
        <v/>
      </c>
      <c r="AG235" s="30">
        <f>IF(Y235=1,COUNTIFS($B$5:$B$404,B235,$Y$5:$Y$404,1),"")</f>
        <v/>
      </c>
      <c r="AH235" s="30">
        <f>IF(Y235=1,IFERROR(IF(ISNUMBER(INDEX('分群統計'!$G$20:$G$59,MATCH(B235,'分群統計'!$A$20:$A$59,0))),INDEX('分群統計'!$H$20:$H$59,MATCH(B235,'分群統計'!$A$20:$A$59,0))+INDEX('分群統計'!$G$20:$G$59,MATCH(B235,'分群統計'!$A$20:$A$59,0))*AU235,""),""),"")</f>
        <v/>
      </c>
      <c r="AI235" s="34">
        <f>IF(ISNUMBER(AH235),N235-AH235,"")</f>
        <v/>
      </c>
      <c r="AJ235" s="30">
        <f>IF(Y235=1,IFERROR(IF(ISNUMBER(INDEX('分群統計'!$G$5:$G$8,MATCH(X235,'分群統計'!$A$5:$A$8,0))),INDEX('分群統計'!$H$5:$H$8,MATCH(X235,'分群統計'!$A$5:$A$8,0))+INDEX('分群統計'!$G$5:$G$8,MATCH(X235,'分群統計'!$A$5:$A$8,0))*AU235,""),""),"")</f>
        <v/>
      </c>
      <c r="AK235" s="34">
        <f>IF(ISNUMBER(AJ235),N235-AJ235,"")</f>
        <v/>
      </c>
      <c r="AL235" s="21">
        <f>IF(ISNUMBER(AJ235),IF(AJ235&gt;0,AK235/AJ235,""),"")</f>
        <v/>
      </c>
      <c r="AM235" s="31">
        <f>IF(AY235&lt;&gt;1,"",IFERROR(IF(INDEX('分群統計'!$K$5:$K$8,MATCH(X235,'分群統計'!$A$5:$A$8,0))&lt;3,"",IF(INDEX('分群統計'!$M$5:$M$8,MATCH(X235,'分群統計'!$A$5:$A$8,0))&gt;0,MAX(-3,MIN(3,(AX235-INDEX('分群統計'!$L$5:$L$8,MATCH(X235,'分群統計'!$A$5:$A$8,0)))/INDEX('分群統計'!$M$5:$M$8,MATCH(X235,'分群統計'!$A$5:$A$8,0)))),0)),""))</f>
        <v/>
      </c>
      <c r="AN235" s="31">
        <f>IF(ISNUMBER(AB235),IF(Z235&gt;0,AB235/Z235*100,""),"")</f>
        <v/>
      </c>
      <c r="AO235" s="31">
        <f>IF(BA235&lt;&gt;1,"",IFERROR(IF(INDEX('分群統計'!$N$5:$N$8,MATCH(X235,'分群統計'!$A$5:$A$8,0))&lt;3,"",IF(INDEX('分群統計'!$P$5:$P$8,MATCH(X235,'分群統計'!$A$5:$A$8,0))&gt;0,MAX(-3,MIN(3,(AZ235-INDEX('分群統計'!$O$5:$O$8,MATCH(X235,'分群統計'!$A$5:$A$8,0)))/INDEX('分群統計'!$P$5:$P$8,MATCH(X235,'分群統計'!$A$5:$A$8,0)))),0)),""))</f>
        <v/>
      </c>
      <c r="AP235" s="31">
        <f>IF(BC235&lt;&gt;1,"",IFERROR(IF(INDEX('分群統計'!$Q$5:$Q$8,MATCH(X235,'分群統計'!$A$5:$A$8,0))&lt;3,"",IF(INDEX('分群統計'!$S$5:$S$8,MATCH(X235,'分群統計'!$A$5:$A$8,0))&gt;0,MAX(-3,MIN(3,(BB235-INDEX('分群統計'!$R$5:$R$8,MATCH(X235,'分群統計'!$A$5:$A$8,0)))/INDEX('分群統計'!$S$5:$S$8,MATCH(X235,'分群統計'!$A$5:$A$8,0)))),0)),""))</f>
        <v/>
      </c>
      <c r="AQ235" s="31">
        <f>IF(Y235=1,(IF(ISNUMBER(AF235),AF235,0)*'參數'!$B$13+IF(ISNUMBER(AM235),AM235,0)*'參數'!$B$14+IF(ISNUMBER(AO235),AO235,0)*'參數'!$B$15+IF(ISNUMBER(AP235),AP235,0)*'參數'!$B$16)/('參數'!$B$13+'參數'!$B$14+'參數'!$B$15+'參數'!$B$16),"")</f>
        <v/>
      </c>
      <c r="AR235" s="35">
        <f>IF(Y235=1,(SUMPRODUCT(($X$5:$X$404=X235)*($Y$5:$Y$404=1)*($BD$5:$BD$404&gt;BD235))+1)/COUNTIFS($X$5:$X$404,X235,$Y$5:$Y$404,1),"")</f>
        <v/>
      </c>
      <c r="AS235" s="8">
        <f>IF(ISNUMBER(AR235),IF(AR235&lt;='參數'!$B$18,"加碼候選",IF(AR235&gt;'參數'!$B$19,"減碼候選","")),"")</f>
        <v/>
      </c>
      <c r="AT235" s="7">
        <f>IF(Y235=1,N235,0)</f>
        <v/>
      </c>
      <c r="AU235" s="7">
        <f>IF(Y235=1,LN(O235),0)</f>
        <v/>
      </c>
      <c r="AV235" s="36">
        <f>IF(Y235=1,IF(ISNUMBER(F235),F235,0),0)</f>
        <v/>
      </c>
      <c r="AW235" s="7">
        <f>IF(Y235=1,Z235,0)</f>
        <v/>
      </c>
      <c r="AX235" s="7">
        <f>IF(Y235=1,IF(ISNUMBER(AL235),AL235,0),0)</f>
        <v/>
      </c>
      <c r="AY235" s="7">
        <f>IF(Y235=1,IF(ISNUMBER(AL235),1,0),0)</f>
        <v/>
      </c>
      <c r="AZ235" s="7">
        <f>IF(Y235=1,IF(ISNUMBER(AN235),AN235,0),0)</f>
        <v/>
      </c>
      <c r="BA235" s="7">
        <f>IF(Y235=1,IF(ISNUMBER(AN235),1,0),0)</f>
        <v/>
      </c>
      <c r="BB235" s="7">
        <f>IF(Y235=1,IF(ISNUMBER(T235),T235,0),0)</f>
        <v/>
      </c>
      <c r="BC235" s="7">
        <f>IF(Y235=1,IF(ISNUMBER(T235),1,0),0)</f>
        <v/>
      </c>
      <c r="BD235" s="7">
        <f>IF(Y235=1,AQ235+ROW()/1E9,-1E9)</f>
        <v/>
      </c>
      <c r="BE235" s="7">
        <f>IF(Y235=1,AQ235+ROW()/1E9,1E9)</f>
        <v/>
      </c>
    </row>
    <row r="236">
      <c r="A236" s="16" t="n"/>
      <c r="B236" s="8">
        <f>IF($A236="","",BDP($A236,B$3))</f>
        <v/>
      </c>
      <c r="C236" s="8">
        <f>IF($A236="","",BDP($A236,C$3))</f>
        <v/>
      </c>
      <c r="D236" s="28">
        <f>IF($A236="","",BDP($A236,D$3))</f>
        <v/>
      </c>
      <c r="E236" s="29">
        <f>IF($A236="","",BDP($A236,E$3))</f>
        <v/>
      </c>
      <c r="F236" s="17">
        <f>IF($A236="","",BDP($A236,F$3))</f>
        <v/>
      </c>
      <c r="G236" s="8">
        <f>IF($A236="","",BDP($A236,G$3))</f>
        <v/>
      </c>
      <c r="H236" s="8">
        <f>IF($A236="","",BDP($A236,H$3))</f>
        <v/>
      </c>
      <c r="I236" s="8">
        <f>IF($A236="","",BDP($A236,I$3))</f>
        <v/>
      </c>
      <c r="J236" s="8">
        <f>IF($A236="","",BDP($A236,J$3))</f>
        <v/>
      </c>
      <c r="K236" s="8">
        <f>IF($A236="","",BDP($A236,K$3))</f>
        <v/>
      </c>
      <c r="L236" s="28">
        <f>IF($A236="","",BDP($A236,L$3))</f>
        <v/>
      </c>
      <c r="M236" s="28">
        <f>IF($A236="","",BDP($A236,M$3))</f>
        <v/>
      </c>
      <c r="N236" s="30">
        <f>IF($A236="","",BDP($A236,N$3))</f>
        <v/>
      </c>
      <c r="O236" s="31">
        <f>IF($A236="","",BDP($A236,O$3))</f>
        <v/>
      </c>
      <c r="P236" s="30">
        <f>IF($A236="","",BDH($A236,$N$3,'參數'!$B$5,'參數'!$B$5,"Days=A","Fill=P","Dates=H"))</f>
        <v/>
      </c>
      <c r="Q236" s="30">
        <f>IF($A236="","",BDH($A236,$N$3,'參數'!$B$6,'參數'!$B$6,"Days=A","Fill=P","Dates=H"))</f>
        <v/>
      </c>
      <c r="R236" s="30">
        <f>IF($A236="","",BDH($A236,$N$3,'參數'!$B$7,'參數'!$B$7,"Days=A","Fill=P","Dates=H"))</f>
        <v/>
      </c>
      <c r="S236" s="32">
        <f>IF($A236="","",IFERROR(INDEX('發行人'!$A$5:$A$44,MATCH(B236,'發行人'!$D$5:$D$44,0)),"未對應"))</f>
        <v/>
      </c>
      <c r="T236" s="24">
        <f>IF($A236="","",IFERROR(INDEX('發行人'!$G$5:$G$44,MATCH(B236,'發行人'!$D$5:$D$44,0))+0,""))</f>
        <v/>
      </c>
      <c r="U236" s="18">
        <f>IF(ISNUMBER(E236),YEARFRAC('參數'!$B$4,E236),"")</f>
        <v/>
      </c>
      <c r="V236" s="8">
        <f>IF(U236="","",IF(U236&lt;3,"1-3y",IF(U236&lt;5,"3-5y",IF(U236&lt;7,"5-7y",IF(U236&lt;10,"7-10y","10y+")))))</f>
        <v/>
      </c>
      <c r="W236" s="30">
        <f>IF($A236="","",IFERROR(INDEX('參數'!$B$24:$B$45,MATCH(G236,'參數'!$A$24:$A$45,0)),""))</f>
        <v/>
      </c>
      <c r="X236" s="8">
        <f>IF($A236="","",IFERROR(INDEX('參數'!$C$24:$C$45,MATCH(G236,'參數'!$A$24:$A$45,0)),""))</f>
        <v/>
      </c>
      <c r="Y236" s="30">
        <f>IF(AND(ISNUMBER(N236),ISNUMBER(O236),ISNUMBER(U236)),IF(AND(O236&gt;0,X236&lt;&gt;""),1,0),0)</f>
        <v/>
      </c>
      <c r="Z236" s="17">
        <f>IF(Y236=1,O236*N236,"")</f>
        <v/>
      </c>
      <c r="AA236" s="33">
        <f>IF(Y236=1,IF(ISNUMBER(Q236),N236-Q236,""),"")</f>
        <v/>
      </c>
      <c r="AB236" s="33">
        <f>IF(Y236=1,IF(AND(ISNUMBER(P236),ISNUMBER(R236)),R236*5/12-O236*(P236-R236),""),"")</f>
        <v/>
      </c>
      <c r="AC236" s="30">
        <f>IF(Y236=1,COUNTIFS($X$5:$X$404,X236,$V$5:$V$404,V236,$Y$5:$Y$404,1),"")</f>
        <v/>
      </c>
      <c r="AD236" s="30">
        <f>IF(Y236=1,IFERROR(IF(AC236&gt;='參數'!$B$9,INDEX('分群統計'!$G$13:$K$16,MATCH(X236,'分群統計'!$A$13:$A$16,0),MATCH(V236,'分群統計'!$G$12:$K$12,0)),INDEX('分群統計'!$I$5:$I$8,MATCH(X236,'分群統計'!$A$5:$A$8,0))),""),"")</f>
        <v/>
      </c>
      <c r="AE236" s="18">
        <f>IF(Y236=1,IFERROR(IF(AC236&gt;='參數'!$B$9,INDEX('分群統計'!$L$13:$P$16,MATCH(X236,'分群統計'!$A$13:$A$16,0),MATCH(V236,'分群統計'!$L$12:$P$12,0)),INDEX('分群統計'!$J$5:$J$8,MATCH(X236,'分群統計'!$A$5:$A$8,0))),""),"")</f>
        <v/>
      </c>
      <c r="AF236" s="31">
        <f>IF(ISNUMBER(AE236),IF(AE236&gt;0,MAX(-3,MIN(3,(N236-AD236)/AE236)),0),"")</f>
        <v/>
      </c>
      <c r="AG236" s="30">
        <f>IF(Y236=1,COUNTIFS($B$5:$B$404,B236,$Y$5:$Y$404,1),"")</f>
        <v/>
      </c>
      <c r="AH236" s="30">
        <f>IF(Y236=1,IFERROR(IF(ISNUMBER(INDEX('分群統計'!$G$20:$G$59,MATCH(B236,'分群統計'!$A$20:$A$59,0))),INDEX('分群統計'!$H$20:$H$59,MATCH(B236,'分群統計'!$A$20:$A$59,0))+INDEX('分群統計'!$G$20:$G$59,MATCH(B236,'分群統計'!$A$20:$A$59,0))*AU236,""),""),"")</f>
        <v/>
      </c>
      <c r="AI236" s="34">
        <f>IF(ISNUMBER(AH236),N236-AH236,"")</f>
        <v/>
      </c>
      <c r="AJ236" s="30">
        <f>IF(Y236=1,IFERROR(IF(ISNUMBER(INDEX('分群統計'!$G$5:$G$8,MATCH(X236,'分群統計'!$A$5:$A$8,0))),INDEX('分群統計'!$H$5:$H$8,MATCH(X236,'分群統計'!$A$5:$A$8,0))+INDEX('分群統計'!$G$5:$G$8,MATCH(X236,'分群統計'!$A$5:$A$8,0))*AU236,""),""),"")</f>
        <v/>
      </c>
      <c r="AK236" s="34">
        <f>IF(ISNUMBER(AJ236),N236-AJ236,"")</f>
        <v/>
      </c>
      <c r="AL236" s="21">
        <f>IF(ISNUMBER(AJ236),IF(AJ236&gt;0,AK236/AJ236,""),"")</f>
        <v/>
      </c>
      <c r="AM236" s="31">
        <f>IF(AY236&lt;&gt;1,"",IFERROR(IF(INDEX('分群統計'!$K$5:$K$8,MATCH(X236,'分群統計'!$A$5:$A$8,0))&lt;3,"",IF(INDEX('分群統計'!$M$5:$M$8,MATCH(X236,'分群統計'!$A$5:$A$8,0))&gt;0,MAX(-3,MIN(3,(AX236-INDEX('分群統計'!$L$5:$L$8,MATCH(X236,'分群統計'!$A$5:$A$8,0)))/INDEX('分群統計'!$M$5:$M$8,MATCH(X236,'分群統計'!$A$5:$A$8,0)))),0)),""))</f>
        <v/>
      </c>
      <c r="AN236" s="31">
        <f>IF(ISNUMBER(AB236),IF(Z236&gt;0,AB236/Z236*100,""),"")</f>
        <v/>
      </c>
      <c r="AO236" s="31">
        <f>IF(BA236&lt;&gt;1,"",IFERROR(IF(INDEX('分群統計'!$N$5:$N$8,MATCH(X236,'分群統計'!$A$5:$A$8,0))&lt;3,"",IF(INDEX('分群統計'!$P$5:$P$8,MATCH(X236,'分群統計'!$A$5:$A$8,0))&gt;0,MAX(-3,MIN(3,(AZ236-INDEX('分群統計'!$O$5:$O$8,MATCH(X236,'分群統計'!$A$5:$A$8,0)))/INDEX('分群統計'!$P$5:$P$8,MATCH(X236,'分群統計'!$A$5:$A$8,0)))),0)),""))</f>
        <v/>
      </c>
      <c r="AP236" s="31">
        <f>IF(BC236&lt;&gt;1,"",IFERROR(IF(INDEX('分群統計'!$Q$5:$Q$8,MATCH(X236,'分群統計'!$A$5:$A$8,0))&lt;3,"",IF(INDEX('分群統計'!$S$5:$S$8,MATCH(X236,'分群統計'!$A$5:$A$8,0))&gt;0,MAX(-3,MIN(3,(BB236-INDEX('分群統計'!$R$5:$R$8,MATCH(X236,'分群統計'!$A$5:$A$8,0)))/INDEX('分群統計'!$S$5:$S$8,MATCH(X236,'分群統計'!$A$5:$A$8,0)))),0)),""))</f>
        <v/>
      </c>
      <c r="AQ236" s="31">
        <f>IF(Y236=1,(IF(ISNUMBER(AF236),AF236,0)*'參數'!$B$13+IF(ISNUMBER(AM236),AM236,0)*'參數'!$B$14+IF(ISNUMBER(AO236),AO236,0)*'參數'!$B$15+IF(ISNUMBER(AP236),AP236,0)*'參數'!$B$16)/('參數'!$B$13+'參數'!$B$14+'參數'!$B$15+'參數'!$B$16),"")</f>
        <v/>
      </c>
      <c r="AR236" s="35">
        <f>IF(Y236=1,(SUMPRODUCT(($X$5:$X$404=X236)*($Y$5:$Y$404=1)*($BD$5:$BD$404&gt;BD236))+1)/COUNTIFS($X$5:$X$404,X236,$Y$5:$Y$404,1),"")</f>
        <v/>
      </c>
      <c r="AS236" s="8">
        <f>IF(ISNUMBER(AR236),IF(AR236&lt;='參數'!$B$18,"加碼候選",IF(AR236&gt;'參數'!$B$19,"減碼候選","")),"")</f>
        <v/>
      </c>
      <c r="AT236" s="7">
        <f>IF(Y236=1,N236,0)</f>
        <v/>
      </c>
      <c r="AU236" s="7">
        <f>IF(Y236=1,LN(O236),0)</f>
        <v/>
      </c>
      <c r="AV236" s="36">
        <f>IF(Y236=1,IF(ISNUMBER(F236),F236,0),0)</f>
        <v/>
      </c>
      <c r="AW236" s="7">
        <f>IF(Y236=1,Z236,0)</f>
        <v/>
      </c>
      <c r="AX236" s="7">
        <f>IF(Y236=1,IF(ISNUMBER(AL236),AL236,0),0)</f>
        <v/>
      </c>
      <c r="AY236" s="7">
        <f>IF(Y236=1,IF(ISNUMBER(AL236),1,0),0)</f>
        <v/>
      </c>
      <c r="AZ236" s="7">
        <f>IF(Y236=1,IF(ISNUMBER(AN236),AN236,0),0)</f>
        <v/>
      </c>
      <c r="BA236" s="7">
        <f>IF(Y236=1,IF(ISNUMBER(AN236),1,0),0)</f>
        <v/>
      </c>
      <c r="BB236" s="7">
        <f>IF(Y236=1,IF(ISNUMBER(T236),T236,0),0)</f>
        <v/>
      </c>
      <c r="BC236" s="7">
        <f>IF(Y236=1,IF(ISNUMBER(T236),1,0),0)</f>
        <v/>
      </c>
      <c r="BD236" s="7">
        <f>IF(Y236=1,AQ236+ROW()/1E9,-1E9)</f>
        <v/>
      </c>
      <c r="BE236" s="7">
        <f>IF(Y236=1,AQ236+ROW()/1E9,1E9)</f>
        <v/>
      </c>
    </row>
    <row r="237">
      <c r="A237" s="16" t="n"/>
      <c r="B237" s="8">
        <f>IF($A237="","",BDP($A237,B$3))</f>
        <v/>
      </c>
      <c r="C237" s="8">
        <f>IF($A237="","",BDP($A237,C$3))</f>
        <v/>
      </c>
      <c r="D237" s="28">
        <f>IF($A237="","",BDP($A237,D$3))</f>
        <v/>
      </c>
      <c r="E237" s="29">
        <f>IF($A237="","",BDP($A237,E$3))</f>
        <v/>
      </c>
      <c r="F237" s="17">
        <f>IF($A237="","",BDP($A237,F$3))</f>
        <v/>
      </c>
      <c r="G237" s="8">
        <f>IF($A237="","",BDP($A237,G$3))</f>
        <v/>
      </c>
      <c r="H237" s="8">
        <f>IF($A237="","",BDP($A237,H$3))</f>
        <v/>
      </c>
      <c r="I237" s="8">
        <f>IF($A237="","",BDP($A237,I$3))</f>
        <v/>
      </c>
      <c r="J237" s="8">
        <f>IF($A237="","",BDP($A237,J$3))</f>
        <v/>
      </c>
      <c r="K237" s="8">
        <f>IF($A237="","",BDP($A237,K$3))</f>
        <v/>
      </c>
      <c r="L237" s="28">
        <f>IF($A237="","",BDP($A237,L$3))</f>
        <v/>
      </c>
      <c r="M237" s="28">
        <f>IF($A237="","",BDP($A237,M$3))</f>
        <v/>
      </c>
      <c r="N237" s="30">
        <f>IF($A237="","",BDP($A237,N$3))</f>
        <v/>
      </c>
      <c r="O237" s="31">
        <f>IF($A237="","",BDP($A237,O$3))</f>
        <v/>
      </c>
      <c r="P237" s="30">
        <f>IF($A237="","",BDH($A237,$N$3,'參數'!$B$5,'參數'!$B$5,"Days=A","Fill=P","Dates=H"))</f>
        <v/>
      </c>
      <c r="Q237" s="30">
        <f>IF($A237="","",BDH($A237,$N$3,'參數'!$B$6,'參數'!$B$6,"Days=A","Fill=P","Dates=H"))</f>
        <v/>
      </c>
      <c r="R237" s="30">
        <f>IF($A237="","",BDH($A237,$N$3,'參數'!$B$7,'參數'!$B$7,"Days=A","Fill=P","Dates=H"))</f>
        <v/>
      </c>
      <c r="S237" s="32">
        <f>IF($A237="","",IFERROR(INDEX('發行人'!$A$5:$A$44,MATCH(B237,'發行人'!$D$5:$D$44,0)),"未對應"))</f>
        <v/>
      </c>
      <c r="T237" s="24">
        <f>IF($A237="","",IFERROR(INDEX('發行人'!$G$5:$G$44,MATCH(B237,'發行人'!$D$5:$D$44,0))+0,""))</f>
        <v/>
      </c>
      <c r="U237" s="18">
        <f>IF(ISNUMBER(E237),YEARFRAC('參數'!$B$4,E237),"")</f>
        <v/>
      </c>
      <c r="V237" s="8">
        <f>IF(U237="","",IF(U237&lt;3,"1-3y",IF(U237&lt;5,"3-5y",IF(U237&lt;7,"5-7y",IF(U237&lt;10,"7-10y","10y+")))))</f>
        <v/>
      </c>
      <c r="W237" s="30">
        <f>IF($A237="","",IFERROR(INDEX('參數'!$B$24:$B$45,MATCH(G237,'參數'!$A$24:$A$45,0)),""))</f>
        <v/>
      </c>
      <c r="X237" s="8">
        <f>IF($A237="","",IFERROR(INDEX('參數'!$C$24:$C$45,MATCH(G237,'參數'!$A$24:$A$45,0)),""))</f>
        <v/>
      </c>
      <c r="Y237" s="30">
        <f>IF(AND(ISNUMBER(N237),ISNUMBER(O237),ISNUMBER(U237)),IF(AND(O237&gt;0,X237&lt;&gt;""),1,0),0)</f>
        <v/>
      </c>
      <c r="Z237" s="17">
        <f>IF(Y237=1,O237*N237,"")</f>
        <v/>
      </c>
      <c r="AA237" s="33">
        <f>IF(Y237=1,IF(ISNUMBER(Q237),N237-Q237,""),"")</f>
        <v/>
      </c>
      <c r="AB237" s="33">
        <f>IF(Y237=1,IF(AND(ISNUMBER(P237),ISNUMBER(R237)),R237*5/12-O237*(P237-R237),""),"")</f>
        <v/>
      </c>
      <c r="AC237" s="30">
        <f>IF(Y237=1,COUNTIFS($X$5:$X$404,X237,$V$5:$V$404,V237,$Y$5:$Y$404,1),"")</f>
        <v/>
      </c>
      <c r="AD237" s="30">
        <f>IF(Y237=1,IFERROR(IF(AC237&gt;='參數'!$B$9,INDEX('分群統計'!$G$13:$K$16,MATCH(X237,'分群統計'!$A$13:$A$16,0),MATCH(V237,'分群統計'!$G$12:$K$12,0)),INDEX('分群統計'!$I$5:$I$8,MATCH(X237,'分群統計'!$A$5:$A$8,0))),""),"")</f>
        <v/>
      </c>
      <c r="AE237" s="18">
        <f>IF(Y237=1,IFERROR(IF(AC237&gt;='參數'!$B$9,INDEX('分群統計'!$L$13:$P$16,MATCH(X237,'分群統計'!$A$13:$A$16,0),MATCH(V237,'分群統計'!$L$12:$P$12,0)),INDEX('分群統計'!$J$5:$J$8,MATCH(X237,'分群統計'!$A$5:$A$8,0))),""),"")</f>
        <v/>
      </c>
      <c r="AF237" s="31">
        <f>IF(ISNUMBER(AE237),IF(AE237&gt;0,MAX(-3,MIN(3,(N237-AD237)/AE237)),0),"")</f>
        <v/>
      </c>
      <c r="AG237" s="30">
        <f>IF(Y237=1,COUNTIFS($B$5:$B$404,B237,$Y$5:$Y$404,1),"")</f>
        <v/>
      </c>
      <c r="AH237" s="30">
        <f>IF(Y237=1,IFERROR(IF(ISNUMBER(INDEX('分群統計'!$G$20:$G$59,MATCH(B237,'分群統計'!$A$20:$A$59,0))),INDEX('分群統計'!$H$20:$H$59,MATCH(B237,'分群統計'!$A$20:$A$59,0))+INDEX('分群統計'!$G$20:$G$59,MATCH(B237,'分群統計'!$A$20:$A$59,0))*AU237,""),""),"")</f>
        <v/>
      </c>
      <c r="AI237" s="34">
        <f>IF(ISNUMBER(AH237),N237-AH237,"")</f>
        <v/>
      </c>
      <c r="AJ237" s="30">
        <f>IF(Y237=1,IFERROR(IF(ISNUMBER(INDEX('分群統計'!$G$5:$G$8,MATCH(X237,'分群統計'!$A$5:$A$8,0))),INDEX('分群統計'!$H$5:$H$8,MATCH(X237,'分群統計'!$A$5:$A$8,0))+INDEX('分群統計'!$G$5:$G$8,MATCH(X237,'分群統計'!$A$5:$A$8,0))*AU237,""),""),"")</f>
        <v/>
      </c>
      <c r="AK237" s="34">
        <f>IF(ISNUMBER(AJ237),N237-AJ237,"")</f>
        <v/>
      </c>
      <c r="AL237" s="21">
        <f>IF(ISNUMBER(AJ237),IF(AJ237&gt;0,AK237/AJ237,""),"")</f>
        <v/>
      </c>
      <c r="AM237" s="31">
        <f>IF(AY237&lt;&gt;1,"",IFERROR(IF(INDEX('分群統計'!$K$5:$K$8,MATCH(X237,'分群統計'!$A$5:$A$8,0))&lt;3,"",IF(INDEX('分群統計'!$M$5:$M$8,MATCH(X237,'分群統計'!$A$5:$A$8,0))&gt;0,MAX(-3,MIN(3,(AX237-INDEX('分群統計'!$L$5:$L$8,MATCH(X237,'分群統計'!$A$5:$A$8,0)))/INDEX('分群統計'!$M$5:$M$8,MATCH(X237,'分群統計'!$A$5:$A$8,0)))),0)),""))</f>
        <v/>
      </c>
      <c r="AN237" s="31">
        <f>IF(ISNUMBER(AB237),IF(Z237&gt;0,AB237/Z237*100,""),"")</f>
        <v/>
      </c>
      <c r="AO237" s="31">
        <f>IF(BA237&lt;&gt;1,"",IFERROR(IF(INDEX('分群統計'!$N$5:$N$8,MATCH(X237,'分群統計'!$A$5:$A$8,0))&lt;3,"",IF(INDEX('分群統計'!$P$5:$P$8,MATCH(X237,'分群統計'!$A$5:$A$8,0))&gt;0,MAX(-3,MIN(3,(AZ237-INDEX('分群統計'!$O$5:$O$8,MATCH(X237,'分群統計'!$A$5:$A$8,0)))/INDEX('分群統計'!$P$5:$P$8,MATCH(X237,'分群統計'!$A$5:$A$8,0)))),0)),""))</f>
        <v/>
      </c>
      <c r="AP237" s="31">
        <f>IF(BC237&lt;&gt;1,"",IFERROR(IF(INDEX('分群統計'!$Q$5:$Q$8,MATCH(X237,'分群統計'!$A$5:$A$8,0))&lt;3,"",IF(INDEX('分群統計'!$S$5:$S$8,MATCH(X237,'分群統計'!$A$5:$A$8,0))&gt;0,MAX(-3,MIN(3,(BB237-INDEX('分群統計'!$R$5:$R$8,MATCH(X237,'分群統計'!$A$5:$A$8,0)))/INDEX('分群統計'!$S$5:$S$8,MATCH(X237,'分群統計'!$A$5:$A$8,0)))),0)),""))</f>
        <v/>
      </c>
      <c r="AQ237" s="31">
        <f>IF(Y237=1,(IF(ISNUMBER(AF237),AF237,0)*'參數'!$B$13+IF(ISNUMBER(AM237),AM237,0)*'參數'!$B$14+IF(ISNUMBER(AO237),AO237,0)*'參數'!$B$15+IF(ISNUMBER(AP237),AP237,0)*'參數'!$B$16)/('參數'!$B$13+'參數'!$B$14+'參數'!$B$15+'參數'!$B$16),"")</f>
        <v/>
      </c>
      <c r="AR237" s="35">
        <f>IF(Y237=1,(SUMPRODUCT(($X$5:$X$404=X237)*($Y$5:$Y$404=1)*($BD$5:$BD$404&gt;BD237))+1)/COUNTIFS($X$5:$X$404,X237,$Y$5:$Y$404,1),"")</f>
        <v/>
      </c>
      <c r="AS237" s="8">
        <f>IF(ISNUMBER(AR237),IF(AR237&lt;='參數'!$B$18,"加碼候選",IF(AR237&gt;'參數'!$B$19,"減碼候選","")),"")</f>
        <v/>
      </c>
      <c r="AT237" s="7">
        <f>IF(Y237=1,N237,0)</f>
        <v/>
      </c>
      <c r="AU237" s="7">
        <f>IF(Y237=1,LN(O237),0)</f>
        <v/>
      </c>
      <c r="AV237" s="36">
        <f>IF(Y237=1,IF(ISNUMBER(F237),F237,0),0)</f>
        <v/>
      </c>
      <c r="AW237" s="7">
        <f>IF(Y237=1,Z237,0)</f>
        <v/>
      </c>
      <c r="AX237" s="7">
        <f>IF(Y237=1,IF(ISNUMBER(AL237),AL237,0),0)</f>
        <v/>
      </c>
      <c r="AY237" s="7">
        <f>IF(Y237=1,IF(ISNUMBER(AL237),1,0),0)</f>
        <v/>
      </c>
      <c r="AZ237" s="7">
        <f>IF(Y237=1,IF(ISNUMBER(AN237),AN237,0),0)</f>
        <v/>
      </c>
      <c r="BA237" s="7">
        <f>IF(Y237=1,IF(ISNUMBER(AN237),1,0),0)</f>
        <v/>
      </c>
      <c r="BB237" s="7">
        <f>IF(Y237=1,IF(ISNUMBER(T237),T237,0),0)</f>
        <v/>
      </c>
      <c r="BC237" s="7">
        <f>IF(Y237=1,IF(ISNUMBER(T237),1,0),0)</f>
        <v/>
      </c>
      <c r="BD237" s="7">
        <f>IF(Y237=1,AQ237+ROW()/1E9,-1E9)</f>
        <v/>
      </c>
      <c r="BE237" s="7">
        <f>IF(Y237=1,AQ237+ROW()/1E9,1E9)</f>
        <v/>
      </c>
    </row>
    <row r="238">
      <c r="A238" s="16" t="n"/>
      <c r="B238" s="8">
        <f>IF($A238="","",BDP($A238,B$3))</f>
        <v/>
      </c>
      <c r="C238" s="8">
        <f>IF($A238="","",BDP($A238,C$3))</f>
        <v/>
      </c>
      <c r="D238" s="28">
        <f>IF($A238="","",BDP($A238,D$3))</f>
        <v/>
      </c>
      <c r="E238" s="29">
        <f>IF($A238="","",BDP($A238,E$3))</f>
        <v/>
      </c>
      <c r="F238" s="17">
        <f>IF($A238="","",BDP($A238,F$3))</f>
        <v/>
      </c>
      <c r="G238" s="8">
        <f>IF($A238="","",BDP($A238,G$3))</f>
        <v/>
      </c>
      <c r="H238" s="8">
        <f>IF($A238="","",BDP($A238,H$3))</f>
        <v/>
      </c>
      <c r="I238" s="8">
        <f>IF($A238="","",BDP($A238,I$3))</f>
        <v/>
      </c>
      <c r="J238" s="8">
        <f>IF($A238="","",BDP($A238,J$3))</f>
        <v/>
      </c>
      <c r="K238" s="8">
        <f>IF($A238="","",BDP($A238,K$3))</f>
        <v/>
      </c>
      <c r="L238" s="28">
        <f>IF($A238="","",BDP($A238,L$3))</f>
        <v/>
      </c>
      <c r="M238" s="28">
        <f>IF($A238="","",BDP($A238,M$3))</f>
        <v/>
      </c>
      <c r="N238" s="30">
        <f>IF($A238="","",BDP($A238,N$3))</f>
        <v/>
      </c>
      <c r="O238" s="31">
        <f>IF($A238="","",BDP($A238,O$3))</f>
        <v/>
      </c>
      <c r="P238" s="30">
        <f>IF($A238="","",BDH($A238,$N$3,'參數'!$B$5,'參數'!$B$5,"Days=A","Fill=P","Dates=H"))</f>
        <v/>
      </c>
      <c r="Q238" s="30">
        <f>IF($A238="","",BDH($A238,$N$3,'參數'!$B$6,'參數'!$B$6,"Days=A","Fill=P","Dates=H"))</f>
        <v/>
      </c>
      <c r="R238" s="30">
        <f>IF($A238="","",BDH($A238,$N$3,'參數'!$B$7,'參數'!$B$7,"Days=A","Fill=P","Dates=H"))</f>
        <v/>
      </c>
      <c r="S238" s="32">
        <f>IF($A238="","",IFERROR(INDEX('發行人'!$A$5:$A$44,MATCH(B238,'發行人'!$D$5:$D$44,0)),"未對應"))</f>
        <v/>
      </c>
      <c r="T238" s="24">
        <f>IF($A238="","",IFERROR(INDEX('發行人'!$G$5:$G$44,MATCH(B238,'發行人'!$D$5:$D$44,0))+0,""))</f>
        <v/>
      </c>
      <c r="U238" s="18">
        <f>IF(ISNUMBER(E238),YEARFRAC('參數'!$B$4,E238),"")</f>
        <v/>
      </c>
      <c r="V238" s="8">
        <f>IF(U238="","",IF(U238&lt;3,"1-3y",IF(U238&lt;5,"3-5y",IF(U238&lt;7,"5-7y",IF(U238&lt;10,"7-10y","10y+")))))</f>
        <v/>
      </c>
      <c r="W238" s="30">
        <f>IF($A238="","",IFERROR(INDEX('參數'!$B$24:$B$45,MATCH(G238,'參數'!$A$24:$A$45,0)),""))</f>
        <v/>
      </c>
      <c r="X238" s="8">
        <f>IF($A238="","",IFERROR(INDEX('參數'!$C$24:$C$45,MATCH(G238,'參數'!$A$24:$A$45,0)),""))</f>
        <v/>
      </c>
      <c r="Y238" s="30">
        <f>IF(AND(ISNUMBER(N238),ISNUMBER(O238),ISNUMBER(U238)),IF(AND(O238&gt;0,X238&lt;&gt;""),1,0),0)</f>
        <v/>
      </c>
      <c r="Z238" s="17">
        <f>IF(Y238=1,O238*N238,"")</f>
        <v/>
      </c>
      <c r="AA238" s="33">
        <f>IF(Y238=1,IF(ISNUMBER(Q238),N238-Q238,""),"")</f>
        <v/>
      </c>
      <c r="AB238" s="33">
        <f>IF(Y238=1,IF(AND(ISNUMBER(P238),ISNUMBER(R238)),R238*5/12-O238*(P238-R238),""),"")</f>
        <v/>
      </c>
      <c r="AC238" s="30">
        <f>IF(Y238=1,COUNTIFS($X$5:$X$404,X238,$V$5:$V$404,V238,$Y$5:$Y$404,1),"")</f>
        <v/>
      </c>
      <c r="AD238" s="30">
        <f>IF(Y238=1,IFERROR(IF(AC238&gt;='參數'!$B$9,INDEX('分群統計'!$G$13:$K$16,MATCH(X238,'分群統計'!$A$13:$A$16,0),MATCH(V238,'分群統計'!$G$12:$K$12,0)),INDEX('分群統計'!$I$5:$I$8,MATCH(X238,'分群統計'!$A$5:$A$8,0))),""),"")</f>
        <v/>
      </c>
      <c r="AE238" s="18">
        <f>IF(Y238=1,IFERROR(IF(AC238&gt;='參數'!$B$9,INDEX('分群統計'!$L$13:$P$16,MATCH(X238,'分群統計'!$A$13:$A$16,0),MATCH(V238,'分群統計'!$L$12:$P$12,0)),INDEX('分群統計'!$J$5:$J$8,MATCH(X238,'分群統計'!$A$5:$A$8,0))),""),"")</f>
        <v/>
      </c>
      <c r="AF238" s="31">
        <f>IF(ISNUMBER(AE238),IF(AE238&gt;0,MAX(-3,MIN(3,(N238-AD238)/AE238)),0),"")</f>
        <v/>
      </c>
      <c r="AG238" s="30">
        <f>IF(Y238=1,COUNTIFS($B$5:$B$404,B238,$Y$5:$Y$404,1),"")</f>
        <v/>
      </c>
      <c r="AH238" s="30">
        <f>IF(Y238=1,IFERROR(IF(ISNUMBER(INDEX('分群統計'!$G$20:$G$59,MATCH(B238,'分群統計'!$A$20:$A$59,0))),INDEX('分群統計'!$H$20:$H$59,MATCH(B238,'分群統計'!$A$20:$A$59,0))+INDEX('分群統計'!$G$20:$G$59,MATCH(B238,'分群統計'!$A$20:$A$59,0))*AU238,""),""),"")</f>
        <v/>
      </c>
      <c r="AI238" s="34">
        <f>IF(ISNUMBER(AH238),N238-AH238,"")</f>
        <v/>
      </c>
      <c r="AJ238" s="30">
        <f>IF(Y238=1,IFERROR(IF(ISNUMBER(INDEX('分群統計'!$G$5:$G$8,MATCH(X238,'分群統計'!$A$5:$A$8,0))),INDEX('分群統計'!$H$5:$H$8,MATCH(X238,'分群統計'!$A$5:$A$8,0))+INDEX('分群統計'!$G$5:$G$8,MATCH(X238,'分群統計'!$A$5:$A$8,0))*AU238,""),""),"")</f>
        <v/>
      </c>
      <c r="AK238" s="34">
        <f>IF(ISNUMBER(AJ238),N238-AJ238,"")</f>
        <v/>
      </c>
      <c r="AL238" s="21">
        <f>IF(ISNUMBER(AJ238),IF(AJ238&gt;0,AK238/AJ238,""),"")</f>
        <v/>
      </c>
      <c r="AM238" s="31">
        <f>IF(AY238&lt;&gt;1,"",IFERROR(IF(INDEX('分群統計'!$K$5:$K$8,MATCH(X238,'分群統計'!$A$5:$A$8,0))&lt;3,"",IF(INDEX('分群統計'!$M$5:$M$8,MATCH(X238,'分群統計'!$A$5:$A$8,0))&gt;0,MAX(-3,MIN(3,(AX238-INDEX('分群統計'!$L$5:$L$8,MATCH(X238,'分群統計'!$A$5:$A$8,0)))/INDEX('分群統計'!$M$5:$M$8,MATCH(X238,'分群統計'!$A$5:$A$8,0)))),0)),""))</f>
        <v/>
      </c>
      <c r="AN238" s="31">
        <f>IF(ISNUMBER(AB238),IF(Z238&gt;0,AB238/Z238*100,""),"")</f>
        <v/>
      </c>
      <c r="AO238" s="31">
        <f>IF(BA238&lt;&gt;1,"",IFERROR(IF(INDEX('分群統計'!$N$5:$N$8,MATCH(X238,'分群統計'!$A$5:$A$8,0))&lt;3,"",IF(INDEX('分群統計'!$P$5:$P$8,MATCH(X238,'分群統計'!$A$5:$A$8,0))&gt;0,MAX(-3,MIN(3,(AZ238-INDEX('分群統計'!$O$5:$O$8,MATCH(X238,'分群統計'!$A$5:$A$8,0)))/INDEX('分群統計'!$P$5:$P$8,MATCH(X238,'分群統計'!$A$5:$A$8,0)))),0)),""))</f>
        <v/>
      </c>
      <c r="AP238" s="31">
        <f>IF(BC238&lt;&gt;1,"",IFERROR(IF(INDEX('分群統計'!$Q$5:$Q$8,MATCH(X238,'分群統計'!$A$5:$A$8,0))&lt;3,"",IF(INDEX('分群統計'!$S$5:$S$8,MATCH(X238,'分群統計'!$A$5:$A$8,0))&gt;0,MAX(-3,MIN(3,(BB238-INDEX('分群統計'!$R$5:$R$8,MATCH(X238,'分群統計'!$A$5:$A$8,0)))/INDEX('分群統計'!$S$5:$S$8,MATCH(X238,'分群統計'!$A$5:$A$8,0)))),0)),""))</f>
        <v/>
      </c>
      <c r="AQ238" s="31">
        <f>IF(Y238=1,(IF(ISNUMBER(AF238),AF238,0)*'參數'!$B$13+IF(ISNUMBER(AM238),AM238,0)*'參數'!$B$14+IF(ISNUMBER(AO238),AO238,0)*'參數'!$B$15+IF(ISNUMBER(AP238),AP238,0)*'參數'!$B$16)/('參數'!$B$13+'參數'!$B$14+'參數'!$B$15+'參數'!$B$16),"")</f>
        <v/>
      </c>
      <c r="AR238" s="35">
        <f>IF(Y238=1,(SUMPRODUCT(($X$5:$X$404=X238)*($Y$5:$Y$404=1)*($BD$5:$BD$404&gt;BD238))+1)/COUNTIFS($X$5:$X$404,X238,$Y$5:$Y$404,1),"")</f>
        <v/>
      </c>
      <c r="AS238" s="8">
        <f>IF(ISNUMBER(AR238),IF(AR238&lt;='參數'!$B$18,"加碼候選",IF(AR238&gt;'參數'!$B$19,"減碼候選","")),"")</f>
        <v/>
      </c>
      <c r="AT238" s="7">
        <f>IF(Y238=1,N238,0)</f>
        <v/>
      </c>
      <c r="AU238" s="7">
        <f>IF(Y238=1,LN(O238),0)</f>
        <v/>
      </c>
      <c r="AV238" s="36">
        <f>IF(Y238=1,IF(ISNUMBER(F238),F238,0),0)</f>
        <v/>
      </c>
      <c r="AW238" s="7">
        <f>IF(Y238=1,Z238,0)</f>
        <v/>
      </c>
      <c r="AX238" s="7">
        <f>IF(Y238=1,IF(ISNUMBER(AL238),AL238,0),0)</f>
        <v/>
      </c>
      <c r="AY238" s="7">
        <f>IF(Y238=1,IF(ISNUMBER(AL238),1,0),0)</f>
        <v/>
      </c>
      <c r="AZ238" s="7">
        <f>IF(Y238=1,IF(ISNUMBER(AN238),AN238,0),0)</f>
        <v/>
      </c>
      <c r="BA238" s="7">
        <f>IF(Y238=1,IF(ISNUMBER(AN238),1,0),0)</f>
        <v/>
      </c>
      <c r="BB238" s="7">
        <f>IF(Y238=1,IF(ISNUMBER(T238),T238,0),0)</f>
        <v/>
      </c>
      <c r="BC238" s="7">
        <f>IF(Y238=1,IF(ISNUMBER(T238),1,0),0)</f>
        <v/>
      </c>
      <c r="BD238" s="7">
        <f>IF(Y238=1,AQ238+ROW()/1E9,-1E9)</f>
        <v/>
      </c>
      <c r="BE238" s="7">
        <f>IF(Y238=1,AQ238+ROW()/1E9,1E9)</f>
        <v/>
      </c>
    </row>
    <row r="239">
      <c r="A239" s="16" t="n"/>
      <c r="B239" s="8">
        <f>IF($A239="","",BDP($A239,B$3))</f>
        <v/>
      </c>
      <c r="C239" s="8">
        <f>IF($A239="","",BDP($A239,C$3))</f>
        <v/>
      </c>
      <c r="D239" s="28">
        <f>IF($A239="","",BDP($A239,D$3))</f>
        <v/>
      </c>
      <c r="E239" s="29">
        <f>IF($A239="","",BDP($A239,E$3))</f>
        <v/>
      </c>
      <c r="F239" s="17">
        <f>IF($A239="","",BDP($A239,F$3))</f>
        <v/>
      </c>
      <c r="G239" s="8">
        <f>IF($A239="","",BDP($A239,G$3))</f>
        <v/>
      </c>
      <c r="H239" s="8">
        <f>IF($A239="","",BDP($A239,H$3))</f>
        <v/>
      </c>
      <c r="I239" s="8">
        <f>IF($A239="","",BDP($A239,I$3))</f>
        <v/>
      </c>
      <c r="J239" s="8">
        <f>IF($A239="","",BDP($A239,J$3))</f>
        <v/>
      </c>
      <c r="K239" s="8">
        <f>IF($A239="","",BDP($A239,K$3))</f>
        <v/>
      </c>
      <c r="L239" s="28">
        <f>IF($A239="","",BDP($A239,L$3))</f>
        <v/>
      </c>
      <c r="M239" s="28">
        <f>IF($A239="","",BDP($A239,M$3))</f>
        <v/>
      </c>
      <c r="N239" s="30">
        <f>IF($A239="","",BDP($A239,N$3))</f>
        <v/>
      </c>
      <c r="O239" s="31">
        <f>IF($A239="","",BDP($A239,O$3))</f>
        <v/>
      </c>
      <c r="P239" s="30">
        <f>IF($A239="","",BDH($A239,$N$3,'參數'!$B$5,'參數'!$B$5,"Days=A","Fill=P","Dates=H"))</f>
        <v/>
      </c>
      <c r="Q239" s="30">
        <f>IF($A239="","",BDH($A239,$N$3,'參數'!$B$6,'參數'!$B$6,"Days=A","Fill=P","Dates=H"))</f>
        <v/>
      </c>
      <c r="R239" s="30">
        <f>IF($A239="","",BDH($A239,$N$3,'參數'!$B$7,'參數'!$B$7,"Days=A","Fill=P","Dates=H"))</f>
        <v/>
      </c>
      <c r="S239" s="32">
        <f>IF($A239="","",IFERROR(INDEX('發行人'!$A$5:$A$44,MATCH(B239,'發行人'!$D$5:$D$44,0)),"未對應"))</f>
        <v/>
      </c>
      <c r="T239" s="24">
        <f>IF($A239="","",IFERROR(INDEX('發行人'!$G$5:$G$44,MATCH(B239,'發行人'!$D$5:$D$44,0))+0,""))</f>
        <v/>
      </c>
      <c r="U239" s="18">
        <f>IF(ISNUMBER(E239),YEARFRAC('參數'!$B$4,E239),"")</f>
        <v/>
      </c>
      <c r="V239" s="8">
        <f>IF(U239="","",IF(U239&lt;3,"1-3y",IF(U239&lt;5,"3-5y",IF(U239&lt;7,"5-7y",IF(U239&lt;10,"7-10y","10y+")))))</f>
        <v/>
      </c>
      <c r="W239" s="30">
        <f>IF($A239="","",IFERROR(INDEX('參數'!$B$24:$B$45,MATCH(G239,'參數'!$A$24:$A$45,0)),""))</f>
        <v/>
      </c>
      <c r="X239" s="8">
        <f>IF($A239="","",IFERROR(INDEX('參數'!$C$24:$C$45,MATCH(G239,'參數'!$A$24:$A$45,0)),""))</f>
        <v/>
      </c>
      <c r="Y239" s="30">
        <f>IF(AND(ISNUMBER(N239),ISNUMBER(O239),ISNUMBER(U239)),IF(AND(O239&gt;0,X239&lt;&gt;""),1,0),0)</f>
        <v/>
      </c>
      <c r="Z239" s="17">
        <f>IF(Y239=1,O239*N239,"")</f>
        <v/>
      </c>
      <c r="AA239" s="33">
        <f>IF(Y239=1,IF(ISNUMBER(Q239),N239-Q239,""),"")</f>
        <v/>
      </c>
      <c r="AB239" s="33">
        <f>IF(Y239=1,IF(AND(ISNUMBER(P239),ISNUMBER(R239)),R239*5/12-O239*(P239-R239),""),"")</f>
        <v/>
      </c>
      <c r="AC239" s="30">
        <f>IF(Y239=1,COUNTIFS($X$5:$X$404,X239,$V$5:$V$404,V239,$Y$5:$Y$404,1),"")</f>
        <v/>
      </c>
      <c r="AD239" s="30">
        <f>IF(Y239=1,IFERROR(IF(AC239&gt;='參數'!$B$9,INDEX('分群統計'!$G$13:$K$16,MATCH(X239,'分群統計'!$A$13:$A$16,0),MATCH(V239,'分群統計'!$G$12:$K$12,0)),INDEX('分群統計'!$I$5:$I$8,MATCH(X239,'分群統計'!$A$5:$A$8,0))),""),"")</f>
        <v/>
      </c>
      <c r="AE239" s="18">
        <f>IF(Y239=1,IFERROR(IF(AC239&gt;='參數'!$B$9,INDEX('分群統計'!$L$13:$P$16,MATCH(X239,'分群統計'!$A$13:$A$16,0),MATCH(V239,'分群統計'!$L$12:$P$12,0)),INDEX('分群統計'!$J$5:$J$8,MATCH(X239,'分群統計'!$A$5:$A$8,0))),""),"")</f>
        <v/>
      </c>
      <c r="AF239" s="31">
        <f>IF(ISNUMBER(AE239),IF(AE239&gt;0,MAX(-3,MIN(3,(N239-AD239)/AE239)),0),"")</f>
        <v/>
      </c>
      <c r="AG239" s="30">
        <f>IF(Y239=1,COUNTIFS($B$5:$B$404,B239,$Y$5:$Y$404,1),"")</f>
        <v/>
      </c>
      <c r="AH239" s="30">
        <f>IF(Y239=1,IFERROR(IF(ISNUMBER(INDEX('分群統計'!$G$20:$G$59,MATCH(B239,'分群統計'!$A$20:$A$59,0))),INDEX('分群統計'!$H$20:$H$59,MATCH(B239,'分群統計'!$A$20:$A$59,0))+INDEX('分群統計'!$G$20:$G$59,MATCH(B239,'分群統計'!$A$20:$A$59,0))*AU239,""),""),"")</f>
        <v/>
      </c>
      <c r="AI239" s="34">
        <f>IF(ISNUMBER(AH239),N239-AH239,"")</f>
        <v/>
      </c>
      <c r="AJ239" s="30">
        <f>IF(Y239=1,IFERROR(IF(ISNUMBER(INDEX('分群統計'!$G$5:$G$8,MATCH(X239,'分群統計'!$A$5:$A$8,0))),INDEX('分群統計'!$H$5:$H$8,MATCH(X239,'分群統計'!$A$5:$A$8,0))+INDEX('分群統計'!$G$5:$G$8,MATCH(X239,'分群統計'!$A$5:$A$8,0))*AU239,""),""),"")</f>
        <v/>
      </c>
      <c r="AK239" s="34">
        <f>IF(ISNUMBER(AJ239),N239-AJ239,"")</f>
        <v/>
      </c>
      <c r="AL239" s="21">
        <f>IF(ISNUMBER(AJ239),IF(AJ239&gt;0,AK239/AJ239,""),"")</f>
        <v/>
      </c>
      <c r="AM239" s="31">
        <f>IF(AY239&lt;&gt;1,"",IFERROR(IF(INDEX('分群統計'!$K$5:$K$8,MATCH(X239,'分群統計'!$A$5:$A$8,0))&lt;3,"",IF(INDEX('分群統計'!$M$5:$M$8,MATCH(X239,'分群統計'!$A$5:$A$8,0))&gt;0,MAX(-3,MIN(3,(AX239-INDEX('分群統計'!$L$5:$L$8,MATCH(X239,'分群統計'!$A$5:$A$8,0)))/INDEX('分群統計'!$M$5:$M$8,MATCH(X239,'分群統計'!$A$5:$A$8,0)))),0)),""))</f>
        <v/>
      </c>
      <c r="AN239" s="31">
        <f>IF(ISNUMBER(AB239),IF(Z239&gt;0,AB239/Z239*100,""),"")</f>
        <v/>
      </c>
      <c r="AO239" s="31">
        <f>IF(BA239&lt;&gt;1,"",IFERROR(IF(INDEX('分群統計'!$N$5:$N$8,MATCH(X239,'分群統計'!$A$5:$A$8,0))&lt;3,"",IF(INDEX('分群統計'!$P$5:$P$8,MATCH(X239,'分群統計'!$A$5:$A$8,0))&gt;0,MAX(-3,MIN(3,(AZ239-INDEX('分群統計'!$O$5:$O$8,MATCH(X239,'分群統計'!$A$5:$A$8,0)))/INDEX('分群統計'!$P$5:$P$8,MATCH(X239,'分群統計'!$A$5:$A$8,0)))),0)),""))</f>
        <v/>
      </c>
      <c r="AP239" s="31">
        <f>IF(BC239&lt;&gt;1,"",IFERROR(IF(INDEX('分群統計'!$Q$5:$Q$8,MATCH(X239,'分群統計'!$A$5:$A$8,0))&lt;3,"",IF(INDEX('分群統計'!$S$5:$S$8,MATCH(X239,'分群統計'!$A$5:$A$8,0))&gt;0,MAX(-3,MIN(3,(BB239-INDEX('分群統計'!$R$5:$R$8,MATCH(X239,'分群統計'!$A$5:$A$8,0)))/INDEX('分群統計'!$S$5:$S$8,MATCH(X239,'分群統計'!$A$5:$A$8,0)))),0)),""))</f>
        <v/>
      </c>
      <c r="AQ239" s="31">
        <f>IF(Y239=1,(IF(ISNUMBER(AF239),AF239,0)*'參數'!$B$13+IF(ISNUMBER(AM239),AM239,0)*'參數'!$B$14+IF(ISNUMBER(AO239),AO239,0)*'參數'!$B$15+IF(ISNUMBER(AP239),AP239,0)*'參數'!$B$16)/('參數'!$B$13+'參數'!$B$14+'參數'!$B$15+'參數'!$B$16),"")</f>
        <v/>
      </c>
      <c r="AR239" s="35">
        <f>IF(Y239=1,(SUMPRODUCT(($X$5:$X$404=X239)*($Y$5:$Y$404=1)*($BD$5:$BD$404&gt;BD239))+1)/COUNTIFS($X$5:$X$404,X239,$Y$5:$Y$404,1),"")</f>
        <v/>
      </c>
      <c r="AS239" s="8">
        <f>IF(ISNUMBER(AR239),IF(AR239&lt;='參數'!$B$18,"加碼候選",IF(AR239&gt;'參數'!$B$19,"減碼候選","")),"")</f>
        <v/>
      </c>
      <c r="AT239" s="7">
        <f>IF(Y239=1,N239,0)</f>
        <v/>
      </c>
      <c r="AU239" s="7">
        <f>IF(Y239=1,LN(O239),0)</f>
        <v/>
      </c>
      <c r="AV239" s="36">
        <f>IF(Y239=1,IF(ISNUMBER(F239),F239,0),0)</f>
        <v/>
      </c>
      <c r="AW239" s="7">
        <f>IF(Y239=1,Z239,0)</f>
        <v/>
      </c>
      <c r="AX239" s="7">
        <f>IF(Y239=1,IF(ISNUMBER(AL239),AL239,0),0)</f>
        <v/>
      </c>
      <c r="AY239" s="7">
        <f>IF(Y239=1,IF(ISNUMBER(AL239),1,0),0)</f>
        <v/>
      </c>
      <c r="AZ239" s="7">
        <f>IF(Y239=1,IF(ISNUMBER(AN239),AN239,0),0)</f>
        <v/>
      </c>
      <c r="BA239" s="7">
        <f>IF(Y239=1,IF(ISNUMBER(AN239),1,0),0)</f>
        <v/>
      </c>
      <c r="BB239" s="7">
        <f>IF(Y239=1,IF(ISNUMBER(T239),T239,0),0)</f>
        <v/>
      </c>
      <c r="BC239" s="7">
        <f>IF(Y239=1,IF(ISNUMBER(T239),1,0),0)</f>
        <v/>
      </c>
      <c r="BD239" s="7">
        <f>IF(Y239=1,AQ239+ROW()/1E9,-1E9)</f>
        <v/>
      </c>
      <c r="BE239" s="7">
        <f>IF(Y239=1,AQ239+ROW()/1E9,1E9)</f>
        <v/>
      </c>
    </row>
    <row r="240">
      <c r="A240" s="16" t="n"/>
      <c r="B240" s="8">
        <f>IF($A240="","",BDP($A240,B$3))</f>
        <v/>
      </c>
      <c r="C240" s="8">
        <f>IF($A240="","",BDP($A240,C$3))</f>
        <v/>
      </c>
      <c r="D240" s="28">
        <f>IF($A240="","",BDP($A240,D$3))</f>
        <v/>
      </c>
      <c r="E240" s="29">
        <f>IF($A240="","",BDP($A240,E$3))</f>
        <v/>
      </c>
      <c r="F240" s="17">
        <f>IF($A240="","",BDP($A240,F$3))</f>
        <v/>
      </c>
      <c r="G240" s="8">
        <f>IF($A240="","",BDP($A240,G$3))</f>
        <v/>
      </c>
      <c r="H240" s="8">
        <f>IF($A240="","",BDP($A240,H$3))</f>
        <v/>
      </c>
      <c r="I240" s="8">
        <f>IF($A240="","",BDP($A240,I$3))</f>
        <v/>
      </c>
      <c r="J240" s="8">
        <f>IF($A240="","",BDP($A240,J$3))</f>
        <v/>
      </c>
      <c r="K240" s="8">
        <f>IF($A240="","",BDP($A240,K$3))</f>
        <v/>
      </c>
      <c r="L240" s="28">
        <f>IF($A240="","",BDP($A240,L$3))</f>
        <v/>
      </c>
      <c r="M240" s="28">
        <f>IF($A240="","",BDP($A240,M$3))</f>
        <v/>
      </c>
      <c r="N240" s="30">
        <f>IF($A240="","",BDP($A240,N$3))</f>
        <v/>
      </c>
      <c r="O240" s="31">
        <f>IF($A240="","",BDP($A240,O$3))</f>
        <v/>
      </c>
      <c r="P240" s="30">
        <f>IF($A240="","",BDH($A240,$N$3,'參數'!$B$5,'參數'!$B$5,"Days=A","Fill=P","Dates=H"))</f>
        <v/>
      </c>
      <c r="Q240" s="30">
        <f>IF($A240="","",BDH($A240,$N$3,'參數'!$B$6,'參數'!$B$6,"Days=A","Fill=P","Dates=H"))</f>
        <v/>
      </c>
      <c r="R240" s="30">
        <f>IF($A240="","",BDH($A240,$N$3,'參數'!$B$7,'參數'!$B$7,"Days=A","Fill=P","Dates=H"))</f>
        <v/>
      </c>
      <c r="S240" s="32">
        <f>IF($A240="","",IFERROR(INDEX('發行人'!$A$5:$A$44,MATCH(B240,'發行人'!$D$5:$D$44,0)),"未對應"))</f>
        <v/>
      </c>
      <c r="T240" s="24">
        <f>IF($A240="","",IFERROR(INDEX('發行人'!$G$5:$G$44,MATCH(B240,'發行人'!$D$5:$D$44,0))+0,""))</f>
        <v/>
      </c>
      <c r="U240" s="18">
        <f>IF(ISNUMBER(E240),YEARFRAC('參數'!$B$4,E240),"")</f>
        <v/>
      </c>
      <c r="V240" s="8">
        <f>IF(U240="","",IF(U240&lt;3,"1-3y",IF(U240&lt;5,"3-5y",IF(U240&lt;7,"5-7y",IF(U240&lt;10,"7-10y","10y+")))))</f>
        <v/>
      </c>
      <c r="W240" s="30">
        <f>IF($A240="","",IFERROR(INDEX('參數'!$B$24:$B$45,MATCH(G240,'參數'!$A$24:$A$45,0)),""))</f>
        <v/>
      </c>
      <c r="X240" s="8">
        <f>IF($A240="","",IFERROR(INDEX('參數'!$C$24:$C$45,MATCH(G240,'參數'!$A$24:$A$45,0)),""))</f>
        <v/>
      </c>
      <c r="Y240" s="30">
        <f>IF(AND(ISNUMBER(N240),ISNUMBER(O240),ISNUMBER(U240)),IF(AND(O240&gt;0,X240&lt;&gt;""),1,0),0)</f>
        <v/>
      </c>
      <c r="Z240" s="17">
        <f>IF(Y240=1,O240*N240,"")</f>
        <v/>
      </c>
      <c r="AA240" s="33">
        <f>IF(Y240=1,IF(ISNUMBER(Q240),N240-Q240,""),"")</f>
        <v/>
      </c>
      <c r="AB240" s="33">
        <f>IF(Y240=1,IF(AND(ISNUMBER(P240),ISNUMBER(R240)),R240*5/12-O240*(P240-R240),""),"")</f>
        <v/>
      </c>
      <c r="AC240" s="30">
        <f>IF(Y240=1,COUNTIFS($X$5:$X$404,X240,$V$5:$V$404,V240,$Y$5:$Y$404,1),"")</f>
        <v/>
      </c>
      <c r="AD240" s="30">
        <f>IF(Y240=1,IFERROR(IF(AC240&gt;='參數'!$B$9,INDEX('分群統計'!$G$13:$K$16,MATCH(X240,'分群統計'!$A$13:$A$16,0),MATCH(V240,'分群統計'!$G$12:$K$12,0)),INDEX('分群統計'!$I$5:$I$8,MATCH(X240,'分群統計'!$A$5:$A$8,0))),""),"")</f>
        <v/>
      </c>
      <c r="AE240" s="18">
        <f>IF(Y240=1,IFERROR(IF(AC240&gt;='參數'!$B$9,INDEX('分群統計'!$L$13:$P$16,MATCH(X240,'分群統計'!$A$13:$A$16,0),MATCH(V240,'分群統計'!$L$12:$P$12,0)),INDEX('分群統計'!$J$5:$J$8,MATCH(X240,'分群統計'!$A$5:$A$8,0))),""),"")</f>
        <v/>
      </c>
      <c r="AF240" s="31">
        <f>IF(ISNUMBER(AE240),IF(AE240&gt;0,MAX(-3,MIN(3,(N240-AD240)/AE240)),0),"")</f>
        <v/>
      </c>
      <c r="AG240" s="30">
        <f>IF(Y240=1,COUNTIFS($B$5:$B$404,B240,$Y$5:$Y$404,1),"")</f>
        <v/>
      </c>
      <c r="AH240" s="30">
        <f>IF(Y240=1,IFERROR(IF(ISNUMBER(INDEX('分群統計'!$G$20:$G$59,MATCH(B240,'分群統計'!$A$20:$A$59,0))),INDEX('分群統計'!$H$20:$H$59,MATCH(B240,'分群統計'!$A$20:$A$59,0))+INDEX('分群統計'!$G$20:$G$59,MATCH(B240,'分群統計'!$A$20:$A$59,0))*AU240,""),""),"")</f>
        <v/>
      </c>
      <c r="AI240" s="34">
        <f>IF(ISNUMBER(AH240),N240-AH240,"")</f>
        <v/>
      </c>
      <c r="AJ240" s="30">
        <f>IF(Y240=1,IFERROR(IF(ISNUMBER(INDEX('分群統計'!$G$5:$G$8,MATCH(X240,'分群統計'!$A$5:$A$8,0))),INDEX('分群統計'!$H$5:$H$8,MATCH(X240,'分群統計'!$A$5:$A$8,0))+INDEX('分群統計'!$G$5:$G$8,MATCH(X240,'分群統計'!$A$5:$A$8,0))*AU240,""),""),"")</f>
        <v/>
      </c>
      <c r="AK240" s="34">
        <f>IF(ISNUMBER(AJ240),N240-AJ240,"")</f>
        <v/>
      </c>
      <c r="AL240" s="21">
        <f>IF(ISNUMBER(AJ240),IF(AJ240&gt;0,AK240/AJ240,""),"")</f>
        <v/>
      </c>
      <c r="AM240" s="31">
        <f>IF(AY240&lt;&gt;1,"",IFERROR(IF(INDEX('分群統計'!$K$5:$K$8,MATCH(X240,'分群統計'!$A$5:$A$8,0))&lt;3,"",IF(INDEX('分群統計'!$M$5:$M$8,MATCH(X240,'分群統計'!$A$5:$A$8,0))&gt;0,MAX(-3,MIN(3,(AX240-INDEX('分群統計'!$L$5:$L$8,MATCH(X240,'分群統計'!$A$5:$A$8,0)))/INDEX('分群統計'!$M$5:$M$8,MATCH(X240,'分群統計'!$A$5:$A$8,0)))),0)),""))</f>
        <v/>
      </c>
      <c r="AN240" s="31">
        <f>IF(ISNUMBER(AB240),IF(Z240&gt;0,AB240/Z240*100,""),"")</f>
        <v/>
      </c>
      <c r="AO240" s="31">
        <f>IF(BA240&lt;&gt;1,"",IFERROR(IF(INDEX('分群統計'!$N$5:$N$8,MATCH(X240,'分群統計'!$A$5:$A$8,0))&lt;3,"",IF(INDEX('分群統計'!$P$5:$P$8,MATCH(X240,'分群統計'!$A$5:$A$8,0))&gt;0,MAX(-3,MIN(3,(AZ240-INDEX('分群統計'!$O$5:$O$8,MATCH(X240,'分群統計'!$A$5:$A$8,0)))/INDEX('分群統計'!$P$5:$P$8,MATCH(X240,'分群統計'!$A$5:$A$8,0)))),0)),""))</f>
        <v/>
      </c>
      <c r="AP240" s="31">
        <f>IF(BC240&lt;&gt;1,"",IFERROR(IF(INDEX('分群統計'!$Q$5:$Q$8,MATCH(X240,'分群統計'!$A$5:$A$8,0))&lt;3,"",IF(INDEX('分群統計'!$S$5:$S$8,MATCH(X240,'分群統計'!$A$5:$A$8,0))&gt;0,MAX(-3,MIN(3,(BB240-INDEX('分群統計'!$R$5:$R$8,MATCH(X240,'分群統計'!$A$5:$A$8,0)))/INDEX('分群統計'!$S$5:$S$8,MATCH(X240,'分群統計'!$A$5:$A$8,0)))),0)),""))</f>
        <v/>
      </c>
      <c r="AQ240" s="31">
        <f>IF(Y240=1,(IF(ISNUMBER(AF240),AF240,0)*'參數'!$B$13+IF(ISNUMBER(AM240),AM240,0)*'參數'!$B$14+IF(ISNUMBER(AO240),AO240,0)*'參數'!$B$15+IF(ISNUMBER(AP240),AP240,0)*'參數'!$B$16)/('參數'!$B$13+'參數'!$B$14+'參數'!$B$15+'參數'!$B$16),"")</f>
        <v/>
      </c>
      <c r="AR240" s="35">
        <f>IF(Y240=1,(SUMPRODUCT(($X$5:$X$404=X240)*($Y$5:$Y$404=1)*($BD$5:$BD$404&gt;BD240))+1)/COUNTIFS($X$5:$X$404,X240,$Y$5:$Y$404,1),"")</f>
        <v/>
      </c>
      <c r="AS240" s="8">
        <f>IF(ISNUMBER(AR240),IF(AR240&lt;='參數'!$B$18,"加碼候選",IF(AR240&gt;'參數'!$B$19,"減碼候選","")),"")</f>
        <v/>
      </c>
      <c r="AT240" s="7">
        <f>IF(Y240=1,N240,0)</f>
        <v/>
      </c>
      <c r="AU240" s="7">
        <f>IF(Y240=1,LN(O240),0)</f>
        <v/>
      </c>
      <c r="AV240" s="36">
        <f>IF(Y240=1,IF(ISNUMBER(F240),F240,0),0)</f>
        <v/>
      </c>
      <c r="AW240" s="7">
        <f>IF(Y240=1,Z240,0)</f>
        <v/>
      </c>
      <c r="AX240" s="7">
        <f>IF(Y240=1,IF(ISNUMBER(AL240),AL240,0),0)</f>
        <v/>
      </c>
      <c r="AY240" s="7">
        <f>IF(Y240=1,IF(ISNUMBER(AL240),1,0),0)</f>
        <v/>
      </c>
      <c r="AZ240" s="7">
        <f>IF(Y240=1,IF(ISNUMBER(AN240),AN240,0),0)</f>
        <v/>
      </c>
      <c r="BA240" s="7">
        <f>IF(Y240=1,IF(ISNUMBER(AN240),1,0),0)</f>
        <v/>
      </c>
      <c r="BB240" s="7">
        <f>IF(Y240=1,IF(ISNUMBER(T240),T240,0),0)</f>
        <v/>
      </c>
      <c r="BC240" s="7">
        <f>IF(Y240=1,IF(ISNUMBER(T240),1,0),0)</f>
        <v/>
      </c>
      <c r="BD240" s="7">
        <f>IF(Y240=1,AQ240+ROW()/1E9,-1E9)</f>
        <v/>
      </c>
      <c r="BE240" s="7">
        <f>IF(Y240=1,AQ240+ROW()/1E9,1E9)</f>
        <v/>
      </c>
    </row>
    <row r="241">
      <c r="A241" s="16" t="n"/>
      <c r="B241" s="8">
        <f>IF($A241="","",BDP($A241,B$3))</f>
        <v/>
      </c>
      <c r="C241" s="8">
        <f>IF($A241="","",BDP($A241,C$3))</f>
        <v/>
      </c>
      <c r="D241" s="28">
        <f>IF($A241="","",BDP($A241,D$3))</f>
        <v/>
      </c>
      <c r="E241" s="29">
        <f>IF($A241="","",BDP($A241,E$3))</f>
        <v/>
      </c>
      <c r="F241" s="17">
        <f>IF($A241="","",BDP($A241,F$3))</f>
        <v/>
      </c>
      <c r="G241" s="8">
        <f>IF($A241="","",BDP($A241,G$3))</f>
        <v/>
      </c>
      <c r="H241" s="8">
        <f>IF($A241="","",BDP($A241,H$3))</f>
        <v/>
      </c>
      <c r="I241" s="8">
        <f>IF($A241="","",BDP($A241,I$3))</f>
        <v/>
      </c>
      <c r="J241" s="8">
        <f>IF($A241="","",BDP($A241,J$3))</f>
        <v/>
      </c>
      <c r="K241" s="8">
        <f>IF($A241="","",BDP($A241,K$3))</f>
        <v/>
      </c>
      <c r="L241" s="28">
        <f>IF($A241="","",BDP($A241,L$3))</f>
        <v/>
      </c>
      <c r="M241" s="28">
        <f>IF($A241="","",BDP($A241,M$3))</f>
        <v/>
      </c>
      <c r="N241" s="30">
        <f>IF($A241="","",BDP($A241,N$3))</f>
        <v/>
      </c>
      <c r="O241" s="31">
        <f>IF($A241="","",BDP($A241,O$3))</f>
        <v/>
      </c>
      <c r="P241" s="30">
        <f>IF($A241="","",BDH($A241,$N$3,'參數'!$B$5,'參數'!$B$5,"Days=A","Fill=P","Dates=H"))</f>
        <v/>
      </c>
      <c r="Q241" s="30">
        <f>IF($A241="","",BDH($A241,$N$3,'參數'!$B$6,'參數'!$B$6,"Days=A","Fill=P","Dates=H"))</f>
        <v/>
      </c>
      <c r="R241" s="30">
        <f>IF($A241="","",BDH($A241,$N$3,'參數'!$B$7,'參數'!$B$7,"Days=A","Fill=P","Dates=H"))</f>
        <v/>
      </c>
      <c r="S241" s="32">
        <f>IF($A241="","",IFERROR(INDEX('發行人'!$A$5:$A$44,MATCH(B241,'發行人'!$D$5:$D$44,0)),"未對應"))</f>
        <v/>
      </c>
      <c r="T241" s="24">
        <f>IF($A241="","",IFERROR(INDEX('發行人'!$G$5:$G$44,MATCH(B241,'發行人'!$D$5:$D$44,0))+0,""))</f>
        <v/>
      </c>
      <c r="U241" s="18">
        <f>IF(ISNUMBER(E241),YEARFRAC('參數'!$B$4,E241),"")</f>
        <v/>
      </c>
      <c r="V241" s="8">
        <f>IF(U241="","",IF(U241&lt;3,"1-3y",IF(U241&lt;5,"3-5y",IF(U241&lt;7,"5-7y",IF(U241&lt;10,"7-10y","10y+")))))</f>
        <v/>
      </c>
      <c r="W241" s="30">
        <f>IF($A241="","",IFERROR(INDEX('參數'!$B$24:$B$45,MATCH(G241,'參數'!$A$24:$A$45,0)),""))</f>
        <v/>
      </c>
      <c r="X241" s="8">
        <f>IF($A241="","",IFERROR(INDEX('參數'!$C$24:$C$45,MATCH(G241,'參數'!$A$24:$A$45,0)),""))</f>
        <v/>
      </c>
      <c r="Y241" s="30">
        <f>IF(AND(ISNUMBER(N241),ISNUMBER(O241),ISNUMBER(U241)),IF(AND(O241&gt;0,X241&lt;&gt;""),1,0),0)</f>
        <v/>
      </c>
      <c r="Z241" s="17">
        <f>IF(Y241=1,O241*N241,"")</f>
        <v/>
      </c>
      <c r="AA241" s="33">
        <f>IF(Y241=1,IF(ISNUMBER(Q241),N241-Q241,""),"")</f>
        <v/>
      </c>
      <c r="AB241" s="33">
        <f>IF(Y241=1,IF(AND(ISNUMBER(P241),ISNUMBER(R241)),R241*5/12-O241*(P241-R241),""),"")</f>
        <v/>
      </c>
      <c r="AC241" s="30">
        <f>IF(Y241=1,COUNTIFS($X$5:$X$404,X241,$V$5:$V$404,V241,$Y$5:$Y$404,1),"")</f>
        <v/>
      </c>
      <c r="AD241" s="30">
        <f>IF(Y241=1,IFERROR(IF(AC241&gt;='參數'!$B$9,INDEX('分群統計'!$G$13:$K$16,MATCH(X241,'分群統計'!$A$13:$A$16,0),MATCH(V241,'分群統計'!$G$12:$K$12,0)),INDEX('分群統計'!$I$5:$I$8,MATCH(X241,'分群統計'!$A$5:$A$8,0))),""),"")</f>
        <v/>
      </c>
      <c r="AE241" s="18">
        <f>IF(Y241=1,IFERROR(IF(AC241&gt;='參數'!$B$9,INDEX('分群統計'!$L$13:$P$16,MATCH(X241,'分群統計'!$A$13:$A$16,0),MATCH(V241,'分群統計'!$L$12:$P$12,0)),INDEX('分群統計'!$J$5:$J$8,MATCH(X241,'分群統計'!$A$5:$A$8,0))),""),"")</f>
        <v/>
      </c>
      <c r="AF241" s="31">
        <f>IF(ISNUMBER(AE241),IF(AE241&gt;0,MAX(-3,MIN(3,(N241-AD241)/AE241)),0),"")</f>
        <v/>
      </c>
      <c r="AG241" s="30">
        <f>IF(Y241=1,COUNTIFS($B$5:$B$404,B241,$Y$5:$Y$404,1),"")</f>
        <v/>
      </c>
      <c r="AH241" s="30">
        <f>IF(Y241=1,IFERROR(IF(ISNUMBER(INDEX('分群統計'!$G$20:$G$59,MATCH(B241,'分群統計'!$A$20:$A$59,0))),INDEX('分群統計'!$H$20:$H$59,MATCH(B241,'分群統計'!$A$20:$A$59,0))+INDEX('分群統計'!$G$20:$G$59,MATCH(B241,'分群統計'!$A$20:$A$59,0))*AU241,""),""),"")</f>
        <v/>
      </c>
      <c r="AI241" s="34">
        <f>IF(ISNUMBER(AH241),N241-AH241,"")</f>
        <v/>
      </c>
      <c r="AJ241" s="30">
        <f>IF(Y241=1,IFERROR(IF(ISNUMBER(INDEX('分群統計'!$G$5:$G$8,MATCH(X241,'分群統計'!$A$5:$A$8,0))),INDEX('分群統計'!$H$5:$H$8,MATCH(X241,'分群統計'!$A$5:$A$8,0))+INDEX('分群統計'!$G$5:$G$8,MATCH(X241,'分群統計'!$A$5:$A$8,0))*AU241,""),""),"")</f>
        <v/>
      </c>
      <c r="AK241" s="34">
        <f>IF(ISNUMBER(AJ241),N241-AJ241,"")</f>
        <v/>
      </c>
      <c r="AL241" s="21">
        <f>IF(ISNUMBER(AJ241),IF(AJ241&gt;0,AK241/AJ241,""),"")</f>
        <v/>
      </c>
      <c r="AM241" s="31">
        <f>IF(AY241&lt;&gt;1,"",IFERROR(IF(INDEX('分群統計'!$K$5:$K$8,MATCH(X241,'分群統計'!$A$5:$A$8,0))&lt;3,"",IF(INDEX('分群統計'!$M$5:$M$8,MATCH(X241,'分群統計'!$A$5:$A$8,0))&gt;0,MAX(-3,MIN(3,(AX241-INDEX('分群統計'!$L$5:$L$8,MATCH(X241,'分群統計'!$A$5:$A$8,0)))/INDEX('分群統計'!$M$5:$M$8,MATCH(X241,'分群統計'!$A$5:$A$8,0)))),0)),""))</f>
        <v/>
      </c>
      <c r="AN241" s="31">
        <f>IF(ISNUMBER(AB241),IF(Z241&gt;0,AB241/Z241*100,""),"")</f>
        <v/>
      </c>
      <c r="AO241" s="31">
        <f>IF(BA241&lt;&gt;1,"",IFERROR(IF(INDEX('分群統計'!$N$5:$N$8,MATCH(X241,'分群統計'!$A$5:$A$8,0))&lt;3,"",IF(INDEX('分群統計'!$P$5:$P$8,MATCH(X241,'分群統計'!$A$5:$A$8,0))&gt;0,MAX(-3,MIN(3,(AZ241-INDEX('分群統計'!$O$5:$O$8,MATCH(X241,'分群統計'!$A$5:$A$8,0)))/INDEX('分群統計'!$P$5:$P$8,MATCH(X241,'分群統計'!$A$5:$A$8,0)))),0)),""))</f>
        <v/>
      </c>
      <c r="AP241" s="31">
        <f>IF(BC241&lt;&gt;1,"",IFERROR(IF(INDEX('分群統計'!$Q$5:$Q$8,MATCH(X241,'分群統計'!$A$5:$A$8,0))&lt;3,"",IF(INDEX('分群統計'!$S$5:$S$8,MATCH(X241,'分群統計'!$A$5:$A$8,0))&gt;0,MAX(-3,MIN(3,(BB241-INDEX('分群統計'!$R$5:$R$8,MATCH(X241,'分群統計'!$A$5:$A$8,0)))/INDEX('分群統計'!$S$5:$S$8,MATCH(X241,'分群統計'!$A$5:$A$8,0)))),0)),""))</f>
        <v/>
      </c>
      <c r="AQ241" s="31">
        <f>IF(Y241=1,(IF(ISNUMBER(AF241),AF241,0)*'參數'!$B$13+IF(ISNUMBER(AM241),AM241,0)*'參數'!$B$14+IF(ISNUMBER(AO241),AO241,0)*'參數'!$B$15+IF(ISNUMBER(AP241),AP241,0)*'參數'!$B$16)/('參數'!$B$13+'參數'!$B$14+'參數'!$B$15+'參數'!$B$16),"")</f>
        <v/>
      </c>
      <c r="AR241" s="35">
        <f>IF(Y241=1,(SUMPRODUCT(($X$5:$X$404=X241)*($Y$5:$Y$404=1)*($BD$5:$BD$404&gt;BD241))+1)/COUNTIFS($X$5:$X$404,X241,$Y$5:$Y$404,1),"")</f>
        <v/>
      </c>
      <c r="AS241" s="8">
        <f>IF(ISNUMBER(AR241),IF(AR241&lt;='參數'!$B$18,"加碼候選",IF(AR241&gt;'參數'!$B$19,"減碼候選","")),"")</f>
        <v/>
      </c>
      <c r="AT241" s="7">
        <f>IF(Y241=1,N241,0)</f>
        <v/>
      </c>
      <c r="AU241" s="7">
        <f>IF(Y241=1,LN(O241),0)</f>
        <v/>
      </c>
      <c r="AV241" s="36">
        <f>IF(Y241=1,IF(ISNUMBER(F241),F241,0),0)</f>
        <v/>
      </c>
      <c r="AW241" s="7">
        <f>IF(Y241=1,Z241,0)</f>
        <v/>
      </c>
      <c r="AX241" s="7">
        <f>IF(Y241=1,IF(ISNUMBER(AL241),AL241,0),0)</f>
        <v/>
      </c>
      <c r="AY241" s="7">
        <f>IF(Y241=1,IF(ISNUMBER(AL241),1,0),0)</f>
        <v/>
      </c>
      <c r="AZ241" s="7">
        <f>IF(Y241=1,IF(ISNUMBER(AN241),AN241,0),0)</f>
        <v/>
      </c>
      <c r="BA241" s="7">
        <f>IF(Y241=1,IF(ISNUMBER(AN241),1,0),0)</f>
        <v/>
      </c>
      <c r="BB241" s="7">
        <f>IF(Y241=1,IF(ISNUMBER(T241),T241,0),0)</f>
        <v/>
      </c>
      <c r="BC241" s="7">
        <f>IF(Y241=1,IF(ISNUMBER(T241),1,0),0)</f>
        <v/>
      </c>
      <c r="BD241" s="7">
        <f>IF(Y241=1,AQ241+ROW()/1E9,-1E9)</f>
        <v/>
      </c>
      <c r="BE241" s="7">
        <f>IF(Y241=1,AQ241+ROW()/1E9,1E9)</f>
        <v/>
      </c>
    </row>
    <row r="242">
      <c r="A242" s="16" t="n"/>
      <c r="B242" s="8">
        <f>IF($A242="","",BDP($A242,B$3))</f>
        <v/>
      </c>
      <c r="C242" s="8">
        <f>IF($A242="","",BDP($A242,C$3))</f>
        <v/>
      </c>
      <c r="D242" s="28">
        <f>IF($A242="","",BDP($A242,D$3))</f>
        <v/>
      </c>
      <c r="E242" s="29">
        <f>IF($A242="","",BDP($A242,E$3))</f>
        <v/>
      </c>
      <c r="F242" s="17">
        <f>IF($A242="","",BDP($A242,F$3))</f>
        <v/>
      </c>
      <c r="G242" s="8">
        <f>IF($A242="","",BDP($A242,G$3))</f>
        <v/>
      </c>
      <c r="H242" s="8">
        <f>IF($A242="","",BDP($A242,H$3))</f>
        <v/>
      </c>
      <c r="I242" s="8">
        <f>IF($A242="","",BDP($A242,I$3))</f>
        <v/>
      </c>
      <c r="J242" s="8">
        <f>IF($A242="","",BDP($A242,J$3))</f>
        <v/>
      </c>
      <c r="K242" s="8">
        <f>IF($A242="","",BDP($A242,K$3))</f>
        <v/>
      </c>
      <c r="L242" s="28">
        <f>IF($A242="","",BDP($A242,L$3))</f>
        <v/>
      </c>
      <c r="M242" s="28">
        <f>IF($A242="","",BDP($A242,M$3))</f>
        <v/>
      </c>
      <c r="N242" s="30">
        <f>IF($A242="","",BDP($A242,N$3))</f>
        <v/>
      </c>
      <c r="O242" s="31">
        <f>IF($A242="","",BDP($A242,O$3))</f>
        <v/>
      </c>
      <c r="P242" s="30">
        <f>IF($A242="","",BDH($A242,$N$3,'參數'!$B$5,'參數'!$B$5,"Days=A","Fill=P","Dates=H"))</f>
        <v/>
      </c>
      <c r="Q242" s="30">
        <f>IF($A242="","",BDH($A242,$N$3,'參數'!$B$6,'參數'!$B$6,"Days=A","Fill=P","Dates=H"))</f>
        <v/>
      </c>
      <c r="R242" s="30">
        <f>IF($A242="","",BDH($A242,$N$3,'參數'!$B$7,'參數'!$B$7,"Days=A","Fill=P","Dates=H"))</f>
        <v/>
      </c>
      <c r="S242" s="32">
        <f>IF($A242="","",IFERROR(INDEX('發行人'!$A$5:$A$44,MATCH(B242,'發行人'!$D$5:$D$44,0)),"未對應"))</f>
        <v/>
      </c>
      <c r="T242" s="24">
        <f>IF($A242="","",IFERROR(INDEX('發行人'!$G$5:$G$44,MATCH(B242,'發行人'!$D$5:$D$44,0))+0,""))</f>
        <v/>
      </c>
      <c r="U242" s="18">
        <f>IF(ISNUMBER(E242),YEARFRAC('參數'!$B$4,E242),"")</f>
        <v/>
      </c>
      <c r="V242" s="8">
        <f>IF(U242="","",IF(U242&lt;3,"1-3y",IF(U242&lt;5,"3-5y",IF(U242&lt;7,"5-7y",IF(U242&lt;10,"7-10y","10y+")))))</f>
        <v/>
      </c>
      <c r="W242" s="30">
        <f>IF($A242="","",IFERROR(INDEX('參數'!$B$24:$B$45,MATCH(G242,'參數'!$A$24:$A$45,0)),""))</f>
        <v/>
      </c>
      <c r="X242" s="8">
        <f>IF($A242="","",IFERROR(INDEX('參數'!$C$24:$C$45,MATCH(G242,'參數'!$A$24:$A$45,0)),""))</f>
        <v/>
      </c>
      <c r="Y242" s="30">
        <f>IF(AND(ISNUMBER(N242),ISNUMBER(O242),ISNUMBER(U242)),IF(AND(O242&gt;0,X242&lt;&gt;""),1,0),0)</f>
        <v/>
      </c>
      <c r="Z242" s="17">
        <f>IF(Y242=1,O242*N242,"")</f>
        <v/>
      </c>
      <c r="AA242" s="33">
        <f>IF(Y242=1,IF(ISNUMBER(Q242),N242-Q242,""),"")</f>
        <v/>
      </c>
      <c r="AB242" s="33">
        <f>IF(Y242=1,IF(AND(ISNUMBER(P242),ISNUMBER(R242)),R242*5/12-O242*(P242-R242),""),"")</f>
        <v/>
      </c>
      <c r="AC242" s="30">
        <f>IF(Y242=1,COUNTIFS($X$5:$X$404,X242,$V$5:$V$404,V242,$Y$5:$Y$404,1),"")</f>
        <v/>
      </c>
      <c r="AD242" s="30">
        <f>IF(Y242=1,IFERROR(IF(AC242&gt;='參數'!$B$9,INDEX('分群統計'!$G$13:$K$16,MATCH(X242,'分群統計'!$A$13:$A$16,0),MATCH(V242,'分群統計'!$G$12:$K$12,0)),INDEX('分群統計'!$I$5:$I$8,MATCH(X242,'分群統計'!$A$5:$A$8,0))),""),"")</f>
        <v/>
      </c>
      <c r="AE242" s="18">
        <f>IF(Y242=1,IFERROR(IF(AC242&gt;='參數'!$B$9,INDEX('分群統計'!$L$13:$P$16,MATCH(X242,'分群統計'!$A$13:$A$16,0),MATCH(V242,'分群統計'!$L$12:$P$12,0)),INDEX('分群統計'!$J$5:$J$8,MATCH(X242,'分群統計'!$A$5:$A$8,0))),""),"")</f>
        <v/>
      </c>
      <c r="AF242" s="31">
        <f>IF(ISNUMBER(AE242),IF(AE242&gt;0,MAX(-3,MIN(3,(N242-AD242)/AE242)),0),"")</f>
        <v/>
      </c>
      <c r="AG242" s="30">
        <f>IF(Y242=1,COUNTIFS($B$5:$B$404,B242,$Y$5:$Y$404,1),"")</f>
        <v/>
      </c>
      <c r="AH242" s="30">
        <f>IF(Y242=1,IFERROR(IF(ISNUMBER(INDEX('分群統計'!$G$20:$G$59,MATCH(B242,'分群統計'!$A$20:$A$59,0))),INDEX('分群統計'!$H$20:$H$59,MATCH(B242,'分群統計'!$A$20:$A$59,0))+INDEX('分群統計'!$G$20:$G$59,MATCH(B242,'分群統計'!$A$20:$A$59,0))*AU242,""),""),"")</f>
        <v/>
      </c>
      <c r="AI242" s="34">
        <f>IF(ISNUMBER(AH242),N242-AH242,"")</f>
        <v/>
      </c>
      <c r="AJ242" s="30">
        <f>IF(Y242=1,IFERROR(IF(ISNUMBER(INDEX('分群統計'!$G$5:$G$8,MATCH(X242,'分群統計'!$A$5:$A$8,0))),INDEX('分群統計'!$H$5:$H$8,MATCH(X242,'分群統計'!$A$5:$A$8,0))+INDEX('分群統計'!$G$5:$G$8,MATCH(X242,'分群統計'!$A$5:$A$8,0))*AU242,""),""),"")</f>
        <v/>
      </c>
      <c r="AK242" s="34">
        <f>IF(ISNUMBER(AJ242),N242-AJ242,"")</f>
        <v/>
      </c>
      <c r="AL242" s="21">
        <f>IF(ISNUMBER(AJ242),IF(AJ242&gt;0,AK242/AJ242,""),"")</f>
        <v/>
      </c>
      <c r="AM242" s="31">
        <f>IF(AY242&lt;&gt;1,"",IFERROR(IF(INDEX('分群統計'!$K$5:$K$8,MATCH(X242,'分群統計'!$A$5:$A$8,0))&lt;3,"",IF(INDEX('分群統計'!$M$5:$M$8,MATCH(X242,'分群統計'!$A$5:$A$8,0))&gt;0,MAX(-3,MIN(3,(AX242-INDEX('分群統計'!$L$5:$L$8,MATCH(X242,'分群統計'!$A$5:$A$8,0)))/INDEX('分群統計'!$M$5:$M$8,MATCH(X242,'分群統計'!$A$5:$A$8,0)))),0)),""))</f>
        <v/>
      </c>
      <c r="AN242" s="31">
        <f>IF(ISNUMBER(AB242),IF(Z242&gt;0,AB242/Z242*100,""),"")</f>
        <v/>
      </c>
      <c r="AO242" s="31">
        <f>IF(BA242&lt;&gt;1,"",IFERROR(IF(INDEX('分群統計'!$N$5:$N$8,MATCH(X242,'分群統計'!$A$5:$A$8,0))&lt;3,"",IF(INDEX('分群統計'!$P$5:$P$8,MATCH(X242,'分群統計'!$A$5:$A$8,0))&gt;0,MAX(-3,MIN(3,(AZ242-INDEX('分群統計'!$O$5:$O$8,MATCH(X242,'分群統計'!$A$5:$A$8,0)))/INDEX('分群統計'!$P$5:$P$8,MATCH(X242,'分群統計'!$A$5:$A$8,0)))),0)),""))</f>
        <v/>
      </c>
      <c r="AP242" s="31">
        <f>IF(BC242&lt;&gt;1,"",IFERROR(IF(INDEX('分群統計'!$Q$5:$Q$8,MATCH(X242,'分群統計'!$A$5:$A$8,0))&lt;3,"",IF(INDEX('分群統計'!$S$5:$S$8,MATCH(X242,'分群統計'!$A$5:$A$8,0))&gt;0,MAX(-3,MIN(3,(BB242-INDEX('分群統計'!$R$5:$R$8,MATCH(X242,'分群統計'!$A$5:$A$8,0)))/INDEX('分群統計'!$S$5:$S$8,MATCH(X242,'分群統計'!$A$5:$A$8,0)))),0)),""))</f>
        <v/>
      </c>
      <c r="AQ242" s="31">
        <f>IF(Y242=1,(IF(ISNUMBER(AF242),AF242,0)*'參數'!$B$13+IF(ISNUMBER(AM242),AM242,0)*'參數'!$B$14+IF(ISNUMBER(AO242),AO242,0)*'參數'!$B$15+IF(ISNUMBER(AP242),AP242,0)*'參數'!$B$16)/('參數'!$B$13+'參數'!$B$14+'參數'!$B$15+'參數'!$B$16),"")</f>
        <v/>
      </c>
      <c r="AR242" s="35">
        <f>IF(Y242=1,(SUMPRODUCT(($X$5:$X$404=X242)*($Y$5:$Y$404=1)*($BD$5:$BD$404&gt;BD242))+1)/COUNTIFS($X$5:$X$404,X242,$Y$5:$Y$404,1),"")</f>
        <v/>
      </c>
      <c r="AS242" s="8">
        <f>IF(ISNUMBER(AR242),IF(AR242&lt;='參數'!$B$18,"加碼候選",IF(AR242&gt;'參數'!$B$19,"減碼候選","")),"")</f>
        <v/>
      </c>
      <c r="AT242" s="7">
        <f>IF(Y242=1,N242,0)</f>
        <v/>
      </c>
      <c r="AU242" s="7">
        <f>IF(Y242=1,LN(O242),0)</f>
        <v/>
      </c>
      <c r="AV242" s="36">
        <f>IF(Y242=1,IF(ISNUMBER(F242),F242,0),0)</f>
        <v/>
      </c>
      <c r="AW242" s="7">
        <f>IF(Y242=1,Z242,0)</f>
        <v/>
      </c>
      <c r="AX242" s="7">
        <f>IF(Y242=1,IF(ISNUMBER(AL242),AL242,0),0)</f>
        <v/>
      </c>
      <c r="AY242" s="7">
        <f>IF(Y242=1,IF(ISNUMBER(AL242),1,0),0)</f>
        <v/>
      </c>
      <c r="AZ242" s="7">
        <f>IF(Y242=1,IF(ISNUMBER(AN242),AN242,0),0)</f>
        <v/>
      </c>
      <c r="BA242" s="7">
        <f>IF(Y242=1,IF(ISNUMBER(AN242),1,0),0)</f>
        <v/>
      </c>
      <c r="BB242" s="7">
        <f>IF(Y242=1,IF(ISNUMBER(T242),T242,0),0)</f>
        <v/>
      </c>
      <c r="BC242" s="7">
        <f>IF(Y242=1,IF(ISNUMBER(T242),1,0),0)</f>
        <v/>
      </c>
      <c r="BD242" s="7">
        <f>IF(Y242=1,AQ242+ROW()/1E9,-1E9)</f>
        <v/>
      </c>
      <c r="BE242" s="7">
        <f>IF(Y242=1,AQ242+ROW()/1E9,1E9)</f>
        <v/>
      </c>
    </row>
    <row r="243">
      <c r="A243" s="16" t="n"/>
      <c r="B243" s="8">
        <f>IF($A243="","",BDP($A243,B$3))</f>
        <v/>
      </c>
      <c r="C243" s="8">
        <f>IF($A243="","",BDP($A243,C$3))</f>
        <v/>
      </c>
      <c r="D243" s="28">
        <f>IF($A243="","",BDP($A243,D$3))</f>
        <v/>
      </c>
      <c r="E243" s="29">
        <f>IF($A243="","",BDP($A243,E$3))</f>
        <v/>
      </c>
      <c r="F243" s="17">
        <f>IF($A243="","",BDP($A243,F$3))</f>
        <v/>
      </c>
      <c r="G243" s="8">
        <f>IF($A243="","",BDP($A243,G$3))</f>
        <v/>
      </c>
      <c r="H243" s="8">
        <f>IF($A243="","",BDP($A243,H$3))</f>
        <v/>
      </c>
      <c r="I243" s="8">
        <f>IF($A243="","",BDP($A243,I$3))</f>
        <v/>
      </c>
      <c r="J243" s="8">
        <f>IF($A243="","",BDP($A243,J$3))</f>
        <v/>
      </c>
      <c r="K243" s="8">
        <f>IF($A243="","",BDP($A243,K$3))</f>
        <v/>
      </c>
      <c r="L243" s="28">
        <f>IF($A243="","",BDP($A243,L$3))</f>
        <v/>
      </c>
      <c r="M243" s="28">
        <f>IF($A243="","",BDP($A243,M$3))</f>
        <v/>
      </c>
      <c r="N243" s="30">
        <f>IF($A243="","",BDP($A243,N$3))</f>
        <v/>
      </c>
      <c r="O243" s="31">
        <f>IF($A243="","",BDP($A243,O$3))</f>
        <v/>
      </c>
      <c r="P243" s="30">
        <f>IF($A243="","",BDH($A243,$N$3,'參數'!$B$5,'參數'!$B$5,"Days=A","Fill=P","Dates=H"))</f>
        <v/>
      </c>
      <c r="Q243" s="30">
        <f>IF($A243="","",BDH($A243,$N$3,'參數'!$B$6,'參數'!$B$6,"Days=A","Fill=P","Dates=H"))</f>
        <v/>
      </c>
      <c r="R243" s="30">
        <f>IF($A243="","",BDH($A243,$N$3,'參數'!$B$7,'參數'!$B$7,"Days=A","Fill=P","Dates=H"))</f>
        <v/>
      </c>
      <c r="S243" s="32">
        <f>IF($A243="","",IFERROR(INDEX('發行人'!$A$5:$A$44,MATCH(B243,'發行人'!$D$5:$D$44,0)),"未對應"))</f>
        <v/>
      </c>
      <c r="T243" s="24">
        <f>IF($A243="","",IFERROR(INDEX('發行人'!$G$5:$G$44,MATCH(B243,'發行人'!$D$5:$D$44,0))+0,""))</f>
        <v/>
      </c>
      <c r="U243" s="18">
        <f>IF(ISNUMBER(E243),YEARFRAC('參數'!$B$4,E243),"")</f>
        <v/>
      </c>
      <c r="V243" s="8">
        <f>IF(U243="","",IF(U243&lt;3,"1-3y",IF(U243&lt;5,"3-5y",IF(U243&lt;7,"5-7y",IF(U243&lt;10,"7-10y","10y+")))))</f>
        <v/>
      </c>
      <c r="W243" s="30">
        <f>IF($A243="","",IFERROR(INDEX('參數'!$B$24:$B$45,MATCH(G243,'參數'!$A$24:$A$45,0)),""))</f>
        <v/>
      </c>
      <c r="X243" s="8">
        <f>IF($A243="","",IFERROR(INDEX('參數'!$C$24:$C$45,MATCH(G243,'參數'!$A$24:$A$45,0)),""))</f>
        <v/>
      </c>
      <c r="Y243" s="30">
        <f>IF(AND(ISNUMBER(N243),ISNUMBER(O243),ISNUMBER(U243)),IF(AND(O243&gt;0,X243&lt;&gt;""),1,0),0)</f>
        <v/>
      </c>
      <c r="Z243" s="17">
        <f>IF(Y243=1,O243*N243,"")</f>
        <v/>
      </c>
      <c r="AA243" s="33">
        <f>IF(Y243=1,IF(ISNUMBER(Q243),N243-Q243,""),"")</f>
        <v/>
      </c>
      <c r="AB243" s="33">
        <f>IF(Y243=1,IF(AND(ISNUMBER(P243),ISNUMBER(R243)),R243*5/12-O243*(P243-R243),""),"")</f>
        <v/>
      </c>
      <c r="AC243" s="30">
        <f>IF(Y243=1,COUNTIFS($X$5:$X$404,X243,$V$5:$V$404,V243,$Y$5:$Y$404,1),"")</f>
        <v/>
      </c>
      <c r="AD243" s="30">
        <f>IF(Y243=1,IFERROR(IF(AC243&gt;='參數'!$B$9,INDEX('分群統計'!$G$13:$K$16,MATCH(X243,'分群統計'!$A$13:$A$16,0),MATCH(V243,'分群統計'!$G$12:$K$12,0)),INDEX('分群統計'!$I$5:$I$8,MATCH(X243,'分群統計'!$A$5:$A$8,0))),""),"")</f>
        <v/>
      </c>
      <c r="AE243" s="18">
        <f>IF(Y243=1,IFERROR(IF(AC243&gt;='參數'!$B$9,INDEX('分群統計'!$L$13:$P$16,MATCH(X243,'分群統計'!$A$13:$A$16,0),MATCH(V243,'分群統計'!$L$12:$P$12,0)),INDEX('分群統計'!$J$5:$J$8,MATCH(X243,'分群統計'!$A$5:$A$8,0))),""),"")</f>
        <v/>
      </c>
      <c r="AF243" s="31">
        <f>IF(ISNUMBER(AE243),IF(AE243&gt;0,MAX(-3,MIN(3,(N243-AD243)/AE243)),0),"")</f>
        <v/>
      </c>
      <c r="AG243" s="30">
        <f>IF(Y243=1,COUNTIFS($B$5:$B$404,B243,$Y$5:$Y$404,1),"")</f>
        <v/>
      </c>
      <c r="AH243" s="30">
        <f>IF(Y243=1,IFERROR(IF(ISNUMBER(INDEX('分群統計'!$G$20:$G$59,MATCH(B243,'分群統計'!$A$20:$A$59,0))),INDEX('分群統計'!$H$20:$H$59,MATCH(B243,'分群統計'!$A$20:$A$59,0))+INDEX('分群統計'!$G$20:$G$59,MATCH(B243,'分群統計'!$A$20:$A$59,0))*AU243,""),""),"")</f>
        <v/>
      </c>
      <c r="AI243" s="34">
        <f>IF(ISNUMBER(AH243),N243-AH243,"")</f>
        <v/>
      </c>
      <c r="AJ243" s="30">
        <f>IF(Y243=1,IFERROR(IF(ISNUMBER(INDEX('分群統計'!$G$5:$G$8,MATCH(X243,'分群統計'!$A$5:$A$8,0))),INDEX('分群統計'!$H$5:$H$8,MATCH(X243,'分群統計'!$A$5:$A$8,0))+INDEX('分群統計'!$G$5:$G$8,MATCH(X243,'分群統計'!$A$5:$A$8,0))*AU243,""),""),"")</f>
        <v/>
      </c>
      <c r="AK243" s="34">
        <f>IF(ISNUMBER(AJ243),N243-AJ243,"")</f>
        <v/>
      </c>
      <c r="AL243" s="21">
        <f>IF(ISNUMBER(AJ243),IF(AJ243&gt;0,AK243/AJ243,""),"")</f>
        <v/>
      </c>
      <c r="AM243" s="31">
        <f>IF(AY243&lt;&gt;1,"",IFERROR(IF(INDEX('分群統計'!$K$5:$K$8,MATCH(X243,'分群統計'!$A$5:$A$8,0))&lt;3,"",IF(INDEX('分群統計'!$M$5:$M$8,MATCH(X243,'分群統計'!$A$5:$A$8,0))&gt;0,MAX(-3,MIN(3,(AX243-INDEX('分群統計'!$L$5:$L$8,MATCH(X243,'分群統計'!$A$5:$A$8,0)))/INDEX('分群統計'!$M$5:$M$8,MATCH(X243,'分群統計'!$A$5:$A$8,0)))),0)),""))</f>
        <v/>
      </c>
      <c r="AN243" s="31">
        <f>IF(ISNUMBER(AB243),IF(Z243&gt;0,AB243/Z243*100,""),"")</f>
        <v/>
      </c>
      <c r="AO243" s="31">
        <f>IF(BA243&lt;&gt;1,"",IFERROR(IF(INDEX('分群統計'!$N$5:$N$8,MATCH(X243,'分群統計'!$A$5:$A$8,0))&lt;3,"",IF(INDEX('分群統計'!$P$5:$P$8,MATCH(X243,'分群統計'!$A$5:$A$8,0))&gt;0,MAX(-3,MIN(3,(AZ243-INDEX('分群統計'!$O$5:$O$8,MATCH(X243,'分群統計'!$A$5:$A$8,0)))/INDEX('分群統計'!$P$5:$P$8,MATCH(X243,'分群統計'!$A$5:$A$8,0)))),0)),""))</f>
        <v/>
      </c>
      <c r="AP243" s="31">
        <f>IF(BC243&lt;&gt;1,"",IFERROR(IF(INDEX('分群統計'!$Q$5:$Q$8,MATCH(X243,'分群統計'!$A$5:$A$8,0))&lt;3,"",IF(INDEX('分群統計'!$S$5:$S$8,MATCH(X243,'分群統計'!$A$5:$A$8,0))&gt;0,MAX(-3,MIN(3,(BB243-INDEX('分群統計'!$R$5:$R$8,MATCH(X243,'分群統計'!$A$5:$A$8,0)))/INDEX('分群統計'!$S$5:$S$8,MATCH(X243,'分群統計'!$A$5:$A$8,0)))),0)),""))</f>
        <v/>
      </c>
      <c r="AQ243" s="31">
        <f>IF(Y243=1,(IF(ISNUMBER(AF243),AF243,0)*'參數'!$B$13+IF(ISNUMBER(AM243),AM243,0)*'參數'!$B$14+IF(ISNUMBER(AO243),AO243,0)*'參數'!$B$15+IF(ISNUMBER(AP243),AP243,0)*'參數'!$B$16)/('參數'!$B$13+'參數'!$B$14+'參數'!$B$15+'參數'!$B$16),"")</f>
        <v/>
      </c>
      <c r="AR243" s="35">
        <f>IF(Y243=1,(SUMPRODUCT(($X$5:$X$404=X243)*($Y$5:$Y$404=1)*($BD$5:$BD$404&gt;BD243))+1)/COUNTIFS($X$5:$X$404,X243,$Y$5:$Y$404,1),"")</f>
        <v/>
      </c>
      <c r="AS243" s="8">
        <f>IF(ISNUMBER(AR243),IF(AR243&lt;='參數'!$B$18,"加碼候選",IF(AR243&gt;'參數'!$B$19,"減碼候選","")),"")</f>
        <v/>
      </c>
      <c r="AT243" s="7">
        <f>IF(Y243=1,N243,0)</f>
        <v/>
      </c>
      <c r="AU243" s="7">
        <f>IF(Y243=1,LN(O243),0)</f>
        <v/>
      </c>
      <c r="AV243" s="36">
        <f>IF(Y243=1,IF(ISNUMBER(F243),F243,0),0)</f>
        <v/>
      </c>
      <c r="AW243" s="7">
        <f>IF(Y243=1,Z243,0)</f>
        <v/>
      </c>
      <c r="AX243" s="7">
        <f>IF(Y243=1,IF(ISNUMBER(AL243),AL243,0),0)</f>
        <v/>
      </c>
      <c r="AY243" s="7">
        <f>IF(Y243=1,IF(ISNUMBER(AL243),1,0),0)</f>
        <v/>
      </c>
      <c r="AZ243" s="7">
        <f>IF(Y243=1,IF(ISNUMBER(AN243),AN243,0),0)</f>
        <v/>
      </c>
      <c r="BA243" s="7">
        <f>IF(Y243=1,IF(ISNUMBER(AN243),1,0),0)</f>
        <v/>
      </c>
      <c r="BB243" s="7">
        <f>IF(Y243=1,IF(ISNUMBER(T243),T243,0),0)</f>
        <v/>
      </c>
      <c r="BC243" s="7">
        <f>IF(Y243=1,IF(ISNUMBER(T243),1,0),0)</f>
        <v/>
      </c>
      <c r="BD243" s="7">
        <f>IF(Y243=1,AQ243+ROW()/1E9,-1E9)</f>
        <v/>
      </c>
      <c r="BE243" s="7">
        <f>IF(Y243=1,AQ243+ROW()/1E9,1E9)</f>
        <v/>
      </c>
    </row>
    <row r="244">
      <c r="A244" s="16" t="n"/>
      <c r="B244" s="8">
        <f>IF($A244="","",BDP($A244,B$3))</f>
        <v/>
      </c>
      <c r="C244" s="8">
        <f>IF($A244="","",BDP($A244,C$3))</f>
        <v/>
      </c>
      <c r="D244" s="28">
        <f>IF($A244="","",BDP($A244,D$3))</f>
        <v/>
      </c>
      <c r="E244" s="29">
        <f>IF($A244="","",BDP($A244,E$3))</f>
        <v/>
      </c>
      <c r="F244" s="17">
        <f>IF($A244="","",BDP($A244,F$3))</f>
        <v/>
      </c>
      <c r="G244" s="8">
        <f>IF($A244="","",BDP($A244,G$3))</f>
        <v/>
      </c>
      <c r="H244" s="8">
        <f>IF($A244="","",BDP($A244,H$3))</f>
        <v/>
      </c>
      <c r="I244" s="8">
        <f>IF($A244="","",BDP($A244,I$3))</f>
        <v/>
      </c>
      <c r="J244" s="8">
        <f>IF($A244="","",BDP($A244,J$3))</f>
        <v/>
      </c>
      <c r="K244" s="8">
        <f>IF($A244="","",BDP($A244,K$3))</f>
        <v/>
      </c>
      <c r="L244" s="28">
        <f>IF($A244="","",BDP($A244,L$3))</f>
        <v/>
      </c>
      <c r="M244" s="28">
        <f>IF($A244="","",BDP($A244,M$3))</f>
        <v/>
      </c>
      <c r="N244" s="30">
        <f>IF($A244="","",BDP($A244,N$3))</f>
        <v/>
      </c>
      <c r="O244" s="31">
        <f>IF($A244="","",BDP($A244,O$3))</f>
        <v/>
      </c>
      <c r="P244" s="30">
        <f>IF($A244="","",BDH($A244,$N$3,'參數'!$B$5,'參數'!$B$5,"Days=A","Fill=P","Dates=H"))</f>
        <v/>
      </c>
      <c r="Q244" s="30">
        <f>IF($A244="","",BDH($A244,$N$3,'參數'!$B$6,'參數'!$B$6,"Days=A","Fill=P","Dates=H"))</f>
        <v/>
      </c>
      <c r="R244" s="30">
        <f>IF($A244="","",BDH($A244,$N$3,'參數'!$B$7,'參數'!$B$7,"Days=A","Fill=P","Dates=H"))</f>
        <v/>
      </c>
      <c r="S244" s="32">
        <f>IF($A244="","",IFERROR(INDEX('發行人'!$A$5:$A$44,MATCH(B244,'發行人'!$D$5:$D$44,0)),"未對應"))</f>
        <v/>
      </c>
      <c r="T244" s="24">
        <f>IF($A244="","",IFERROR(INDEX('發行人'!$G$5:$G$44,MATCH(B244,'發行人'!$D$5:$D$44,0))+0,""))</f>
        <v/>
      </c>
      <c r="U244" s="18">
        <f>IF(ISNUMBER(E244),YEARFRAC('參數'!$B$4,E244),"")</f>
        <v/>
      </c>
      <c r="V244" s="8">
        <f>IF(U244="","",IF(U244&lt;3,"1-3y",IF(U244&lt;5,"3-5y",IF(U244&lt;7,"5-7y",IF(U244&lt;10,"7-10y","10y+")))))</f>
        <v/>
      </c>
      <c r="W244" s="30">
        <f>IF($A244="","",IFERROR(INDEX('參數'!$B$24:$B$45,MATCH(G244,'參數'!$A$24:$A$45,0)),""))</f>
        <v/>
      </c>
      <c r="X244" s="8">
        <f>IF($A244="","",IFERROR(INDEX('參數'!$C$24:$C$45,MATCH(G244,'參數'!$A$24:$A$45,0)),""))</f>
        <v/>
      </c>
      <c r="Y244" s="30">
        <f>IF(AND(ISNUMBER(N244),ISNUMBER(O244),ISNUMBER(U244)),IF(AND(O244&gt;0,X244&lt;&gt;""),1,0),0)</f>
        <v/>
      </c>
      <c r="Z244" s="17">
        <f>IF(Y244=1,O244*N244,"")</f>
        <v/>
      </c>
      <c r="AA244" s="33">
        <f>IF(Y244=1,IF(ISNUMBER(Q244),N244-Q244,""),"")</f>
        <v/>
      </c>
      <c r="AB244" s="33">
        <f>IF(Y244=1,IF(AND(ISNUMBER(P244),ISNUMBER(R244)),R244*5/12-O244*(P244-R244),""),"")</f>
        <v/>
      </c>
      <c r="AC244" s="30">
        <f>IF(Y244=1,COUNTIFS($X$5:$X$404,X244,$V$5:$V$404,V244,$Y$5:$Y$404,1),"")</f>
        <v/>
      </c>
      <c r="AD244" s="30">
        <f>IF(Y244=1,IFERROR(IF(AC244&gt;='參數'!$B$9,INDEX('分群統計'!$G$13:$K$16,MATCH(X244,'分群統計'!$A$13:$A$16,0),MATCH(V244,'分群統計'!$G$12:$K$12,0)),INDEX('分群統計'!$I$5:$I$8,MATCH(X244,'分群統計'!$A$5:$A$8,0))),""),"")</f>
        <v/>
      </c>
      <c r="AE244" s="18">
        <f>IF(Y244=1,IFERROR(IF(AC244&gt;='參數'!$B$9,INDEX('分群統計'!$L$13:$P$16,MATCH(X244,'分群統計'!$A$13:$A$16,0),MATCH(V244,'分群統計'!$L$12:$P$12,0)),INDEX('分群統計'!$J$5:$J$8,MATCH(X244,'分群統計'!$A$5:$A$8,0))),""),"")</f>
        <v/>
      </c>
      <c r="AF244" s="31">
        <f>IF(ISNUMBER(AE244),IF(AE244&gt;0,MAX(-3,MIN(3,(N244-AD244)/AE244)),0),"")</f>
        <v/>
      </c>
      <c r="AG244" s="30">
        <f>IF(Y244=1,COUNTIFS($B$5:$B$404,B244,$Y$5:$Y$404,1),"")</f>
        <v/>
      </c>
      <c r="AH244" s="30">
        <f>IF(Y244=1,IFERROR(IF(ISNUMBER(INDEX('分群統計'!$G$20:$G$59,MATCH(B244,'分群統計'!$A$20:$A$59,0))),INDEX('分群統計'!$H$20:$H$59,MATCH(B244,'分群統計'!$A$20:$A$59,0))+INDEX('分群統計'!$G$20:$G$59,MATCH(B244,'分群統計'!$A$20:$A$59,0))*AU244,""),""),"")</f>
        <v/>
      </c>
      <c r="AI244" s="34">
        <f>IF(ISNUMBER(AH244),N244-AH244,"")</f>
        <v/>
      </c>
      <c r="AJ244" s="30">
        <f>IF(Y244=1,IFERROR(IF(ISNUMBER(INDEX('分群統計'!$G$5:$G$8,MATCH(X244,'分群統計'!$A$5:$A$8,0))),INDEX('分群統計'!$H$5:$H$8,MATCH(X244,'分群統計'!$A$5:$A$8,0))+INDEX('分群統計'!$G$5:$G$8,MATCH(X244,'分群統計'!$A$5:$A$8,0))*AU244,""),""),"")</f>
        <v/>
      </c>
      <c r="AK244" s="34">
        <f>IF(ISNUMBER(AJ244),N244-AJ244,"")</f>
        <v/>
      </c>
      <c r="AL244" s="21">
        <f>IF(ISNUMBER(AJ244),IF(AJ244&gt;0,AK244/AJ244,""),"")</f>
        <v/>
      </c>
      <c r="AM244" s="31">
        <f>IF(AY244&lt;&gt;1,"",IFERROR(IF(INDEX('分群統計'!$K$5:$K$8,MATCH(X244,'分群統計'!$A$5:$A$8,0))&lt;3,"",IF(INDEX('分群統計'!$M$5:$M$8,MATCH(X244,'分群統計'!$A$5:$A$8,0))&gt;0,MAX(-3,MIN(3,(AX244-INDEX('分群統計'!$L$5:$L$8,MATCH(X244,'分群統計'!$A$5:$A$8,0)))/INDEX('分群統計'!$M$5:$M$8,MATCH(X244,'分群統計'!$A$5:$A$8,0)))),0)),""))</f>
        <v/>
      </c>
      <c r="AN244" s="31">
        <f>IF(ISNUMBER(AB244),IF(Z244&gt;0,AB244/Z244*100,""),"")</f>
        <v/>
      </c>
      <c r="AO244" s="31">
        <f>IF(BA244&lt;&gt;1,"",IFERROR(IF(INDEX('分群統計'!$N$5:$N$8,MATCH(X244,'分群統計'!$A$5:$A$8,0))&lt;3,"",IF(INDEX('分群統計'!$P$5:$P$8,MATCH(X244,'分群統計'!$A$5:$A$8,0))&gt;0,MAX(-3,MIN(3,(AZ244-INDEX('分群統計'!$O$5:$O$8,MATCH(X244,'分群統計'!$A$5:$A$8,0)))/INDEX('分群統計'!$P$5:$P$8,MATCH(X244,'分群統計'!$A$5:$A$8,0)))),0)),""))</f>
        <v/>
      </c>
      <c r="AP244" s="31">
        <f>IF(BC244&lt;&gt;1,"",IFERROR(IF(INDEX('分群統計'!$Q$5:$Q$8,MATCH(X244,'分群統計'!$A$5:$A$8,0))&lt;3,"",IF(INDEX('分群統計'!$S$5:$S$8,MATCH(X244,'分群統計'!$A$5:$A$8,0))&gt;0,MAX(-3,MIN(3,(BB244-INDEX('分群統計'!$R$5:$R$8,MATCH(X244,'分群統計'!$A$5:$A$8,0)))/INDEX('分群統計'!$S$5:$S$8,MATCH(X244,'分群統計'!$A$5:$A$8,0)))),0)),""))</f>
        <v/>
      </c>
      <c r="AQ244" s="31">
        <f>IF(Y244=1,(IF(ISNUMBER(AF244),AF244,0)*'參數'!$B$13+IF(ISNUMBER(AM244),AM244,0)*'參數'!$B$14+IF(ISNUMBER(AO244),AO244,0)*'參數'!$B$15+IF(ISNUMBER(AP244),AP244,0)*'參數'!$B$16)/('參數'!$B$13+'參數'!$B$14+'參數'!$B$15+'參數'!$B$16),"")</f>
        <v/>
      </c>
      <c r="AR244" s="35">
        <f>IF(Y244=1,(SUMPRODUCT(($X$5:$X$404=X244)*($Y$5:$Y$404=1)*($BD$5:$BD$404&gt;BD244))+1)/COUNTIFS($X$5:$X$404,X244,$Y$5:$Y$404,1),"")</f>
        <v/>
      </c>
      <c r="AS244" s="8">
        <f>IF(ISNUMBER(AR244),IF(AR244&lt;='參數'!$B$18,"加碼候選",IF(AR244&gt;'參數'!$B$19,"減碼候選","")),"")</f>
        <v/>
      </c>
      <c r="AT244" s="7">
        <f>IF(Y244=1,N244,0)</f>
        <v/>
      </c>
      <c r="AU244" s="7">
        <f>IF(Y244=1,LN(O244),0)</f>
        <v/>
      </c>
      <c r="AV244" s="36">
        <f>IF(Y244=1,IF(ISNUMBER(F244),F244,0),0)</f>
        <v/>
      </c>
      <c r="AW244" s="7">
        <f>IF(Y244=1,Z244,0)</f>
        <v/>
      </c>
      <c r="AX244" s="7">
        <f>IF(Y244=1,IF(ISNUMBER(AL244),AL244,0),0)</f>
        <v/>
      </c>
      <c r="AY244" s="7">
        <f>IF(Y244=1,IF(ISNUMBER(AL244),1,0),0)</f>
        <v/>
      </c>
      <c r="AZ244" s="7">
        <f>IF(Y244=1,IF(ISNUMBER(AN244),AN244,0),0)</f>
        <v/>
      </c>
      <c r="BA244" s="7">
        <f>IF(Y244=1,IF(ISNUMBER(AN244),1,0),0)</f>
        <v/>
      </c>
      <c r="BB244" s="7">
        <f>IF(Y244=1,IF(ISNUMBER(T244),T244,0),0)</f>
        <v/>
      </c>
      <c r="BC244" s="7">
        <f>IF(Y244=1,IF(ISNUMBER(T244),1,0),0)</f>
        <v/>
      </c>
      <c r="BD244" s="7">
        <f>IF(Y244=1,AQ244+ROW()/1E9,-1E9)</f>
        <v/>
      </c>
      <c r="BE244" s="7">
        <f>IF(Y244=1,AQ244+ROW()/1E9,1E9)</f>
        <v/>
      </c>
    </row>
    <row r="245">
      <c r="A245" s="16" t="n"/>
      <c r="B245" s="8">
        <f>IF($A245="","",BDP($A245,B$3))</f>
        <v/>
      </c>
      <c r="C245" s="8">
        <f>IF($A245="","",BDP($A245,C$3))</f>
        <v/>
      </c>
      <c r="D245" s="28">
        <f>IF($A245="","",BDP($A245,D$3))</f>
        <v/>
      </c>
      <c r="E245" s="29">
        <f>IF($A245="","",BDP($A245,E$3))</f>
        <v/>
      </c>
      <c r="F245" s="17">
        <f>IF($A245="","",BDP($A245,F$3))</f>
        <v/>
      </c>
      <c r="G245" s="8">
        <f>IF($A245="","",BDP($A245,G$3))</f>
        <v/>
      </c>
      <c r="H245" s="8">
        <f>IF($A245="","",BDP($A245,H$3))</f>
        <v/>
      </c>
      <c r="I245" s="8">
        <f>IF($A245="","",BDP($A245,I$3))</f>
        <v/>
      </c>
      <c r="J245" s="8">
        <f>IF($A245="","",BDP($A245,J$3))</f>
        <v/>
      </c>
      <c r="K245" s="8">
        <f>IF($A245="","",BDP($A245,K$3))</f>
        <v/>
      </c>
      <c r="L245" s="28">
        <f>IF($A245="","",BDP($A245,L$3))</f>
        <v/>
      </c>
      <c r="M245" s="28">
        <f>IF($A245="","",BDP($A245,M$3))</f>
        <v/>
      </c>
      <c r="N245" s="30">
        <f>IF($A245="","",BDP($A245,N$3))</f>
        <v/>
      </c>
      <c r="O245" s="31">
        <f>IF($A245="","",BDP($A245,O$3))</f>
        <v/>
      </c>
      <c r="P245" s="30">
        <f>IF($A245="","",BDH($A245,$N$3,'參數'!$B$5,'參數'!$B$5,"Days=A","Fill=P","Dates=H"))</f>
        <v/>
      </c>
      <c r="Q245" s="30">
        <f>IF($A245="","",BDH($A245,$N$3,'參數'!$B$6,'參數'!$B$6,"Days=A","Fill=P","Dates=H"))</f>
        <v/>
      </c>
      <c r="R245" s="30">
        <f>IF($A245="","",BDH($A245,$N$3,'參數'!$B$7,'參數'!$B$7,"Days=A","Fill=P","Dates=H"))</f>
        <v/>
      </c>
      <c r="S245" s="32">
        <f>IF($A245="","",IFERROR(INDEX('發行人'!$A$5:$A$44,MATCH(B245,'發行人'!$D$5:$D$44,0)),"未對應"))</f>
        <v/>
      </c>
      <c r="T245" s="24">
        <f>IF($A245="","",IFERROR(INDEX('發行人'!$G$5:$G$44,MATCH(B245,'發行人'!$D$5:$D$44,0))+0,""))</f>
        <v/>
      </c>
      <c r="U245" s="18">
        <f>IF(ISNUMBER(E245),YEARFRAC('參數'!$B$4,E245),"")</f>
        <v/>
      </c>
      <c r="V245" s="8">
        <f>IF(U245="","",IF(U245&lt;3,"1-3y",IF(U245&lt;5,"3-5y",IF(U245&lt;7,"5-7y",IF(U245&lt;10,"7-10y","10y+")))))</f>
        <v/>
      </c>
      <c r="W245" s="30">
        <f>IF($A245="","",IFERROR(INDEX('參數'!$B$24:$B$45,MATCH(G245,'參數'!$A$24:$A$45,0)),""))</f>
        <v/>
      </c>
      <c r="X245" s="8">
        <f>IF($A245="","",IFERROR(INDEX('參數'!$C$24:$C$45,MATCH(G245,'參數'!$A$24:$A$45,0)),""))</f>
        <v/>
      </c>
      <c r="Y245" s="30">
        <f>IF(AND(ISNUMBER(N245),ISNUMBER(O245),ISNUMBER(U245)),IF(AND(O245&gt;0,X245&lt;&gt;""),1,0),0)</f>
        <v/>
      </c>
      <c r="Z245" s="17">
        <f>IF(Y245=1,O245*N245,"")</f>
        <v/>
      </c>
      <c r="AA245" s="33">
        <f>IF(Y245=1,IF(ISNUMBER(Q245),N245-Q245,""),"")</f>
        <v/>
      </c>
      <c r="AB245" s="33">
        <f>IF(Y245=1,IF(AND(ISNUMBER(P245),ISNUMBER(R245)),R245*5/12-O245*(P245-R245),""),"")</f>
        <v/>
      </c>
      <c r="AC245" s="30">
        <f>IF(Y245=1,COUNTIFS($X$5:$X$404,X245,$V$5:$V$404,V245,$Y$5:$Y$404,1),"")</f>
        <v/>
      </c>
      <c r="AD245" s="30">
        <f>IF(Y245=1,IFERROR(IF(AC245&gt;='參數'!$B$9,INDEX('分群統計'!$G$13:$K$16,MATCH(X245,'分群統計'!$A$13:$A$16,0),MATCH(V245,'分群統計'!$G$12:$K$12,0)),INDEX('分群統計'!$I$5:$I$8,MATCH(X245,'分群統計'!$A$5:$A$8,0))),""),"")</f>
        <v/>
      </c>
      <c r="AE245" s="18">
        <f>IF(Y245=1,IFERROR(IF(AC245&gt;='參數'!$B$9,INDEX('分群統計'!$L$13:$P$16,MATCH(X245,'分群統計'!$A$13:$A$16,0),MATCH(V245,'分群統計'!$L$12:$P$12,0)),INDEX('分群統計'!$J$5:$J$8,MATCH(X245,'分群統計'!$A$5:$A$8,0))),""),"")</f>
        <v/>
      </c>
      <c r="AF245" s="31">
        <f>IF(ISNUMBER(AE245),IF(AE245&gt;0,MAX(-3,MIN(3,(N245-AD245)/AE245)),0),"")</f>
        <v/>
      </c>
      <c r="AG245" s="30">
        <f>IF(Y245=1,COUNTIFS($B$5:$B$404,B245,$Y$5:$Y$404,1),"")</f>
        <v/>
      </c>
      <c r="AH245" s="30">
        <f>IF(Y245=1,IFERROR(IF(ISNUMBER(INDEX('分群統計'!$G$20:$G$59,MATCH(B245,'分群統計'!$A$20:$A$59,0))),INDEX('分群統計'!$H$20:$H$59,MATCH(B245,'分群統計'!$A$20:$A$59,0))+INDEX('分群統計'!$G$20:$G$59,MATCH(B245,'分群統計'!$A$20:$A$59,0))*AU245,""),""),"")</f>
        <v/>
      </c>
      <c r="AI245" s="34">
        <f>IF(ISNUMBER(AH245),N245-AH245,"")</f>
        <v/>
      </c>
      <c r="AJ245" s="30">
        <f>IF(Y245=1,IFERROR(IF(ISNUMBER(INDEX('分群統計'!$G$5:$G$8,MATCH(X245,'分群統計'!$A$5:$A$8,0))),INDEX('分群統計'!$H$5:$H$8,MATCH(X245,'分群統計'!$A$5:$A$8,0))+INDEX('分群統計'!$G$5:$G$8,MATCH(X245,'分群統計'!$A$5:$A$8,0))*AU245,""),""),"")</f>
        <v/>
      </c>
      <c r="AK245" s="34">
        <f>IF(ISNUMBER(AJ245),N245-AJ245,"")</f>
        <v/>
      </c>
      <c r="AL245" s="21">
        <f>IF(ISNUMBER(AJ245),IF(AJ245&gt;0,AK245/AJ245,""),"")</f>
        <v/>
      </c>
      <c r="AM245" s="31">
        <f>IF(AY245&lt;&gt;1,"",IFERROR(IF(INDEX('分群統計'!$K$5:$K$8,MATCH(X245,'分群統計'!$A$5:$A$8,0))&lt;3,"",IF(INDEX('分群統計'!$M$5:$M$8,MATCH(X245,'分群統計'!$A$5:$A$8,0))&gt;0,MAX(-3,MIN(3,(AX245-INDEX('分群統計'!$L$5:$L$8,MATCH(X245,'分群統計'!$A$5:$A$8,0)))/INDEX('分群統計'!$M$5:$M$8,MATCH(X245,'分群統計'!$A$5:$A$8,0)))),0)),""))</f>
        <v/>
      </c>
      <c r="AN245" s="31">
        <f>IF(ISNUMBER(AB245),IF(Z245&gt;0,AB245/Z245*100,""),"")</f>
        <v/>
      </c>
      <c r="AO245" s="31">
        <f>IF(BA245&lt;&gt;1,"",IFERROR(IF(INDEX('分群統計'!$N$5:$N$8,MATCH(X245,'分群統計'!$A$5:$A$8,0))&lt;3,"",IF(INDEX('分群統計'!$P$5:$P$8,MATCH(X245,'分群統計'!$A$5:$A$8,0))&gt;0,MAX(-3,MIN(3,(AZ245-INDEX('分群統計'!$O$5:$O$8,MATCH(X245,'分群統計'!$A$5:$A$8,0)))/INDEX('分群統計'!$P$5:$P$8,MATCH(X245,'分群統計'!$A$5:$A$8,0)))),0)),""))</f>
        <v/>
      </c>
      <c r="AP245" s="31">
        <f>IF(BC245&lt;&gt;1,"",IFERROR(IF(INDEX('分群統計'!$Q$5:$Q$8,MATCH(X245,'分群統計'!$A$5:$A$8,0))&lt;3,"",IF(INDEX('分群統計'!$S$5:$S$8,MATCH(X245,'分群統計'!$A$5:$A$8,0))&gt;0,MAX(-3,MIN(3,(BB245-INDEX('分群統計'!$R$5:$R$8,MATCH(X245,'分群統計'!$A$5:$A$8,0)))/INDEX('分群統計'!$S$5:$S$8,MATCH(X245,'分群統計'!$A$5:$A$8,0)))),0)),""))</f>
        <v/>
      </c>
      <c r="AQ245" s="31">
        <f>IF(Y245=1,(IF(ISNUMBER(AF245),AF245,0)*'參數'!$B$13+IF(ISNUMBER(AM245),AM245,0)*'參數'!$B$14+IF(ISNUMBER(AO245),AO245,0)*'參數'!$B$15+IF(ISNUMBER(AP245),AP245,0)*'參數'!$B$16)/('參數'!$B$13+'參數'!$B$14+'參數'!$B$15+'參數'!$B$16),"")</f>
        <v/>
      </c>
      <c r="AR245" s="35">
        <f>IF(Y245=1,(SUMPRODUCT(($X$5:$X$404=X245)*($Y$5:$Y$404=1)*($BD$5:$BD$404&gt;BD245))+1)/COUNTIFS($X$5:$X$404,X245,$Y$5:$Y$404,1),"")</f>
        <v/>
      </c>
      <c r="AS245" s="8">
        <f>IF(ISNUMBER(AR245),IF(AR245&lt;='參數'!$B$18,"加碼候選",IF(AR245&gt;'參數'!$B$19,"減碼候選","")),"")</f>
        <v/>
      </c>
      <c r="AT245" s="7">
        <f>IF(Y245=1,N245,0)</f>
        <v/>
      </c>
      <c r="AU245" s="7">
        <f>IF(Y245=1,LN(O245),0)</f>
        <v/>
      </c>
      <c r="AV245" s="36">
        <f>IF(Y245=1,IF(ISNUMBER(F245),F245,0),0)</f>
        <v/>
      </c>
      <c r="AW245" s="7">
        <f>IF(Y245=1,Z245,0)</f>
        <v/>
      </c>
      <c r="AX245" s="7">
        <f>IF(Y245=1,IF(ISNUMBER(AL245),AL245,0),0)</f>
        <v/>
      </c>
      <c r="AY245" s="7">
        <f>IF(Y245=1,IF(ISNUMBER(AL245),1,0),0)</f>
        <v/>
      </c>
      <c r="AZ245" s="7">
        <f>IF(Y245=1,IF(ISNUMBER(AN245),AN245,0),0)</f>
        <v/>
      </c>
      <c r="BA245" s="7">
        <f>IF(Y245=1,IF(ISNUMBER(AN245),1,0),0)</f>
        <v/>
      </c>
      <c r="BB245" s="7">
        <f>IF(Y245=1,IF(ISNUMBER(T245),T245,0),0)</f>
        <v/>
      </c>
      <c r="BC245" s="7">
        <f>IF(Y245=1,IF(ISNUMBER(T245),1,0),0)</f>
        <v/>
      </c>
      <c r="BD245" s="7">
        <f>IF(Y245=1,AQ245+ROW()/1E9,-1E9)</f>
        <v/>
      </c>
      <c r="BE245" s="7">
        <f>IF(Y245=1,AQ245+ROW()/1E9,1E9)</f>
        <v/>
      </c>
    </row>
    <row r="246">
      <c r="A246" s="16" t="n"/>
      <c r="B246" s="8">
        <f>IF($A246="","",BDP($A246,B$3))</f>
        <v/>
      </c>
      <c r="C246" s="8">
        <f>IF($A246="","",BDP($A246,C$3))</f>
        <v/>
      </c>
      <c r="D246" s="28">
        <f>IF($A246="","",BDP($A246,D$3))</f>
        <v/>
      </c>
      <c r="E246" s="29">
        <f>IF($A246="","",BDP($A246,E$3))</f>
        <v/>
      </c>
      <c r="F246" s="17">
        <f>IF($A246="","",BDP($A246,F$3))</f>
        <v/>
      </c>
      <c r="G246" s="8">
        <f>IF($A246="","",BDP($A246,G$3))</f>
        <v/>
      </c>
      <c r="H246" s="8">
        <f>IF($A246="","",BDP($A246,H$3))</f>
        <v/>
      </c>
      <c r="I246" s="8">
        <f>IF($A246="","",BDP($A246,I$3))</f>
        <v/>
      </c>
      <c r="J246" s="8">
        <f>IF($A246="","",BDP($A246,J$3))</f>
        <v/>
      </c>
      <c r="K246" s="8">
        <f>IF($A246="","",BDP($A246,K$3))</f>
        <v/>
      </c>
      <c r="L246" s="28">
        <f>IF($A246="","",BDP($A246,L$3))</f>
        <v/>
      </c>
      <c r="M246" s="28">
        <f>IF($A246="","",BDP($A246,M$3))</f>
        <v/>
      </c>
      <c r="N246" s="30">
        <f>IF($A246="","",BDP($A246,N$3))</f>
        <v/>
      </c>
      <c r="O246" s="31">
        <f>IF($A246="","",BDP($A246,O$3))</f>
        <v/>
      </c>
      <c r="P246" s="30">
        <f>IF($A246="","",BDH($A246,$N$3,'參數'!$B$5,'參數'!$B$5,"Days=A","Fill=P","Dates=H"))</f>
        <v/>
      </c>
      <c r="Q246" s="30">
        <f>IF($A246="","",BDH($A246,$N$3,'參數'!$B$6,'參數'!$B$6,"Days=A","Fill=P","Dates=H"))</f>
        <v/>
      </c>
      <c r="R246" s="30">
        <f>IF($A246="","",BDH($A246,$N$3,'參數'!$B$7,'參數'!$B$7,"Days=A","Fill=P","Dates=H"))</f>
        <v/>
      </c>
      <c r="S246" s="32">
        <f>IF($A246="","",IFERROR(INDEX('發行人'!$A$5:$A$44,MATCH(B246,'發行人'!$D$5:$D$44,0)),"未對應"))</f>
        <v/>
      </c>
      <c r="T246" s="24">
        <f>IF($A246="","",IFERROR(INDEX('發行人'!$G$5:$G$44,MATCH(B246,'發行人'!$D$5:$D$44,0))+0,""))</f>
        <v/>
      </c>
      <c r="U246" s="18">
        <f>IF(ISNUMBER(E246),YEARFRAC('參數'!$B$4,E246),"")</f>
        <v/>
      </c>
      <c r="V246" s="8">
        <f>IF(U246="","",IF(U246&lt;3,"1-3y",IF(U246&lt;5,"3-5y",IF(U246&lt;7,"5-7y",IF(U246&lt;10,"7-10y","10y+")))))</f>
        <v/>
      </c>
      <c r="W246" s="30">
        <f>IF($A246="","",IFERROR(INDEX('參數'!$B$24:$B$45,MATCH(G246,'參數'!$A$24:$A$45,0)),""))</f>
        <v/>
      </c>
      <c r="X246" s="8">
        <f>IF($A246="","",IFERROR(INDEX('參數'!$C$24:$C$45,MATCH(G246,'參數'!$A$24:$A$45,0)),""))</f>
        <v/>
      </c>
      <c r="Y246" s="30">
        <f>IF(AND(ISNUMBER(N246),ISNUMBER(O246),ISNUMBER(U246)),IF(AND(O246&gt;0,X246&lt;&gt;""),1,0),0)</f>
        <v/>
      </c>
      <c r="Z246" s="17">
        <f>IF(Y246=1,O246*N246,"")</f>
        <v/>
      </c>
      <c r="AA246" s="33">
        <f>IF(Y246=1,IF(ISNUMBER(Q246),N246-Q246,""),"")</f>
        <v/>
      </c>
      <c r="AB246" s="33">
        <f>IF(Y246=1,IF(AND(ISNUMBER(P246),ISNUMBER(R246)),R246*5/12-O246*(P246-R246),""),"")</f>
        <v/>
      </c>
      <c r="AC246" s="30">
        <f>IF(Y246=1,COUNTIFS($X$5:$X$404,X246,$V$5:$V$404,V246,$Y$5:$Y$404,1),"")</f>
        <v/>
      </c>
      <c r="AD246" s="30">
        <f>IF(Y246=1,IFERROR(IF(AC246&gt;='參數'!$B$9,INDEX('分群統計'!$G$13:$K$16,MATCH(X246,'分群統計'!$A$13:$A$16,0),MATCH(V246,'分群統計'!$G$12:$K$12,0)),INDEX('分群統計'!$I$5:$I$8,MATCH(X246,'分群統計'!$A$5:$A$8,0))),""),"")</f>
        <v/>
      </c>
      <c r="AE246" s="18">
        <f>IF(Y246=1,IFERROR(IF(AC246&gt;='參數'!$B$9,INDEX('分群統計'!$L$13:$P$16,MATCH(X246,'分群統計'!$A$13:$A$16,0),MATCH(V246,'分群統計'!$L$12:$P$12,0)),INDEX('分群統計'!$J$5:$J$8,MATCH(X246,'分群統計'!$A$5:$A$8,0))),""),"")</f>
        <v/>
      </c>
      <c r="AF246" s="31">
        <f>IF(ISNUMBER(AE246),IF(AE246&gt;0,MAX(-3,MIN(3,(N246-AD246)/AE246)),0),"")</f>
        <v/>
      </c>
      <c r="AG246" s="30">
        <f>IF(Y246=1,COUNTIFS($B$5:$B$404,B246,$Y$5:$Y$404,1),"")</f>
        <v/>
      </c>
      <c r="AH246" s="30">
        <f>IF(Y246=1,IFERROR(IF(ISNUMBER(INDEX('分群統計'!$G$20:$G$59,MATCH(B246,'分群統計'!$A$20:$A$59,0))),INDEX('分群統計'!$H$20:$H$59,MATCH(B246,'分群統計'!$A$20:$A$59,0))+INDEX('分群統計'!$G$20:$G$59,MATCH(B246,'分群統計'!$A$20:$A$59,0))*AU246,""),""),"")</f>
        <v/>
      </c>
      <c r="AI246" s="34">
        <f>IF(ISNUMBER(AH246),N246-AH246,"")</f>
        <v/>
      </c>
      <c r="AJ246" s="30">
        <f>IF(Y246=1,IFERROR(IF(ISNUMBER(INDEX('分群統計'!$G$5:$G$8,MATCH(X246,'分群統計'!$A$5:$A$8,0))),INDEX('分群統計'!$H$5:$H$8,MATCH(X246,'分群統計'!$A$5:$A$8,0))+INDEX('分群統計'!$G$5:$G$8,MATCH(X246,'分群統計'!$A$5:$A$8,0))*AU246,""),""),"")</f>
        <v/>
      </c>
      <c r="AK246" s="34">
        <f>IF(ISNUMBER(AJ246),N246-AJ246,"")</f>
        <v/>
      </c>
      <c r="AL246" s="21">
        <f>IF(ISNUMBER(AJ246),IF(AJ246&gt;0,AK246/AJ246,""),"")</f>
        <v/>
      </c>
      <c r="AM246" s="31">
        <f>IF(AY246&lt;&gt;1,"",IFERROR(IF(INDEX('分群統計'!$K$5:$K$8,MATCH(X246,'分群統計'!$A$5:$A$8,0))&lt;3,"",IF(INDEX('分群統計'!$M$5:$M$8,MATCH(X246,'分群統計'!$A$5:$A$8,0))&gt;0,MAX(-3,MIN(3,(AX246-INDEX('分群統計'!$L$5:$L$8,MATCH(X246,'分群統計'!$A$5:$A$8,0)))/INDEX('分群統計'!$M$5:$M$8,MATCH(X246,'分群統計'!$A$5:$A$8,0)))),0)),""))</f>
        <v/>
      </c>
      <c r="AN246" s="31">
        <f>IF(ISNUMBER(AB246),IF(Z246&gt;0,AB246/Z246*100,""),"")</f>
        <v/>
      </c>
      <c r="AO246" s="31">
        <f>IF(BA246&lt;&gt;1,"",IFERROR(IF(INDEX('分群統計'!$N$5:$N$8,MATCH(X246,'分群統計'!$A$5:$A$8,0))&lt;3,"",IF(INDEX('分群統計'!$P$5:$P$8,MATCH(X246,'分群統計'!$A$5:$A$8,0))&gt;0,MAX(-3,MIN(3,(AZ246-INDEX('分群統計'!$O$5:$O$8,MATCH(X246,'分群統計'!$A$5:$A$8,0)))/INDEX('分群統計'!$P$5:$P$8,MATCH(X246,'分群統計'!$A$5:$A$8,0)))),0)),""))</f>
        <v/>
      </c>
      <c r="AP246" s="31">
        <f>IF(BC246&lt;&gt;1,"",IFERROR(IF(INDEX('分群統計'!$Q$5:$Q$8,MATCH(X246,'分群統計'!$A$5:$A$8,0))&lt;3,"",IF(INDEX('分群統計'!$S$5:$S$8,MATCH(X246,'分群統計'!$A$5:$A$8,0))&gt;0,MAX(-3,MIN(3,(BB246-INDEX('分群統計'!$R$5:$R$8,MATCH(X246,'分群統計'!$A$5:$A$8,0)))/INDEX('分群統計'!$S$5:$S$8,MATCH(X246,'分群統計'!$A$5:$A$8,0)))),0)),""))</f>
        <v/>
      </c>
      <c r="AQ246" s="31">
        <f>IF(Y246=1,(IF(ISNUMBER(AF246),AF246,0)*'參數'!$B$13+IF(ISNUMBER(AM246),AM246,0)*'參數'!$B$14+IF(ISNUMBER(AO246),AO246,0)*'參數'!$B$15+IF(ISNUMBER(AP246),AP246,0)*'參數'!$B$16)/('參數'!$B$13+'參數'!$B$14+'參數'!$B$15+'參數'!$B$16),"")</f>
        <v/>
      </c>
      <c r="AR246" s="35">
        <f>IF(Y246=1,(SUMPRODUCT(($X$5:$X$404=X246)*($Y$5:$Y$404=1)*($BD$5:$BD$404&gt;BD246))+1)/COUNTIFS($X$5:$X$404,X246,$Y$5:$Y$404,1),"")</f>
        <v/>
      </c>
      <c r="AS246" s="8">
        <f>IF(ISNUMBER(AR246),IF(AR246&lt;='參數'!$B$18,"加碼候選",IF(AR246&gt;'參數'!$B$19,"減碼候選","")),"")</f>
        <v/>
      </c>
      <c r="AT246" s="7">
        <f>IF(Y246=1,N246,0)</f>
        <v/>
      </c>
      <c r="AU246" s="7">
        <f>IF(Y246=1,LN(O246),0)</f>
        <v/>
      </c>
      <c r="AV246" s="36">
        <f>IF(Y246=1,IF(ISNUMBER(F246),F246,0),0)</f>
        <v/>
      </c>
      <c r="AW246" s="7">
        <f>IF(Y246=1,Z246,0)</f>
        <v/>
      </c>
      <c r="AX246" s="7">
        <f>IF(Y246=1,IF(ISNUMBER(AL246),AL246,0),0)</f>
        <v/>
      </c>
      <c r="AY246" s="7">
        <f>IF(Y246=1,IF(ISNUMBER(AL246),1,0),0)</f>
        <v/>
      </c>
      <c r="AZ246" s="7">
        <f>IF(Y246=1,IF(ISNUMBER(AN246),AN246,0),0)</f>
        <v/>
      </c>
      <c r="BA246" s="7">
        <f>IF(Y246=1,IF(ISNUMBER(AN246),1,0),0)</f>
        <v/>
      </c>
      <c r="BB246" s="7">
        <f>IF(Y246=1,IF(ISNUMBER(T246),T246,0),0)</f>
        <v/>
      </c>
      <c r="BC246" s="7">
        <f>IF(Y246=1,IF(ISNUMBER(T246),1,0),0)</f>
        <v/>
      </c>
      <c r="BD246" s="7">
        <f>IF(Y246=1,AQ246+ROW()/1E9,-1E9)</f>
        <v/>
      </c>
      <c r="BE246" s="7">
        <f>IF(Y246=1,AQ246+ROW()/1E9,1E9)</f>
        <v/>
      </c>
    </row>
    <row r="247">
      <c r="A247" s="16" t="n"/>
      <c r="B247" s="8">
        <f>IF($A247="","",BDP($A247,B$3))</f>
        <v/>
      </c>
      <c r="C247" s="8">
        <f>IF($A247="","",BDP($A247,C$3))</f>
        <v/>
      </c>
      <c r="D247" s="28">
        <f>IF($A247="","",BDP($A247,D$3))</f>
        <v/>
      </c>
      <c r="E247" s="29">
        <f>IF($A247="","",BDP($A247,E$3))</f>
        <v/>
      </c>
      <c r="F247" s="17">
        <f>IF($A247="","",BDP($A247,F$3))</f>
        <v/>
      </c>
      <c r="G247" s="8">
        <f>IF($A247="","",BDP($A247,G$3))</f>
        <v/>
      </c>
      <c r="H247" s="8">
        <f>IF($A247="","",BDP($A247,H$3))</f>
        <v/>
      </c>
      <c r="I247" s="8">
        <f>IF($A247="","",BDP($A247,I$3))</f>
        <v/>
      </c>
      <c r="J247" s="8">
        <f>IF($A247="","",BDP($A247,J$3))</f>
        <v/>
      </c>
      <c r="K247" s="8">
        <f>IF($A247="","",BDP($A247,K$3))</f>
        <v/>
      </c>
      <c r="L247" s="28">
        <f>IF($A247="","",BDP($A247,L$3))</f>
        <v/>
      </c>
      <c r="M247" s="28">
        <f>IF($A247="","",BDP($A247,M$3))</f>
        <v/>
      </c>
      <c r="N247" s="30">
        <f>IF($A247="","",BDP($A247,N$3))</f>
        <v/>
      </c>
      <c r="O247" s="31">
        <f>IF($A247="","",BDP($A247,O$3))</f>
        <v/>
      </c>
      <c r="P247" s="30">
        <f>IF($A247="","",BDH($A247,$N$3,'參數'!$B$5,'參數'!$B$5,"Days=A","Fill=P","Dates=H"))</f>
        <v/>
      </c>
      <c r="Q247" s="30">
        <f>IF($A247="","",BDH($A247,$N$3,'參數'!$B$6,'參數'!$B$6,"Days=A","Fill=P","Dates=H"))</f>
        <v/>
      </c>
      <c r="R247" s="30">
        <f>IF($A247="","",BDH($A247,$N$3,'參數'!$B$7,'參數'!$B$7,"Days=A","Fill=P","Dates=H"))</f>
        <v/>
      </c>
      <c r="S247" s="32">
        <f>IF($A247="","",IFERROR(INDEX('發行人'!$A$5:$A$44,MATCH(B247,'發行人'!$D$5:$D$44,0)),"未對應"))</f>
        <v/>
      </c>
      <c r="T247" s="24">
        <f>IF($A247="","",IFERROR(INDEX('發行人'!$G$5:$G$44,MATCH(B247,'發行人'!$D$5:$D$44,0))+0,""))</f>
        <v/>
      </c>
      <c r="U247" s="18">
        <f>IF(ISNUMBER(E247),YEARFRAC('參數'!$B$4,E247),"")</f>
        <v/>
      </c>
      <c r="V247" s="8">
        <f>IF(U247="","",IF(U247&lt;3,"1-3y",IF(U247&lt;5,"3-5y",IF(U247&lt;7,"5-7y",IF(U247&lt;10,"7-10y","10y+")))))</f>
        <v/>
      </c>
      <c r="W247" s="30">
        <f>IF($A247="","",IFERROR(INDEX('參數'!$B$24:$B$45,MATCH(G247,'參數'!$A$24:$A$45,0)),""))</f>
        <v/>
      </c>
      <c r="X247" s="8">
        <f>IF($A247="","",IFERROR(INDEX('參數'!$C$24:$C$45,MATCH(G247,'參數'!$A$24:$A$45,0)),""))</f>
        <v/>
      </c>
      <c r="Y247" s="30">
        <f>IF(AND(ISNUMBER(N247),ISNUMBER(O247),ISNUMBER(U247)),IF(AND(O247&gt;0,X247&lt;&gt;""),1,0),0)</f>
        <v/>
      </c>
      <c r="Z247" s="17">
        <f>IF(Y247=1,O247*N247,"")</f>
        <v/>
      </c>
      <c r="AA247" s="33">
        <f>IF(Y247=1,IF(ISNUMBER(Q247),N247-Q247,""),"")</f>
        <v/>
      </c>
      <c r="AB247" s="33">
        <f>IF(Y247=1,IF(AND(ISNUMBER(P247),ISNUMBER(R247)),R247*5/12-O247*(P247-R247),""),"")</f>
        <v/>
      </c>
      <c r="AC247" s="30">
        <f>IF(Y247=1,COUNTIFS($X$5:$X$404,X247,$V$5:$V$404,V247,$Y$5:$Y$404,1),"")</f>
        <v/>
      </c>
      <c r="AD247" s="30">
        <f>IF(Y247=1,IFERROR(IF(AC247&gt;='參數'!$B$9,INDEX('分群統計'!$G$13:$K$16,MATCH(X247,'分群統計'!$A$13:$A$16,0),MATCH(V247,'分群統計'!$G$12:$K$12,0)),INDEX('分群統計'!$I$5:$I$8,MATCH(X247,'分群統計'!$A$5:$A$8,0))),""),"")</f>
        <v/>
      </c>
      <c r="AE247" s="18">
        <f>IF(Y247=1,IFERROR(IF(AC247&gt;='參數'!$B$9,INDEX('分群統計'!$L$13:$P$16,MATCH(X247,'分群統計'!$A$13:$A$16,0),MATCH(V247,'分群統計'!$L$12:$P$12,0)),INDEX('分群統計'!$J$5:$J$8,MATCH(X247,'分群統計'!$A$5:$A$8,0))),""),"")</f>
        <v/>
      </c>
      <c r="AF247" s="31">
        <f>IF(ISNUMBER(AE247),IF(AE247&gt;0,MAX(-3,MIN(3,(N247-AD247)/AE247)),0),"")</f>
        <v/>
      </c>
      <c r="AG247" s="30">
        <f>IF(Y247=1,COUNTIFS($B$5:$B$404,B247,$Y$5:$Y$404,1),"")</f>
        <v/>
      </c>
      <c r="AH247" s="30">
        <f>IF(Y247=1,IFERROR(IF(ISNUMBER(INDEX('分群統計'!$G$20:$G$59,MATCH(B247,'分群統計'!$A$20:$A$59,0))),INDEX('分群統計'!$H$20:$H$59,MATCH(B247,'分群統計'!$A$20:$A$59,0))+INDEX('分群統計'!$G$20:$G$59,MATCH(B247,'分群統計'!$A$20:$A$59,0))*AU247,""),""),"")</f>
        <v/>
      </c>
      <c r="AI247" s="34">
        <f>IF(ISNUMBER(AH247),N247-AH247,"")</f>
        <v/>
      </c>
      <c r="AJ247" s="30">
        <f>IF(Y247=1,IFERROR(IF(ISNUMBER(INDEX('分群統計'!$G$5:$G$8,MATCH(X247,'分群統計'!$A$5:$A$8,0))),INDEX('分群統計'!$H$5:$H$8,MATCH(X247,'分群統計'!$A$5:$A$8,0))+INDEX('分群統計'!$G$5:$G$8,MATCH(X247,'分群統計'!$A$5:$A$8,0))*AU247,""),""),"")</f>
        <v/>
      </c>
      <c r="AK247" s="34">
        <f>IF(ISNUMBER(AJ247),N247-AJ247,"")</f>
        <v/>
      </c>
      <c r="AL247" s="21">
        <f>IF(ISNUMBER(AJ247),IF(AJ247&gt;0,AK247/AJ247,""),"")</f>
        <v/>
      </c>
      <c r="AM247" s="31">
        <f>IF(AY247&lt;&gt;1,"",IFERROR(IF(INDEX('分群統計'!$K$5:$K$8,MATCH(X247,'分群統計'!$A$5:$A$8,0))&lt;3,"",IF(INDEX('分群統計'!$M$5:$M$8,MATCH(X247,'分群統計'!$A$5:$A$8,0))&gt;0,MAX(-3,MIN(3,(AX247-INDEX('分群統計'!$L$5:$L$8,MATCH(X247,'分群統計'!$A$5:$A$8,0)))/INDEX('分群統計'!$M$5:$M$8,MATCH(X247,'分群統計'!$A$5:$A$8,0)))),0)),""))</f>
        <v/>
      </c>
      <c r="AN247" s="31">
        <f>IF(ISNUMBER(AB247),IF(Z247&gt;0,AB247/Z247*100,""),"")</f>
        <v/>
      </c>
      <c r="AO247" s="31">
        <f>IF(BA247&lt;&gt;1,"",IFERROR(IF(INDEX('分群統計'!$N$5:$N$8,MATCH(X247,'分群統計'!$A$5:$A$8,0))&lt;3,"",IF(INDEX('分群統計'!$P$5:$P$8,MATCH(X247,'分群統計'!$A$5:$A$8,0))&gt;0,MAX(-3,MIN(3,(AZ247-INDEX('分群統計'!$O$5:$O$8,MATCH(X247,'分群統計'!$A$5:$A$8,0)))/INDEX('分群統計'!$P$5:$P$8,MATCH(X247,'分群統計'!$A$5:$A$8,0)))),0)),""))</f>
        <v/>
      </c>
      <c r="AP247" s="31">
        <f>IF(BC247&lt;&gt;1,"",IFERROR(IF(INDEX('分群統計'!$Q$5:$Q$8,MATCH(X247,'分群統計'!$A$5:$A$8,0))&lt;3,"",IF(INDEX('分群統計'!$S$5:$S$8,MATCH(X247,'分群統計'!$A$5:$A$8,0))&gt;0,MAX(-3,MIN(3,(BB247-INDEX('分群統計'!$R$5:$R$8,MATCH(X247,'分群統計'!$A$5:$A$8,0)))/INDEX('分群統計'!$S$5:$S$8,MATCH(X247,'分群統計'!$A$5:$A$8,0)))),0)),""))</f>
        <v/>
      </c>
      <c r="AQ247" s="31">
        <f>IF(Y247=1,(IF(ISNUMBER(AF247),AF247,0)*'參數'!$B$13+IF(ISNUMBER(AM247),AM247,0)*'參數'!$B$14+IF(ISNUMBER(AO247),AO247,0)*'參數'!$B$15+IF(ISNUMBER(AP247),AP247,0)*'參數'!$B$16)/('參數'!$B$13+'參數'!$B$14+'參數'!$B$15+'參數'!$B$16),"")</f>
        <v/>
      </c>
      <c r="AR247" s="35">
        <f>IF(Y247=1,(SUMPRODUCT(($X$5:$X$404=X247)*($Y$5:$Y$404=1)*($BD$5:$BD$404&gt;BD247))+1)/COUNTIFS($X$5:$X$404,X247,$Y$5:$Y$404,1),"")</f>
        <v/>
      </c>
      <c r="AS247" s="8">
        <f>IF(ISNUMBER(AR247),IF(AR247&lt;='參數'!$B$18,"加碼候選",IF(AR247&gt;'參數'!$B$19,"減碼候選","")),"")</f>
        <v/>
      </c>
      <c r="AT247" s="7">
        <f>IF(Y247=1,N247,0)</f>
        <v/>
      </c>
      <c r="AU247" s="7">
        <f>IF(Y247=1,LN(O247),0)</f>
        <v/>
      </c>
      <c r="AV247" s="36">
        <f>IF(Y247=1,IF(ISNUMBER(F247),F247,0),0)</f>
        <v/>
      </c>
      <c r="AW247" s="7">
        <f>IF(Y247=1,Z247,0)</f>
        <v/>
      </c>
      <c r="AX247" s="7">
        <f>IF(Y247=1,IF(ISNUMBER(AL247),AL247,0),0)</f>
        <v/>
      </c>
      <c r="AY247" s="7">
        <f>IF(Y247=1,IF(ISNUMBER(AL247),1,0),0)</f>
        <v/>
      </c>
      <c r="AZ247" s="7">
        <f>IF(Y247=1,IF(ISNUMBER(AN247),AN247,0),0)</f>
        <v/>
      </c>
      <c r="BA247" s="7">
        <f>IF(Y247=1,IF(ISNUMBER(AN247),1,0),0)</f>
        <v/>
      </c>
      <c r="BB247" s="7">
        <f>IF(Y247=1,IF(ISNUMBER(T247),T247,0),0)</f>
        <v/>
      </c>
      <c r="BC247" s="7">
        <f>IF(Y247=1,IF(ISNUMBER(T247),1,0),0)</f>
        <v/>
      </c>
      <c r="BD247" s="7">
        <f>IF(Y247=1,AQ247+ROW()/1E9,-1E9)</f>
        <v/>
      </c>
      <c r="BE247" s="7">
        <f>IF(Y247=1,AQ247+ROW()/1E9,1E9)</f>
        <v/>
      </c>
    </row>
    <row r="248">
      <c r="A248" s="16" t="n"/>
      <c r="B248" s="8">
        <f>IF($A248="","",BDP($A248,B$3))</f>
        <v/>
      </c>
      <c r="C248" s="8">
        <f>IF($A248="","",BDP($A248,C$3))</f>
        <v/>
      </c>
      <c r="D248" s="28">
        <f>IF($A248="","",BDP($A248,D$3))</f>
        <v/>
      </c>
      <c r="E248" s="29">
        <f>IF($A248="","",BDP($A248,E$3))</f>
        <v/>
      </c>
      <c r="F248" s="17">
        <f>IF($A248="","",BDP($A248,F$3))</f>
        <v/>
      </c>
      <c r="G248" s="8">
        <f>IF($A248="","",BDP($A248,G$3))</f>
        <v/>
      </c>
      <c r="H248" s="8">
        <f>IF($A248="","",BDP($A248,H$3))</f>
        <v/>
      </c>
      <c r="I248" s="8">
        <f>IF($A248="","",BDP($A248,I$3))</f>
        <v/>
      </c>
      <c r="J248" s="8">
        <f>IF($A248="","",BDP($A248,J$3))</f>
        <v/>
      </c>
      <c r="K248" s="8">
        <f>IF($A248="","",BDP($A248,K$3))</f>
        <v/>
      </c>
      <c r="L248" s="28">
        <f>IF($A248="","",BDP($A248,L$3))</f>
        <v/>
      </c>
      <c r="M248" s="28">
        <f>IF($A248="","",BDP($A248,M$3))</f>
        <v/>
      </c>
      <c r="N248" s="30">
        <f>IF($A248="","",BDP($A248,N$3))</f>
        <v/>
      </c>
      <c r="O248" s="31">
        <f>IF($A248="","",BDP($A248,O$3))</f>
        <v/>
      </c>
      <c r="P248" s="30">
        <f>IF($A248="","",BDH($A248,$N$3,'參數'!$B$5,'參數'!$B$5,"Days=A","Fill=P","Dates=H"))</f>
        <v/>
      </c>
      <c r="Q248" s="30">
        <f>IF($A248="","",BDH($A248,$N$3,'參數'!$B$6,'參數'!$B$6,"Days=A","Fill=P","Dates=H"))</f>
        <v/>
      </c>
      <c r="R248" s="30">
        <f>IF($A248="","",BDH($A248,$N$3,'參數'!$B$7,'參數'!$B$7,"Days=A","Fill=P","Dates=H"))</f>
        <v/>
      </c>
      <c r="S248" s="32">
        <f>IF($A248="","",IFERROR(INDEX('發行人'!$A$5:$A$44,MATCH(B248,'發行人'!$D$5:$D$44,0)),"未對應"))</f>
        <v/>
      </c>
      <c r="T248" s="24">
        <f>IF($A248="","",IFERROR(INDEX('發行人'!$G$5:$G$44,MATCH(B248,'發行人'!$D$5:$D$44,0))+0,""))</f>
        <v/>
      </c>
      <c r="U248" s="18">
        <f>IF(ISNUMBER(E248),YEARFRAC('參數'!$B$4,E248),"")</f>
        <v/>
      </c>
      <c r="V248" s="8">
        <f>IF(U248="","",IF(U248&lt;3,"1-3y",IF(U248&lt;5,"3-5y",IF(U248&lt;7,"5-7y",IF(U248&lt;10,"7-10y","10y+")))))</f>
        <v/>
      </c>
      <c r="W248" s="30">
        <f>IF($A248="","",IFERROR(INDEX('參數'!$B$24:$B$45,MATCH(G248,'參數'!$A$24:$A$45,0)),""))</f>
        <v/>
      </c>
      <c r="X248" s="8">
        <f>IF($A248="","",IFERROR(INDEX('參數'!$C$24:$C$45,MATCH(G248,'參數'!$A$24:$A$45,0)),""))</f>
        <v/>
      </c>
      <c r="Y248" s="30">
        <f>IF(AND(ISNUMBER(N248),ISNUMBER(O248),ISNUMBER(U248)),IF(AND(O248&gt;0,X248&lt;&gt;""),1,0),0)</f>
        <v/>
      </c>
      <c r="Z248" s="17">
        <f>IF(Y248=1,O248*N248,"")</f>
        <v/>
      </c>
      <c r="AA248" s="33">
        <f>IF(Y248=1,IF(ISNUMBER(Q248),N248-Q248,""),"")</f>
        <v/>
      </c>
      <c r="AB248" s="33">
        <f>IF(Y248=1,IF(AND(ISNUMBER(P248),ISNUMBER(R248)),R248*5/12-O248*(P248-R248),""),"")</f>
        <v/>
      </c>
      <c r="AC248" s="30">
        <f>IF(Y248=1,COUNTIFS($X$5:$X$404,X248,$V$5:$V$404,V248,$Y$5:$Y$404,1),"")</f>
        <v/>
      </c>
      <c r="AD248" s="30">
        <f>IF(Y248=1,IFERROR(IF(AC248&gt;='參數'!$B$9,INDEX('分群統計'!$G$13:$K$16,MATCH(X248,'分群統計'!$A$13:$A$16,0),MATCH(V248,'分群統計'!$G$12:$K$12,0)),INDEX('分群統計'!$I$5:$I$8,MATCH(X248,'分群統計'!$A$5:$A$8,0))),""),"")</f>
        <v/>
      </c>
      <c r="AE248" s="18">
        <f>IF(Y248=1,IFERROR(IF(AC248&gt;='參數'!$B$9,INDEX('分群統計'!$L$13:$P$16,MATCH(X248,'分群統計'!$A$13:$A$16,0),MATCH(V248,'分群統計'!$L$12:$P$12,0)),INDEX('分群統計'!$J$5:$J$8,MATCH(X248,'分群統計'!$A$5:$A$8,0))),""),"")</f>
        <v/>
      </c>
      <c r="AF248" s="31">
        <f>IF(ISNUMBER(AE248),IF(AE248&gt;0,MAX(-3,MIN(3,(N248-AD248)/AE248)),0),"")</f>
        <v/>
      </c>
      <c r="AG248" s="30">
        <f>IF(Y248=1,COUNTIFS($B$5:$B$404,B248,$Y$5:$Y$404,1),"")</f>
        <v/>
      </c>
      <c r="AH248" s="30">
        <f>IF(Y248=1,IFERROR(IF(ISNUMBER(INDEX('分群統計'!$G$20:$G$59,MATCH(B248,'分群統計'!$A$20:$A$59,0))),INDEX('分群統計'!$H$20:$H$59,MATCH(B248,'分群統計'!$A$20:$A$59,0))+INDEX('分群統計'!$G$20:$G$59,MATCH(B248,'分群統計'!$A$20:$A$59,0))*AU248,""),""),"")</f>
        <v/>
      </c>
      <c r="AI248" s="34">
        <f>IF(ISNUMBER(AH248),N248-AH248,"")</f>
        <v/>
      </c>
      <c r="AJ248" s="30">
        <f>IF(Y248=1,IFERROR(IF(ISNUMBER(INDEX('分群統計'!$G$5:$G$8,MATCH(X248,'分群統計'!$A$5:$A$8,0))),INDEX('分群統計'!$H$5:$H$8,MATCH(X248,'分群統計'!$A$5:$A$8,0))+INDEX('分群統計'!$G$5:$G$8,MATCH(X248,'分群統計'!$A$5:$A$8,0))*AU248,""),""),"")</f>
        <v/>
      </c>
      <c r="AK248" s="34">
        <f>IF(ISNUMBER(AJ248),N248-AJ248,"")</f>
        <v/>
      </c>
      <c r="AL248" s="21">
        <f>IF(ISNUMBER(AJ248),IF(AJ248&gt;0,AK248/AJ248,""),"")</f>
        <v/>
      </c>
      <c r="AM248" s="31">
        <f>IF(AY248&lt;&gt;1,"",IFERROR(IF(INDEX('分群統計'!$K$5:$K$8,MATCH(X248,'分群統計'!$A$5:$A$8,0))&lt;3,"",IF(INDEX('分群統計'!$M$5:$M$8,MATCH(X248,'分群統計'!$A$5:$A$8,0))&gt;0,MAX(-3,MIN(3,(AX248-INDEX('分群統計'!$L$5:$L$8,MATCH(X248,'分群統計'!$A$5:$A$8,0)))/INDEX('分群統計'!$M$5:$M$8,MATCH(X248,'分群統計'!$A$5:$A$8,0)))),0)),""))</f>
        <v/>
      </c>
      <c r="AN248" s="31">
        <f>IF(ISNUMBER(AB248),IF(Z248&gt;0,AB248/Z248*100,""),"")</f>
        <v/>
      </c>
      <c r="AO248" s="31">
        <f>IF(BA248&lt;&gt;1,"",IFERROR(IF(INDEX('分群統計'!$N$5:$N$8,MATCH(X248,'分群統計'!$A$5:$A$8,0))&lt;3,"",IF(INDEX('分群統計'!$P$5:$P$8,MATCH(X248,'分群統計'!$A$5:$A$8,0))&gt;0,MAX(-3,MIN(3,(AZ248-INDEX('分群統計'!$O$5:$O$8,MATCH(X248,'分群統計'!$A$5:$A$8,0)))/INDEX('分群統計'!$P$5:$P$8,MATCH(X248,'分群統計'!$A$5:$A$8,0)))),0)),""))</f>
        <v/>
      </c>
      <c r="AP248" s="31">
        <f>IF(BC248&lt;&gt;1,"",IFERROR(IF(INDEX('分群統計'!$Q$5:$Q$8,MATCH(X248,'分群統計'!$A$5:$A$8,0))&lt;3,"",IF(INDEX('分群統計'!$S$5:$S$8,MATCH(X248,'分群統計'!$A$5:$A$8,0))&gt;0,MAX(-3,MIN(3,(BB248-INDEX('分群統計'!$R$5:$R$8,MATCH(X248,'分群統計'!$A$5:$A$8,0)))/INDEX('分群統計'!$S$5:$S$8,MATCH(X248,'分群統計'!$A$5:$A$8,0)))),0)),""))</f>
        <v/>
      </c>
      <c r="AQ248" s="31">
        <f>IF(Y248=1,(IF(ISNUMBER(AF248),AF248,0)*'參數'!$B$13+IF(ISNUMBER(AM248),AM248,0)*'參數'!$B$14+IF(ISNUMBER(AO248),AO248,0)*'參數'!$B$15+IF(ISNUMBER(AP248),AP248,0)*'參數'!$B$16)/('參數'!$B$13+'參數'!$B$14+'參數'!$B$15+'參數'!$B$16),"")</f>
        <v/>
      </c>
      <c r="AR248" s="35">
        <f>IF(Y248=1,(SUMPRODUCT(($X$5:$X$404=X248)*($Y$5:$Y$404=1)*($BD$5:$BD$404&gt;BD248))+1)/COUNTIFS($X$5:$X$404,X248,$Y$5:$Y$404,1),"")</f>
        <v/>
      </c>
      <c r="AS248" s="8">
        <f>IF(ISNUMBER(AR248),IF(AR248&lt;='參數'!$B$18,"加碼候選",IF(AR248&gt;'參數'!$B$19,"減碼候選","")),"")</f>
        <v/>
      </c>
      <c r="AT248" s="7">
        <f>IF(Y248=1,N248,0)</f>
        <v/>
      </c>
      <c r="AU248" s="7">
        <f>IF(Y248=1,LN(O248),0)</f>
        <v/>
      </c>
      <c r="AV248" s="36">
        <f>IF(Y248=1,IF(ISNUMBER(F248),F248,0),0)</f>
        <v/>
      </c>
      <c r="AW248" s="7">
        <f>IF(Y248=1,Z248,0)</f>
        <v/>
      </c>
      <c r="AX248" s="7">
        <f>IF(Y248=1,IF(ISNUMBER(AL248),AL248,0),0)</f>
        <v/>
      </c>
      <c r="AY248" s="7">
        <f>IF(Y248=1,IF(ISNUMBER(AL248),1,0),0)</f>
        <v/>
      </c>
      <c r="AZ248" s="7">
        <f>IF(Y248=1,IF(ISNUMBER(AN248),AN248,0),0)</f>
        <v/>
      </c>
      <c r="BA248" s="7">
        <f>IF(Y248=1,IF(ISNUMBER(AN248),1,0),0)</f>
        <v/>
      </c>
      <c r="BB248" s="7">
        <f>IF(Y248=1,IF(ISNUMBER(T248),T248,0),0)</f>
        <v/>
      </c>
      <c r="BC248" s="7">
        <f>IF(Y248=1,IF(ISNUMBER(T248),1,0),0)</f>
        <v/>
      </c>
      <c r="BD248" s="7">
        <f>IF(Y248=1,AQ248+ROW()/1E9,-1E9)</f>
        <v/>
      </c>
      <c r="BE248" s="7">
        <f>IF(Y248=1,AQ248+ROW()/1E9,1E9)</f>
        <v/>
      </c>
    </row>
    <row r="249">
      <c r="A249" s="16" t="n"/>
      <c r="B249" s="8">
        <f>IF($A249="","",BDP($A249,B$3))</f>
        <v/>
      </c>
      <c r="C249" s="8">
        <f>IF($A249="","",BDP($A249,C$3))</f>
        <v/>
      </c>
      <c r="D249" s="28">
        <f>IF($A249="","",BDP($A249,D$3))</f>
        <v/>
      </c>
      <c r="E249" s="29">
        <f>IF($A249="","",BDP($A249,E$3))</f>
        <v/>
      </c>
      <c r="F249" s="17">
        <f>IF($A249="","",BDP($A249,F$3))</f>
        <v/>
      </c>
      <c r="G249" s="8">
        <f>IF($A249="","",BDP($A249,G$3))</f>
        <v/>
      </c>
      <c r="H249" s="8">
        <f>IF($A249="","",BDP($A249,H$3))</f>
        <v/>
      </c>
      <c r="I249" s="8">
        <f>IF($A249="","",BDP($A249,I$3))</f>
        <v/>
      </c>
      <c r="J249" s="8">
        <f>IF($A249="","",BDP($A249,J$3))</f>
        <v/>
      </c>
      <c r="K249" s="8">
        <f>IF($A249="","",BDP($A249,K$3))</f>
        <v/>
      </c>
      <c r="L249" s="28">
        <f>IF($A249="","",BDP($A249,L$3))</f>
        <v/>
      </c>
      <c r="M249" s="28">
        <f>IF($A249="","",BDP($A249,M$3))</f>
        <v/>
      </c>
      <c r="N249" s="30">
        <f>IF($A249="","",BDP($A249,N$3))</f>
        <v/>
      </c>
      <c r="O249" s="31">
        <f>IF($A249="","",BDP($A249,O$3))</f>
        <v/>
      </c>
      <c r="P249" s="30">
        <f>IF($A249="","",BDH($A249,$N$3,'參數'!$B$5,'參數'!$B$5,"Days=A","Fill=P","Dates=H"))</f>
        <v/>
      </c>
      <c r="Q249" s="30">
        <f>IF($A249="","",BDH($A249,$N$3,'參數'!$B$6,'參數'!$B$6,"Days=A","Fill=P","Dates=H"))</f>
        <v/>
      </c>
      <c r="R249" s="30">
        <f>IF($A249="","",BDH($A249,$N$3,'參數'!$B$7,'參數'!$B$7,"Days=A","Fill=P","Dates=H"))</f>
        <v/>
      </c>
      <c r="S249" s="32">
        <f>IF($A249="","",IFERROR(INDEX('發行人'!$A$5:$A$44,MATCH(B249,'發行人'!$D$5:$D$44,0)),"未對應"))</f>
        <v/>
      </c>
      <c r="T249" s="24">
        <f>IF($A249="","",IFERROR(INDEX('發行人'!$G$5:$G$44,MATCH(B249,'發行人'!$D$5:$D$44,0))+0,""))</f>
        <v/>
      </c>
      <c r="U249" s="18">
        <f>IF(ISNUMBER(E249),YEARFRAC('參數'!$B$4,E249),"")</f>
        <v/>
      </c>
      <c r="V249" s="8">
        <f>IF(U249="","",IF(U249&lt;3,"1-3y",IF(U249&lt;5,"3-5y",IF(U249&lt;7,"5-7y",IF(U249&lt;10,"7-10y","10y+")))))</f>
        <v/>
      </c>
      <c r="W249" s="30">
        <f>IF($A249="","",IFERROR(INDEX('參數'!$B$24:$B$45,MATCH(G249,'參數'!$A$24:$A$45,0)),""))</f>
        <v/>
      </c>
      <c r="X249" s="8">
        <f>IF($A249="","",IFERROR(INDEX('參數'!$C$24:$C$45,MATCH(G249,'參數'!$A$24:$A$45,0)),""))</f>
        <v/>
      </c>
      <c r="Y249" s="30">
        <f>IF(AND(ISNUMBER(N249),ISNUMBER(O249),ISNUMBER(U249)),IF(AND(O249&gt;0,X249&lt;&gt;""),1,0),0)</f>
        <v/>
      </c>
      <c r="Z249" s="17">
        <f>IF(Y249=1,O249*N249,"")</f>
        <v/>
      </c>
      <c r="AA249" s="33">
        <f>IF(Y249=1,IF(ISNUMBER(Q249),N249-Q249,""),"")</f>
        <v/>
      </c>
      <c r="AB249" s="33">
        <f>IF(Y249=1,IF(AND(ISNUMBER(P249),ISNUMBER(R249)),R249*5/12-O249*(P249-R249),""),"")</f>
        <v/>
      </c>
      <c r="AC249" s="30">
        <f>IF(Y249=1,COUNTIFS($X$5:$X$404,X249,$V$5:$V$404,V249,$Y$5:$Y$404,1),"")</f>
        <v/>
      </c>
      <c r="AD249" s="30">
        <f>IF(Y249=1,IFERROR(IF(AC249&gt;='參數'!$B$9,INDEX('分群統計'!$G$13:$K$16,MATCH(X249,'分群統計'!$A$13:$A$16,0),MATCH(V249,'分群統計'!$G$12:$K$12,0)),INDEX('分群統計'!$I$5:$I$8,MATCH(X249,'分群統計'!$A$5:$A$8,0))),""),"")</f>
        <v/>
      </c>
      <c r="AE249" s="18">
        <f>IF(Y249=1,IFERROR(IF(AC249&gt;='參數'!$B$9,INDEX('分群統計'!$L$13:$P$16,MATCH(X249,'分群統計'!$A$13:$A$16,0),MATCH(V249,'分群統計'!$L$12:$P$12,0)),INDEX('分群統計'!$J$5:$J$8,MATCH(X249,'分群統計'!$A$5:$A$8,0))),""),"")</f>
        <v/>
      </c>
      <c r="AF249" s="31">
        <f>IF(ISNUMBER(AE249),IF(AE249&gt;0,MAX(-3,MIN(3,(N249-AD249)/AE249)),0),"")</f>
        <v/>
      </c>
      <c r="AG249" s="30">
        <f>IF(Y249=1,COUNTIFS($B$5:$B$404,B249,$Y$5:$Y$404,1),"")</f>
        <v/>
      </c>
      <c r="AH249" s="30">
        <f>IF(Y249=1,IFERROR(IF(ISNUMBER(INDEX('分群統計'!$G$20:$G$59,MATCH(B249,'分群統計'!$A$20:$A$59,0))),INDEX('分群統計'!$H$20:$H$59,MATCH(B249,'分群統計'!$A$20:$A$59,0))+INDEX('分群統計'!$G$20:$G$59,MATCH(B249,'分群統計'!$A$20:$A$59,0))*AU249,""),""),"")</f>
        <v/>
      </c>
      <c r="AI249" s="34">
        <f>IF(ISNUMBER(AH249),N249-AH249,"")</f>
        <v/>
      </c>
      <c r="AJ249" s="30">
        <f>IF(Y249=1,IFERROR(IF(ISNUMBER(INDEX('分群統計'!$G$5:$G$8,MATCH(X249,'分群統計'!$A$5:$A$8,0))),INDEX('分群統計'!$H$5:$H$8,MATCH(X249,'分群統計'!$A$5:$A$8,0))+INDEX('分群統計'!$G$5:$G$8,MATCH(X249,'分群統計'!$A$5:$A$8,0))*AU249,""),""),"")</f>
        <v/>
      </c>
      <c r="AK249" s="34">
        <f>IF(ISNUMBER(AJ249),N249-AJ249,"")</f>
        <v/>
      </c>
      <c r="AL249" s="21">
        <f>IF(ISNUMBER(AJ249),IF(AJ249&gt;0,AK249/AJ249,""),"")</f>
        <v/>
      </c>
      <c r="AM249" s="31">
        <f>IF(AY249&lt;&gt;1,"",IFERROR(IF(INDEX('分群統計'!$K$5:$K$8,MATCH(X249,'分群統計'!$A$5:$A$8,0))&lt;3,"",IF(INDEX('分群統計'!$M$5:$M$8,MATCH(X249,'分群統計'!$A$5:$A$8,0))&gt;0,MAX(-3,MIN(3,(AX249-INDEX('分群統計'!$L$5:$L$8,MATCH(X249,'分群統計'!$A$5:$A$8,0)))/INDEX('分群統計'!$M$5:$M$8,MATCH(X249,'分群統計'!$A$5:$A$8,0)))),0)),""))</f>
        <v/>
      </c>
      <c r="AN249" s="31">
        <f>IF(ISNUMBER(AB249),IF(Z249&gt;0,AB249/Z249*100,""),"")</f>
        <v/>
      </c>
      <c r="AO249" s="31">
        <f>IF(BA249&lt;&gt;1,"",IFERROR(IF(INDEX('分群統計'!$N$5:$N$8,MATCH(X249,'分群統計'!$A$5:$A$8,0))&lt;3,"",IF(INDEX('分群統計'!$P$5:$P$8,MATCH(X249,'分群統計'!$A$5:$A$8,0))&gt;0,MAX(-3,MIN(3,(AZ249-INDEX('分群統計'!$O$5:$O$8,MATCH(X249,'分群統計'!$A$5:$A$8,0)))/INDEX('分群統計'!$P$5:$P$8,MATCH(X249,'分群統計'!$A$5:$A$8,0)))),0)),""))</f>
        <v/>
      </c>
      <c r="AP249" s="31">
        <f>IF(BC249&lt;&gt;1,"",IFERROR(IF(INDEX('分群統計'!$Q$5:$Q$8,MATCH(X249,'分群統計'!$A$5:$A$8,0))&lt;3,"",IF(INDEX('分群統計'!$S$5:$S$8,MATCH(X249,'分群統計'!$A$5:$A$8,0))&gt;0,MAX(-3,MIN(3,(BB249-INDEX('分群統計'!$R$5:$R$8,MATCH(X249,'分群統計'!$A$5:$A$8,0)))/INDEX('分群統計'!$S$5:$S$8,MATCH(X249,'分群統計'!$A$5:$A$8,0)))),0)),""))</f>
        <v/>
      </c>
      <c r="AQ249" s="31">
        <f>IF(Y249=1,(IF(ISNUMBER(AF249),AF249,0)*'參數'!$B$13+IF(ISNUMBER(AM249),AM249,0)*'參數'!$B$14+IF(ISNUMBER(AO249),AO249,0)*'參數'!$B$15+IF(ISNUMBER(AP249),AP249,0)*'參數'!$B$16)/('參數'!$B$13+'參數'!$B$14+'參數'!$B$15+'參數'!$B$16),"")</f>
        <v/>
      </c>
      <c r="AR249" s="35">
        <f>IF(Y249=1,(SUMPRODUCT(($X$5:$X$404=X249)*($Y$5:$Y$404=1)*($BD$5:$BD$404&gt;BD249))+1)/COUNTIFS($X$5:$X$404,X249,$Y$5:$Y$404,1),"")</f>
        <v/>
      </c>
      <c r="AS249" s="8">
        <f>IF(ISNUMBER(AR249),IF(AR249&lt;='參數'!$B$18,"加碼候選",IF(AR249&gt;'參數'!$B$19,"減碼候選","")),"")</f>
        <v/>
      </c>
      <c r="AT249" s="7">
        <f>IF(Y249=1,N249,0)</f>
        <v/>
      </c>
      <c r="AU249" s="7">
        <f>IF(Y249=1,LN(O249),0)</f>
        <v/>
      </c>
      <c r="AV249" s="36">
        <f>IF(Y249=1,IF(ISNUMBER(F249),F249,0),0)</f>
        <v/>
      </c>
      <c r="AW249" s="7">
        <f>IF(Y249=1,Z249,0)</f>
        <v/>
      </c>
      <c r="AX249" s="7">
        <f>IF(Y249=1,IF(ISNUMBER(AL249),AL249,0),0)</f>
        <v/>
      </c>
      <c r="AY249" s="7">
        <f>IF(Y249=1,IF(ISNUMBER(AL249),1,0),0)</f>
        <v/>
      </c>
      <c r="AZ249" s="7">
        <f>IF(Y249=1,IF(ISNUMBER(AN249),AN249,0),0)</f>
        <v/>
      </c>
      <c r="BA249" s="7">
        <f>IF(Y249=1,IF(ISNUMBER(AN249),1,0),0)</f>
        <v/>
      </c>
      <c r="BB249" s="7">
        <f>IF(Y249=1,IF(ISNUMBER(T249),T249,0),0)</f>
        <v/>
      </c>
      <c r="BC249" s="7">
        <f>IF(Y249=1,IF(ISNUMBER(T249),1,0),0)</f>
        <v/>
      </c>
      <c r="BD249" s="7">
        <f>IF(Y249=1,AQ249+ROW()/1E9,-1E9)</f>
        <v/>
      </c>
      <c r="BE249" s="7">
        <f>IF(Y249=1,AQ249+ROW()/1E9,1E9)</f>
        <v/>
      </c>
    </row>
    <row r="250">
      <c r="A250" s="16" t="n"/>
      <c r="B250" s="8">
        <f>IF($A250="","",BDP($A250,B$3))</f>
        <v/>
      </c>
      <c r="C250" s="8">
        <f>IF($A250="","",BDP($A250,C$3))</f>
        <v/>
      </c>
      <c r="D250" s="28">
        <f>IF($A250="","",BDP($A250,D$3))</f>
        <v/>
      </c>
      <c r="E250" s="29">
        <f>IF($A250="","",BDP($A250,E$3))</f>
        <v/>
      </c>
      <c r="F250" s="17">
        <f>IF($A250="","",BDP($A250,F$3))</f>
        <v/>
      </c>
      <c r="G250" s="8">
        <f>IF($A250="","",BDP($A250,G$3))</f>
        <v/>
      </c>
      <c r="H250" s="8">
        <f>IF($A250="","",BDP($A250,H$3))</f>
        <v/>
      </c>
      <c r="I250" s="8">
        <f>IF($A250="","",BDP($A250,I$3))</f>
        <v/>
      </c>
      <c r="J250" s="8">
        <f>IF($A250="","",BDP($A250,J$3))</f>
        <v/>
      </c>
      <c r="K250" s="8">
        <f>IF($A250="","",BDP($A250,K$3))</f>
        <v/>
      </c>
      <c r="L250" s="28">
        <f>IF($A250="","",BDP($A250,L$3))</f>
        <v/>
      </c>
      <c r="M250" s="28">
        <f>IF($A250="","",BDP($A250,M$3))</f>
        <v/>
      </c>
      <c r="N250" s="30">
        <f>IF($A250="","",BDP($A250,N$3))</f>
        <v/>
      </c>
      <c r="O250" s="31">
        <f>IF($A250="","",BDP($A250,O$3))</f>
        <v/>
      </c>
      <c r="P250" s="30">
        <f>IF($A250="","",BDH($A250,$N$3,'參數'!$B$5,'參數'!$B$5,"Days=A","Fill=P","Dates=H"))</f>
        <v/>
      </c>
      <c r="Q250" s="30">
        <f>IF($A250="","",BDH($A250,$N$3,'參數'!$B$6,'參數'!$B$6,"Days=A","Fill=P","Dates=H"))</f>
        <v/>
      </c>
      <c r="R250" s="30">
        <f>IF($A250="","",BDH($A250,$N$3,'參數'!$B$7,'參數'!$B$7,"Days=A","Fill=P","Dates=H"))</f>
        <v/>
      </c>
      <c r="S250" s="32">
        <f>IF($A250="","",IFERROR(INDEX('發行人'!$A$5:$A$44,MATCH(B250,'發行人'!$D$5:$D$44,0)),"未對應"))</f>
        <v/>
      </c>
      <c r="T250" s="24">
        <f>IF($A250="","",IFERROR(INDEX('發行人'!$G$5:$G$44,MATCH(B250,'發行人'!$D$5:$D$44,0))+0,""))</f>
        <v/>
      </c>
      <c r="U250" s="18">
        <f>IF(ISNUMBER(E250),YEARFRAC('參數'!$B$4,E250),"")</f>
        <v/>
      </c>
      <c r="V250" s="8">
        <f>IF(U250="","",IF(U250&lt;3,"1-3y",IF(U250&lt;5,"3-5y",IF(U250&lt;7,"5-7y",IF(U250&lt;10,"7-10y","10y+")))))</f>
        <v/>
      </c>
      <c r="W250" s="30">
        <f>IF($A250="","",IFERROR(INDEX('參數'!$B$24:$B$45,MATCH(G250,'參數'!$A$24:$A$45,0)),""))</f>
        <v/>
      </c>
      <c r="X250" s="8">
        <f>IF($A250="","",IFERROR(INDEX('參數'!$C$24:$C$45,MATCH(G250,'參數'!$A$24:$A$45,0)),""))</f>
        <v/>
      </c>
      <c r="Y250" s="30">
        <f>IF(AND(ISNUMBER(N250),ISNUMBER(O250),ISNUMBER(U250)),IF(AND(O250&gt;0,X250&lt;&gt;""),1,0),0)</f>
        <v/>
      </c>
      <c r="Z250" s="17">
        <f>IF(Y250=1,O250*N250,"")</f>
        <v/>
      </c>
      <c r="AA250" s="33">
        <f>IF(Y250=1,IF(ISNUMBER(Q250),N250-Q250,""),"")</f>
        <v/>
      </c>
      <c r="AB250" s="33">
        <f>IF(Y250=1,IF(AND(ISNUMBER(P250),ISNUMBER(R250)),R250*5/12-O250*(P250-R250),""),"")</f>
        <v/>
      </c>
      <c r="AC250" s="30">
        <f>IF(Y250=1,COUNTIFS($X$5:$X$404,X250,$V$5:$V$404,V250,$Y$5:$Y$404,1),"")</f>
        <v/>
      </c>
      <c r="AD250" s="30">
        <f>IF(Y250=1,IFERROR(IF(AC250&gt;='參數'!$B$9,INDEX('分群統計'!$G$13:$K$16,MATCH(X250,'分群統計'!$A$13:$A$16,0),MATCH(V250,'分群統計'!$G$12:$K$12,0)),INDEX('分群統計'!$I$5:$I$8,MATCH(X250,'分群統計'!$A$5:$A$8,0))),""),"")</f>
        <v/>
      </c>
      <c r="AE250" s="18">
        <f>IF(Y250=1,IFERROR(IF(AC250&gt;='參數'!$B$9,INDEX('分群統計'!$L$13:$P$16,MATCH(X250,'分群統計'!$A$13:$A$16,0),MATCH(V250,'分群統計'!$L$12:$P$12,0)),INDEX('分群統計'!$J$5:$J$8,MATCH(X250,'分群統計'!$A$5:$A$8,0))),""),"")</f>
        <v/>
      </c>
      <c r="AF250" s="31">
        <f>IF(ISNUMBER(AE250),IF(AE250&gt;0,MAX(-3,MIN(3,(N250-AD250)/AE250)),0),"")</f>
        <v/>
      </c>
      <c r="AG250" s="30">
        <f>IF(Y250=1,COUNTIFS($B$5:$B$404,B250,$Y$5:$Y$404,1),"")</f>
        <v/>
      </c>
      <c r="AH250" s="30">
        <f>IF(Y250=1,IFERROR(IF(ISNUMBER(INDEX('分群統計'!$G$20:$G$59,MATCH(B250,'分群統計'!$A$20:$A$59,0))),INDEX('分群統計'!$H$20:$H$59,MATCH(B250,'分群統計'!$A$20:$A$59,0))+INDEX('分群統計'!$G$20:$G$59,MATCH(B250,'分群統計'!$A$20:$A$59,0))*AU250,""),""),"")</f>
        <v/>
      </c>
      <c r="AI250" s="34">
        <f>IF(ISNUMBER(AH250),N250-AH250,"")</f>
        <v/>
      </c>
      <c r="AJ250" s="30">
        <f>IF(Y250=1,IFERROR(IF(ISNUMBER(INDEX('分群統計'!$G$5:$G$8,MATCH(X250,'分群統計'!$A$5:$A$8,0))),INDEX('分群統計'!$H$5:$H$8,MATCH(X250,'分群統計'!$A$5:$A$8,0))+INDEX('分群統計'!$G$5:$G$8,MATCH(X250,'分群統計'!$A$5:$A$8,0))*AU250,""),""),"")</f>
        <v/>
      </c>
      <c r="AK250" s="34">
        <f>IF(ISNUMBER(AJ250),N250-AJ250,"")</f>
        <v/>
      </c>
      <c r="AL250" s="21">
        <f>IF(ISNUMBER(AJ250),IF(AJ250&gt;0,AK250/AJ250,""),"")</f>
        <v/>
      </c>
      <c r="AM250" s="31">
        <f>IF(AY250&lt;&gt;1,"",IFERROR(IF(INDEX('分群統計'!$K$5:$K$8,MATCH(X250,'分群統計'!$A$5:$A$8,0))&lt;3,"",IF(INDEX('分群統計'!$M$5:$M$8,MATCH(X250,'分群統計'!$A$5:$A$8,0))&gt;0,MAX(-3,MIN(3,(AX250-INDEX('分群統計'!$L$5:$L$8,MATCH(X250,'分群統計'!$A$5:$A$8,0)))/INDEX('分群統計'!$M$5:$M$8,MATCH(X250,'分群統計'!$A$5:$A$8,0)))),0)),""))</f>
        <v/>
      </c>
      <c r="AN250" s="31">
        <f>IF(ISNUMBER(AB250),IF(Z250&gt;0,AB250/Z250*100,""),"")</f>
        <v/>
      </c>
      <c r="AO250" s="31">
        <f>IF(BA250&lt;&gt;1,"",IFERROR(IF(INDEX('分群統計'!$N$5:$N$8,MATCH(X250,'分群統計'!$A$5:$A$8,0))&lt;3,"",IF(INDEX('分群統計'!$P$5:$P$8,MATCH(X250,'分群統計'!$A$5:$A$8,0))&gt;0,MAX(-3,MIN(3,(AZ250-INDEX('分群統計'!$O$5:$O$8,MATCH(X250,'分群統計'!$A$5:$A$8,0)))/INDEX('分群統計'!$P$5:$P$8,MATCH(X250,'分群統計'!$A$5:$A$8,0)))),0)),""))</f>
        <v/>
      </c>
      <c r="AP250" s="31">
        <f>IF(BC250&lt;&gt;1,"",IFERROR(IF(INDEX('分群統計'!$Q$5:$Q$8,MATCH(X250,'分群統計'!$A$5:$A$8,0))&lt;3,"",IF(INDEX('分群統計'!$S$5:$S$8,MATCH(X250,'分群統計'!$A$5:$A$8,0))&gt;0,MAX(-3,MIN(3,(BB250-INDEX('分群統計'!$R$5:$R$8,MATCH(X250,'分群統計'!$A$5:$A$8,0)))/INDEX('分群統計'!$S$5:$S$8,MATCH(X250,'分群統計'!$A$5:$A$8,0)))),0)),""))</f>
        <v/>
      </c>
      <c r="AQ250" s="31">
        <f>IF(Y250=1,(IF(ISNUMBER(AF250),AF250,0)*'參數'!$B$13+IF(ISNUMBER(AM250),AM250,0)*'參數'!$B$14+IF(ISNUMBER(AO250),AO250,0)*'參數'!$B$15+IF(ISNUMBER(AP250),AP250,0)*'參數'!$B$16)/('參數'!$B$13+'參數'!$B$14+'參數'!$B$15+'參數'!$B$16),"")</f>
        <v/>
      </c>
      <c r="AR250" s="35">
        <f>IF(Y250=1,(SUMPRODUCT(($X$5:$X$404=X250)*($Y$5:$Y$404=1)*($BD$5:$BD$404&gt;BD250))+1)/COUNTIFS($X$5:$X$404,X250,$Y$5:$Y$404,1),"")</f>
        <v/>
      </c>
      <c r="AS250" s="8">
        <f>IF(ISNUMBER(AR250),IF(AR250&lt;='參數'!$B$18,"加碼候選",IF(AR250&gt;'參數'!$B$19,"減碼候選","")),"")</f>
        <v/>
      </c>
      <c r="AT250" s="7">
        <f>IF(Y250=1,N250,0)</f>
        <v/>
      </c>
      <c r="AU250" s="7">
        <f>IF(Y250=1,LN(O250),0)</f>
        <v/>
      </c>
      <c r="AV250" s="36">
        <f>IF(Y250=1,IF(ISNUMBER(F250),F250,0),0)</f>
        <v/>
      </c>
      <c r="AW250" s="7">
        <f>IF(Y250=1,Z250,0)</f>
        <v/>
      </c>
      <c r="AX250" s="7">
        <f>IF(Y250=1,IF(ISNUMBER(AL250),AL250,0),0)</f>
        <v/>
      </c>
      <c r="AY250" s="7">
        <f>IF(Y250=1,IF(ISNUMBER(AL250),1,0),0)</f>
        <v/>
      </c>
      <c r="AZ250" s="7">
        <f>IF(Y250=1,IF(ISNUMBER(AN250),AN250,0),0)</f>
        <v/>
      </c>
      <c r="BA250" s="7">
        <f>IF(Y250=1,IF(ISNUMBER(AN250),1,0),0)</f>
        <v/>
      </c>
      <c r="BB250" s="7">
        <f>IF(Y250=1,IF(ISNUMBER(T250),T250,0),0)</f>
        <v/>
      </c>
      <c r="BC250" s="7">
        <f>IF(Y250=1,IF(ISNUMBER(T250),1,0),0)</f>
        <v/>
      </c>
      <c r="BD250" s="7">
        <f>IF(Y250=1,AQ250+ROW()/1E9,-1E9)</f>
        <v/>
      </c>
      <c r="BE250" s="7">
        <f>IF(Y250=1,AQ250+ROW()/1E9,1E9)</f>
        <v/>
      </c>
    </row>
    <row r="251">
      <c r="A251" s="16" t="n"/>
      <c r="B251" s="8">
        <f>IF($A251="","",BDP($A251,B$3))</f>
        <v/>
      </c>
      <c r="C251" s="8">
        <f>IF($A251="","",BDP($A251,C$3))</f>
        <v/>
      </c>
      <c r="D251" s="28">
        <f>IF($A251="","",BDP($A251,D$3))</f>
        <v/>
      </c>
      <c r="E251" s="29">
        <f>IF($A251="","",BDP($A251,E$3))</f>
        <v/>
      </c>
      <c r="F251" s="17">
        <f>IF($A251="","",BDP($A251,F$3))</f>
        <v/>
      </c>
      <c r="G251" s="8">
        <f>IF($A251="","",BDP($A251,G$3))</f>
        <v/>
      </c>
      <c r="H251" s="8">
        <f>IF($A251="","",BDP($A251,H$3))</f>
        <v/>
      </c>
      <c r="I251" s="8">
        <f>IF($A251="","",BDP($A251,I$3))</f>
        <v/>
      </c>
      <c r="J251" s="8">
        <f>IF($A251="","",BDP($A251,J$3))</f>
        <v/>
      </c>
      <c r="K251" s="8">
        <f>IF($A251="","",BDP($A251,K$3))</f>
        <v/>
      </c>
      <c r="L251" s="28">
        <f>IF($A251="","",BDP($A251,L$3))</f>
        <v/>
      </c>
      <c r="M251" s="28">
        <f>IF($A251="","",BDP($A251,M$3))</f>
        <v/>
      </c>
      <c r="N251" s="30">
        <f>IF($A251="","",BDP($A251,N$3))</f>
        <v/>
      </c>
      <c r="O251" s="31">
        <f>IF($A251="","",BDP($A251,O$3))</f>
        <v/>
      </c>
      <c r="P251" s="30">
        <f>IF($A251="","",BDH($A251,$N$3,'參數'!$B$5,'參數'!$B$5,"Days=A","Fill=P","Dates=H"))</f>
        <v/>
      </c>
      <c r="Q251" s="30">
        <f>IF($A251="","",BDH($A251,$N$3,'參數'!$B$6,'參數'!$B$6,"Days=A","Fill=P","Dates=H"))</f>
        <v/>
      </c>
      <c r="R251" s="30">
        <f>IF($A251="","",BDH($A251,$N$3,'參數'!$B$7,'參數'!$B$7,"Days=A","Fill=P","Dates=H"))</f>
        <v/>
      </c>
      <c r="S251" s="32">
        <f>IF($A251="","",IFERROR(INDEX('發行人'!$A$5:$A$44,MATCH(B251,'發行人'!$D$5:$D$44,0)),"未對應"))</f>
        <v/>
      </c>
      <c r="T251" s="24">
        <f>IF($A251="","",IFERROR(INDEX('發行人'!$G$5:$G$44,MATCH(B251,'發行人'!$D$5:$D$44,0))+0,""))</f>
        <v/>
      </c>
      <c r="U251" s="18">
        <f>IF(ISNUMBER(E251),YEARFRAC('參數'!$B$4,E251),"")</f>
        <v/>
      </c>
      <c r="V251" s="8">
        <f>IF(U251="","",IF(U251&lt;3,"1-3y",IF(U251&lt;5,"3-5y",IF(U251&lt;7,"5-7y",IF(U251&lt;10,"7-10y","10y+")))))</f>
        <v/>
      </c>
      <c r="W251" s="30">
        <f>IF($A251="","",IFERROR(INDEX('參數'!$B$24:$B$45,MATCH(G251,'參數'!$A$24:$A$45,0)),""))</f>
        <v/>
      </c>
      <c r="X251" s="8">
        <f>IF($A251="","",IFERROR(INDEX('參數'!$C$24:$C$45,MATCH(G251,'參數'!$A$24:$A$45,0)),""))</f>
        <v/>
      </c>
      <c r="Y251" s="30">
        <f>IF(AND(ISNUMBER(N251),ISNUMBER(O251),ISNUMBER(U251)),IF(AND(O251&gt;0,X251&lt;&gt;""),1,0),0)</f>
        <v/>
      </c>
      <c r="Z251" s="17">
        <f>IF(Y251=1,O251*N251,"")</f>
        <v/>
      </c>
      <c r="AA251" s="33">
        <f>IF(Y251=1,IF(ISNUMBER(Q251),N251-Q251,""),"")</f>
        <v/>
      </c>
      <c r="AB251" s="33">
        <f>IF(Y251=1,IF(AND(ISNUMBER(P251),ISNUMBER(R251)),R251*5/12-O251*(P251-R251),""),"")</f>
        <v/>
      </c>
      <c r="AC251" s="30">
        <f>IF(Y251=1,COUNTIFS($X$5:$X$404,X251,$V$5:$V$404,V251,$Y$5:$Y$404,1),"")</f>
        <v/>
      </c>
      <c r="AD251" s="30">
        <f>IF(Y251=1,IFERROR(IF(AC251&gt;='參數'!$B$9,INDEX('分群統計'!$G$13:$K$16,MATCH(X251,'分群統計'!$A$13:$A$16,0),MATCH(V251,'分群統計'!$G$12:$K$12,0)),INDEX('分群統計'!$I$5:$I$8,MATCH(X251,'分群統計'!$A$5:$A$8,0))),""),"")</f>
        <v/>
      </c>
      <c r="AE251" s="18">
        <f>IF(Y251=1,IFERROR(IF(AC251&gt;='參數'!$B$9,INDEX('分群統計'!$L$13:$P$16,MATCH(X251,'分群統計'!$A$13:$A$16,0),MATCH(V251,'分群統計'!$L$12:$P$12,0)),INDEX('分群統計'!$J$5:$J$8,MATCH(X251,'分群統計'!$A$5:$A$8,0))),""),"")</f>
        <v/>
      </c>
      <c r="AF251" s="31">
        <f>IF(ISNUMBER(AE251),IF(AE251&gt;0,MAX(-3,MIN(3,(N251-AD251)/AE251)),0),"")</f>
        <v/>
      </c>
      <c r="AG251" s="30">
        <f>IF(Y251=1,COUNTIFS($B$5:$B$404,B251,$Y$5:$Y$404,1),"")</f>
        <v/>
      </c>
      <c r="AH251" s="30">
        <f>IF(Y251=1,IFERROR(IF(ISNUMBER(INDEX('分群統計'!$G$20:$G$59,MATCH(B251,'分群統計'!$A$20:$A$59,0))),INDEX('分群統計'!$H$20:$H$59,MATCH(B251,'分群統計'!$A$20:$A$59,0))+INDEX('分群統計'!$G$20:$G$59,MATCH(B251,'分群統計'!$A$20:$A$59,0))*AU251,""),""),"")</f>
        <v/>
      </c>
      <c r="AI251" s="34">
        <f>IF(ISNUMBER(AH251),N251-AH251,"")</f>
        <v/>
      </c>
      <c r="AJ251" s="30">
        <f>IF(Y251=1,IFERROR(IF(ISNUMBER(INDEX('分群統計'!$G$5:$G$8,MATCH(X251,'分群統計'!$A$5:$A$8,0))),INDEX('分群統計'!$H$5:$H$8,MATCH(X251,'分群統計'!$A$5:$A$8,0))+INDEX('分群統計'!$G$5:$G$8,MATCH(X251,'分群統計'!$A$5:$A$8,0))*AU251,""),""),"")</f>
        <v/>
      </c>
      <c r="AK251" s="34">
        <f>IF(ISNUMBER(AJ251),N251-AJ251,"")</f>
        <v/>
      </c>
      <c r="AL251" s="21">
        <f>IF(ISNUMBER(AJ251),IF(AJ251&gt;0,AK251/AJ251,""),"")</f>
        <v/>
      </c>
      <c r="AM251" s="31">
        <f>IF(AY251&lt;&gt;1,"",IFERROR(IF(INDEX('分群統計'!$K$5:$K$8,MATCH(X251,'分群統計'!$A$5:$A$8,0))&lt;3,"",IF(INDEX('分群統計'!$M$5:$M$8,MATCH(X251,'分群統計'!$A$5:$A$8,0))&gt;0,MAX(-3,MIN(3,(AX251-INDEX('分群統計'!$L$5:$L$8,MATCH(X251,'分群統計'!$A$5:$A$8,0)))/INDEX('分群統計'!$M$5:$M$8,MATCH(X251,'分群統計'!$A$5:$A$8,0)))),0)),""))</f>
        <v/>
      </c>
      <c r="AN251" s="31">
        <f>IF(ISNUMBER(AB251),IF(Z251&gt;0,AB251/Z251*100,""),"")</f>
        <v/>
      </c>
      <c r="AO251" s="31">
        <f>IF(BA251&lt;&gt;1,"",IFERROR(IF(INDEX('分群統計'!$N$5:$N$8,MATCH(X251,'分群統計'!$A$5:$A$8,0))&lt;3,"",IF(INDEX('分群統計'!$P$5:$P$8,MATCH(X251,'分群統計'!$A$5:$A$8,0))&gt;0,MAX(-3,MIN(3,(AZ251-INDEX('分群統計'!$O$5:$O$8,MATCH(X251,'分群統計'!$A$5:$A$8,0)))/INDEX('分群統計'!$P$5:$P$8,MATCH(X251,'分群統計'!$A$5:$A$8,0)))),0)),""))</f>
        <v/>
      </c>
      <c r="AP251" s="31">
        <f>IF(BC251&lt;&gt;1,"",IFERROR(IF(INDEX('分群統計'!$Q$5:$Q$8,MATCH(X251,'分群統計'!$A$5:$A$8,0))&lt;3,"",IF(INDEX('分群統計'!$S$5:$S$8,MATCH(X251,'分群統計'!$A$5:$A$8,0))&gt;0,MAX(-3,MIN(3,(BB251-INDEX('分群統計'!$R$5:$R$8,MATCH(X251,'分群統計'!$A$5:$A$8,0)))/INDEX('分群統計'!$S$5:$S$8,MATCH(X251,'分群統計'!$A$5:$A$8,0)))),0)),""))</f>
        <v/>
      </c>
      <c r="AQ251" s="31">
        <f>IF(Y251=1,(IF(ISNUMBER(AF251),AF251,0)*'參數'!$B$13+IF(ISNUMBER(AM251),AM251,0)*'參數'!$B$14+IF(ISNUMBER(AO251),AO251,0)*'參數'!$B$15+IF(ISNUMBER(AP251),AP251,0)*'參數'!$B$16)/('參數'!$B$13+'參數'!$B$14+'參數'!$B$15+'參數'!$B$16),"")</f>
        <v/>
      </c>
      <c r="AR251" s="35">
        <f>IF(Y251=1,(SUMPRODUCT(($X$5:$X$404=X251)*($Y$5:$Y$404=1)*($BD$5:$BD$404&gt;BD251))+1)/COUNTIFS($X$5:$X$404,X251,$Y$5:$Y$404,1),"")</f>
        <v/>
      </c>
      <c r="AS251" s="8">
        <f>IF(ISNUMBER(AR251),IF(AR251&lt;='參數'!$B$18,"加碼候選",IF(AR251&gt;'參數'!$B$19,"減碼候選","")),"")</f>
        <v/>
      </c>
      <c r="AT251" s="7">
        <f>IF(Y251=1,N251,0)</f>
        <v/>
      </c>
      <c r="AU251" s="7">
        <f>IF(Y251=1,LN(O251),0)</f>
        <v/>
      </c>
      <c r="AV251" s="36">
        <f>IF(Y251=1,IF(ISNUMBER(F251),F251,0),0)</f>
        <v/>
      </c>
      <c r="AW251" s="7">
        <f>IF(Y251=1,Z251,0)</f>
        <v/>
      </c>
      <c r="AX251" s="7">
        <f>IF(Y251=1,IF(ISNUMBER(AL251),AL251,0),0)</f>
        <v/>
      </c>
      <c r="AY251" s="7">
        <f>IF(Y251=1,IF(ISNUMBER(AL251),1,0),0)</f>
        <v/>
      </c>
      <c r="AZ251" s="7">
        <f>IF(Y251=1,IF(ISNUMBER(AN251),AN251,0),0)</f>
        <v/>
      </c>
      <c r="BA251" s="7">
        <f>IF(Y251=1,IF(ISNUMBER(AN251),1,0),0)</f>
        <v/>
      </c>
      <c r="BB251" s="7">
        <f>IF(Y251=1,IF(ISNUMBER(T251),T251,0),0)</f>
        <v/>
      </c>
      <c r="BC251" s="7">
        <f>IF(Y251=1,IF(ISNUMBER(T251),1,0),0)</f>
        <v/>
      </c>
      <c r="BD251" s="7">
        <f>IF(Y251=1,AQ251+ROW()/1E9,-1E9)</f>
        <v/>
      </c>
      <c r="BE251" s="7">
        <f>IF(Y251=1,AQ251+ROW()/1E9,1E9)</f>
        <v/>
      </c>
    </row>
    <row r="252">
      <c r="A252" s="16" t="n"/>
      <c r="B252" s="8">
        <f>IF($A252="","",BDP($A252,B$3))</f>
        <v/>
      </c>
      <c r="C252" s="8">
        <f>IF($A252="","",BDP($A252,C$3))</f>
        <v/>
      </c>
      <c r="D252" s="28">
        <f>IF($A252="","",BDP($A252,D$3))</f>
        <v/>
      </c>
      <c r="E252" s="29">
        <f>IF($A252="","",BDP($A252,E$3))</f>
        <v/>
      </c>
      <c r="F252" s="17">
        <f>IF($A252="","",BDP($A252,F$3))</f>
        <v/>
      </c>
      <c r="G252" s="8">
        <f>IF($A252="","",BDP($A252,G$3))</f>
        <v/>
      </c>
      <c r="H252" s="8">
        <f>IF($A252="","",BDP($A252,H$3))</f>
        <v/>
      </c>
      <c r="I252" s="8">
        <f>IF($A252="","",BDP($A252,I$3))</f>
        <v/>
      </c>
      <c r="J252" s="8">
        <f>IF($A252="","",BDP($A252,J$3))</f>
        <v/>
      </c>
      <c r="K252" s="8">
        <f>IF($A252="","",BDP($A252,K$3))</f>
        <v/>
      </c>
      <c r="L252" s="28">
        <f>IF($A252="","",BDP($A252,L$3))</f>
        <v/>
      </c>
      <c r="M252" s="28">
        <f>IF($A252="","",BDP($A252,M$3))</f>
        <v/>
      </c>
      <c r="N252" s="30">
        <f>IF($A252="","",BDP($A252,N$3))</f>
        <v/>
      </c>
      <c r="O252" s="31">
        <f>IF($A252="","",BDP($A252,O$3))</f>
        <v/>
      </c>
      <c r="P252" s="30">
        <f>IF($A252="","",BDH($A252,$N$3,'參數'!$B$5,'參數'!$B$5,"Days=A","Fill=P","Dates=H"))</f>
        <v/>
      </c>
      <c r="Q252" s="30">
        <f>IF($A252="","",BDH($A252,$N$3,'參數'!$B$6,'參數'!$B$6,"Days=A","Fill=P","Dates=H"))</f>
        <v/>
      </c>
      <c r="R252" s="30">
        <f>IF($A252="","",BDH($A252,$N$3,'參數'!$B$7,'參數'!$B$7,"Days=A","Fill=P","Dates=H"))</f>
        <v/>
      </c>
      <c r="S252" s="32">
        <f>IF($A252="","",IFERROR(INDEX('發行人'!$A$5:$A$44,MATCH(B252,'發行人'!$D$5:$D$44,0)),"未對應"))</f>
        <v/>
      </c>
      <c r="T252" s="24">
        <f>IF($A252="","",IFERROR(INDEX('發行人'!$G$5:$G$44,MATCH(B252,'發行人'!$D$5:$D$44,0))+0,""))</f>
        <v/>
      </c>
      <c r="U252" s="18">
        <f>IF(ISNUMBER(E252),YEARFRAC('參數'!$B$4,E252),"")</f>
        <v/>
      </c>
      <c r="V252" s="8">
        <f>IF(U252="","",IF(U252&lt;3,"1-3y",IF(U252&lt;5,"3-5y",IF(U252&lt;7,"5-7y",IF(U252&lt;10,"7-10y","10y+")))))</f>
        <v/>
      </c>
      <c r="W252" s="30">
        <f>IF($A252="","",IFERROR(INDEX('參數'!$B$24:$B$45,MATCH(G252,'參數'!$A$24:$A$45,0)),""))</f>
        <v/>
      </c>
      <c r="X252" s="8">
        <f>IF($A252="","",IFERROR(INDEX('參數'!$C$24:$C$45,MATCH(G252,'參數'!$A$24:$A$45,0)),""))</f>
        <v/>
      </c>
      <c r="Y252" s="30">
        <f>IF(AND(ISNUMBER(N252),ISNUMBER(O252),ISNUMBER(U252)),IF(AND(O252&gt;0,X252&lt;&gt;""),1,0),0)</f>
        <v/>
      </c>
      <c r="Z252" s="17">
        <f>IF(Y252=1,O252*N252,"")</f>
        <v/>
      </c>
      <c r="AA252" s="33">
        <f>IF(Y252=1,IF(ISNUMBER(Q252),N252-Q252,""),"")</f>
        <v/>
      </c>
      <c r="AB252" s="33">
        <f>IF(Y252=1,IF(AND(ISNUMBER(P252),ISNUMBER(R252)),R252*5/12-O252*(P252-R252),""),"")</f>
        <v/>
      </c>
      <c r="AC252" s="30">
        <f>IF(Y252=1,COUNTIFS($X$5:$X$404,X252,$V$5:$V$404,V252,$Y$5:$Y$404,1),"")</f>
        <v/>
      </c>
      <c r="AD252" s="30">
        <f>IF(Y252=1,IFERROR(IF(AC252&gt;='參數'!$B$9,INDEX('分群統計'!$G$13:$K$16,MATCH(X252,'分群統計'!$A$13:$A$16,0),MATCH(V252,'分群統計'!$G$12:$K$12,0)),INDEX('分群統計'!$I$5:$I$8,MATCH(X252,'分群統計'!$A$5:$A$8,0))),""),"")</f>
        <v/>
      </c>
      <c r="AE252" s="18">
        <f>IF(Y252=1,IFERROR(IF(AC252&gt;='參數'!$B$9,INDEX('分群統計'!$L$13:$P$16,MATCH(X252,'分群統計'!$A$13:$A$16,0),MATCH(V252,'分群統計'!$L$12:$P$12,0)),INDEX('分群統計'!$J$5:$J$8,MATCH(X252,'分群統計'!$A$5:$A$8,0))),""),"")</f>
        <v/>
      </c>
      <c r="AF252" s="31">
        <f>IF(ISNUMBER(AE252),IF(AE252&gt;0,MAX(-3,MIN(3,(N252-AD252)/AE252)),0),"")</f>
        <v/>
      </c>
      <c r="AG252" s="30">
        <f>IF(Y252=1,COUNTIFS($B$5:$B$404,B252,$Y$5:$Y$404,1),"")</f>
        <v/>
      </c>
      <c r="AH252" s="30">
        <f>IF(Y252=1,IFERROR(IF(ISNUMBER(INDEX('分群統計'!$G$20:$G$59,MATCH(B252,'分群統計'!$A$20:$A$59,0))),INDEX('分群統計'!$H$20:$H$59,MATCH(B252,'分群統計'!$A$20:$A$59,0))+INDEX('分群統計'!$G$20:$G$59,MATCH(B252,'分群統計'!$A$20:$A$59,0))*AU252,""),""),"")</f>
        <v/>
      </c>
      <c r="AI252" s="34">
        <f>IF(ISNUMBER(AH252),N252-AH252,"")</f>
        <v/>
      </c>
      <c r="AJ252" s="30">
        <f>IF(Y252=1,IFERROR(IF(ISNUMBER(INDEX('分群統計'!$G$5:$G$8,MATCH(X252,'分群統計'!$A$5:$A$8,0))),INDEX('分群統計'!$H$5:$H$8,MATCH(X252,'分群統計'!$A$5:$A$8,0))+INDEX('分群統計'!$G$5:$G$8,MATCH(X252,'分群統計'!$A$5:$A$8,0))*AU252,""),""),"")</f>
        <v/>
      </c>
      <c r="AK252" s="34">
        <f>IF(ISNUMBER(AJ252),N252-AJ252,"")</f>
        <v/>
      </c>
      <c r="AL252" s="21">
        <f>IF(ISNUMBER(AJ252),IF(AJ252&gt;0,AK252/AJ252,""),"")</f>
        <v/>
      </c>
      <c r="AM252" s="31">
        <f>IF(AY252&lt;&gt;1,"",IFERROR(IF(INDEX('分群統計'!$K$5:$K$8,MATCH(X252,'分群統計'!$A$5:$A$8,0))&lt;3,"",IF(INDEX('分群統計'!$M$5:$M$8,MATCH(X252,'分群統計'!$A$5:$A$8,0))&gt;0,MAX(-3,MIN(3,(AX252-INDEX('分群統計'!$L$5:$L$8,MATCH(X252,'分群統計'!$A$5:$A$8,0)))/INDEX('分群統計'!$M$5:$M$8,MATCH(X252,'分群統計'!$A$5:$A$8,0)))),0)),""))</f>
        <v/>
      </c>
      <c r="AN252" s="31">
        <f>IF(ISNUMBER(AB252),IF(Z252&gt;0,AB252/Z252*100,""),"")</f>
        <v/>
      </c>
      <c r="AO252" s="31">
        <f>IF(BA252&lt;&gt;1,"",IFERROR(IF(INDEX('分群統計'!$N$5:$N$8,MATCH(X252,'分群統計'!$A$5:$A$8,0))&lt;3,"",IF(INDEX('分群統計'!$P$5:$P$8,MATCH(X252,'分群統計'!$A$5:$A$8,0))&gt;0,MAX(-3,MIN(3,(AZ252-INDEX('分群統計'!$O$5:$O$8,MATCH(X252,'分群統計'!$A$5:$A$8,0)))/INDEX('分群統計'!$P$5:$P$8,MATCH(X252,'分群統計'!$A$5:$A$8,0)))),0)),""))</f>
        <v/>
      </c>
      <c r="AP252" s="31">
        <f>IF(BC252&lt;&gt;1,"",IFERROR(IF(INDEX('分群統計'!$Q$5:$Q$8,MATCH(X252,'分群統計'!$A$5:$A$8,0))&lt;3,"",IF(INDEX('分群統計'!$S$5:$S$8,MATCH(X252,'分群統計'!$A$5:$A$8,0))&gt;0,MAX(-3,MIN(3,(BB252-INDEX('分群統計'!$R$5:$R$8,MATCH(X252,'分群統計'!$A$5:$A$8,0)))/INDEX('分群統計'!$S$5:$S$8,MATCH(X252,'分群統計'!$A$5:$A$8,0)))),0)),""))</f>
        <v/>
      </c>
      <c r="AQ252" s="31">
        <f>IF(Y252=1,(IF(ISNUMBER(AF252),AF252,0)*'參數'!$B$13+IF(ISNUMBER(AM252),AM252,0)*'參數'!$B$14+IF(ISNUMBER(AO252),AO252,0)*'參數'!$B$15+IF(ISNUMBER(AP252),AP252,0)*'參數'!$B$16)/('參數'!$B$13+'參數'!$B$14+'參數'!$B$15+'參數'!$B$16),"")</f>
        <v/>
      </c>
      <c r="AR252" s="35">
        <f>IF(Y252=1,(SUMPRODUCT(($X$5:$X$404=X252)*($Y$5:$Y$404=1)*($BD$5:$BD$404&gt;BD252))+1)/COUNTIFS($X$5:$X$404,X252,$Y$5:$Y$404,1),"")</f>
        <v/>
      </c>
      <c r="AS252" s="8">
        <f>IF(ISNUMBER(AR252),IF(AR252&lt;='參數'!$B$18,"加碼候選",IF(AR252&gt;'參數'!$B$19,"減碼候選","")),"")</f>
        <v/>
      </c>
      <c r="AT252" s="7">
        <f>IF(Y252=1,N252,0)</f>
        <v/>
      </c>
      <c r="AU252" s="7">
        <f>IF(Y252=1,LN(O252),0)</f>
        <v/>
      </c>
      <c r="AV252" s="36">
        <f>IF(Y252=1,IF(ISNUMBER(F252),F252,0),0)</f>
        <v/>
      </c>
      <c r="AW252" s="7">
        <f>IF(Y252=1,Z252,0)</f>
        <v/>
      </c>
      <c r="AX252" s="7">
        <f>IF(Y252=1,IF(ISNUMBER(AL252),AL252,0),0)</f>
        <v/>
      </c>
      <c r="AY252" s="7">
        <f>IF(Y252=1,IF(ISNUMBER(AL252),1,0),0)</f>
        <v/>
      </c>
      <c r="AZ252" s="7">
        <f>IF(Y252=1,IF(ISNUMBER(AN252),AN252,0),0)</f>
        <v/>
      </c>
      <c r="BA252" s="7">
        <f>IF(Y252=1,IF(ISNUMBER(AN252),1,0),0)</f>
        <v/>
      </c>
      <c r="BB252" s="7">
        <f>IF(Y252=1,IF(ISNUMBER(T252),T252,0),0)</f>
        <v/>
      </c>
      <c r="BC252" s="7">
        <f>IF(Y252=1,IF(ISNUMBER(T252),1,0),0)</f>
        <v/>
      </c>
      <c r="BD252" s="7">
        <f>IF(Y252=1,AQ252+ROW()/1E9,-1E9)</f>
        <v/>
      </c>
      <c r="BE252" s="7">
        <f>IF(Y252=1,AQ252+ROW()/1E9,1E9)</f>
        <v/>
      </c>
    </row>
    <row r="253">
      <c r="A253" s="16" t="n"/>
      <c r="B253" s="8">
        <f>IF($A253="","",BDP($A253,B$3))</f>
        <v/>
      </c>
      <c r="C253" s="8">
        <f>IF($A253="","",BDP($A253,C$3))</f>
        <v/>
      </c>
      <c r="D253" s="28">
        <f>IF($A253="","",BDP($A253,D$3))</f>
        <v/>
      </c>
      <c r="E253" s="29">
        <f>IF($A253="","",BDP($A253,E$3))</f>
        <v/>
      </c>
      <c r="F253" s="17">
        <f>IF($A253="","",BDP($A253,F$3))</f>
        <v/>
      </c>
      <c r="G253" s="8">
        <f>IF($A253="","",BDP($A253,G$3))</f>
        <v/>
      </c>
      <c r="H253" s="8">
        <f>IF($A253="","",BDP($A253,H$3))</f>
        <v/>
      </c>
      <c r="I253" s="8">
        <f>IF($A253="","",BDP($A253,I$3))</f>
        <v/>
      </c>
      <c r="J253" s="8">
        <f>IF($A253="","",BDP($A253,J$3))</f>
        <v/>
      </c>
      <c r="K253" s="8">
        <f>IF($A253="","",BDP($A253,K$3))</f>
        <v/>
      </c>
      <c r="L253" s="28">
        <f>IF($A253="","",BDP($A253,L$3))</f>
        <v/>
      </c>
      <c r="M253" s="28">
        <f>IF($A253="","",BDP($A253,M$3))</f>
        <v/>
      </c>
      <c r="N253" s="30">
        <f>IF($A253="","",BDP($A253,N$3))</f>
        <v/>
      </c>
      <c r="O253" s="31">
        <f>IF($A253="","",BDP($A253,O$3))</f>
        <v/>
      </c>
      <c r="P253" s="30">
        <f>IF($A253="","",BDH($A253,$N$3,'參數'!$B$5,'參數'!$B$5,"Days=A","Fill=P","Dates=H"))</f>
        <v/>
      </c>
      <c r="Q253" s="30">
        <f>IF($A253="","",BDH($A253,$N$3,'參數'!$B$6,'參數'!$B$6,"Days=A","Fill=P","Dates=H"))</f>
        <v/>
      </c>
      <c r="R253" s="30">
        <f>IF($A253="","",BDH($A253,$N$3,'參數'!$B$7,'參數'!$B$7,"Days=A","Fill=P","Dates=H"))</f>
        <v/>
      </c>
      <c r="S253" s="32">
        <f>IF($A253="","",IFERROR(INDEX('發行人'!$A$5:$A$44,MATCH(B253,'發行人'!$D$5:$D$44,0)),"未對應"))</f>
        <v/>
      </c>
      <c r="T253" s="24">
        <f>IF($A253="","",IFERROR(INDEX('發行人'!$G$5:$G$44,MATCH(B253,'發行人'!$D$5:$D$44,0))+0,""))</f>
        <v/>
      </c>
      <c r="U253" s="18">
        <f>IF(ISNUMBER(E253),YEARFRAC('參數'!$B$4,E253),"")</f>
        <v/>
      </c>
      <c r="V253" s="8">
        <f>IF(U253="","",IF(U253&lt;3,"1-3y",IF(U253&lt;5,"3-5y",IF(U253&lt;7,"5-7y",IF(U253&lt;10,"7-10y","10y+")))))</f>
        <v/>
      </c>
      <c r="W253" s="30">
        <f>IF($A253="","",IFERROR(INDEX('參數'!$B$24:$B$45,MATCH(G253,'參數'!$A$24:$A$45,0)),""))</f>
        <v/>
      </c>
      <c r="X253" s="8">
        <f>IF($A253="","",IFERROR(INDEX('參數'!$C$24:$C$45,MATCH(G253,'參數'!$A$24:$A$45,0)),""))</f>
        <v/>
      </c>
      <c r="Y253" s="30">
        <f>IF(AND(ISNUMBER(N253),ISNUMBER(O253),ISNUMBER(U253)),IF(AND(O253&gt;0,X253&lt;&gt;""),1,0),0)</f>
        <v/>
      </c>
      <c r="Z253" s="17">
        <f>IF(Y253=1,O253*N253,"")</f>
        <v/>
      </c>
      <c r="AA253" s="33">
        <f>IF(Y253=1,IF(ISNUMBER(Q253),N253-Q253,""),"")</f>
        <v/>
      </c>
      <c r="AB253" s="33">
        <f>IF(Y253=1,IF(AND(ISNUMBER(P253),ISNUMBER(R253)),R253*5/12-O253*(P253-R253),""),"")</f>
        <v/>
      </c>
      <c r="AC253" s="30">
        <f>IF(Y253=1,COUNTIFS($X$5:$X$404,X253,$V$5:$V$404,V253,$Y$5:$Y$404,1),"")</f>
        <v/>
      </c>
      <c r="AD253" s="30">
        <f>IF(Y253=1,IFERROR(IF(AC253&gt;='參數'!$B$9,INDEX('分群統計'!$G$13:$K$16,MATCH(X253,'分群統計'!$A$13:$A$16,0),MATCH(V253,'分群統計'!$G$12:$K$12,0)),INDEX('分群統計'!$I$5:$I$8,MATCH(X253,'分群統計'!$A$5:$A$8,0))),""),"")</f>
        <v/>
      </c>
      <c r="AE253" s="18">
        <f>IF(Y253=1,IFERROR(IF(AC253&gt;='參數'!$B$9,INDEX('分群統計'!$L$13:$P$16,MATCH(X253,'分群統計'!$A$13:$A$16,0),MATCH(V253,'分群統計'!$L$12:$P$12,0)),INDEX('分群統計'!$J$5:$J$8,MATCH(X253,'分群統計'!$A$5:$A$8,0))),""),"")</f>
        <v/>
      </c>
      <c r="AF253" s="31">
        <f>IF(ISNUMBER(AE253),IF(AE253&gt;0,MAX(-3,MIN(3,(N253-AD253)/AE253)),0),"")</f>
        <v/>
      </c>
      <c r="AG253" s="30">
        <f>IF(Y253=1,COUNTIFS($B$5:$B$404,B253,$Y$5:$Y$404,1),"")</f>
        <v/>
      </c>
      <c r="AH253" s="30">
        <f>IF(Y253=1,IFERROR(IF(ISNUMBER(INDEX('分群統計'!$G$20:$G$59,MATCH(B253,'分群統計'!$A$20:$A$59,0))),INDEX('分群統計'!$H$20:$H$59,MATCH(B253,'分群統計'!$A$20:$A$59,0))+INDEX('分群統計'!$G$20:$G$59,MATCH(B253,'分群統計'!$A$20:$A$59,0))*AU253,""),""),"")</f>
        <v/>
      </c>
      <c r="AI253" s="34">
        <f>IF(ISNUMBER(AH253),N253-AH253,"")</f>
        <v/>
      </c>
      <c r="AJ253" s="30">
        <f>IF(Y253=1,IFERROR(IF(ISNUMBER(INDEX('分群統計'!$G$5:$G$8,MATCH(X253,'分群統計'!$A$5:$A$8,0))),INDEX('分群統計'!$H$5:$H$8,MATCH(X253,'分群統計'!$A$5:$A$8,0))+INDEX('分群統計'!$G$5:$G$8,MATCH(X253,'分群統計'!$A$5:$A$8,0))*AU253,""),""),"")</f>
        <v/>
      </c>
      <c r="AK253" s="34">
        <f>IF(ISNUMBER(AJ253),N253-AJ253,"")</f>
        <v/>
      </c>
      <c r="AL253" s="21">
        <f>IF(ISNUMBER(AJ253),IF(AJ253&gt;0,AK253/AJ253,""),"")</f>
        <v/>
      </c>
      <c r="AM253" s="31">
        <f>IF(AY253&lt;&gt;1,"",IFERROR(IF(INDEX('分群統計'!$K$5:$K$8,MATCH(X253,'分群統計'!$A$5:$A$8,0))&lt;3,"",IF(INDEX('分群統計'!$M$5:$M$8,MATCH(X253,'分群統計'!$A$5:$A$8,0))&gt;0,MAX(-3,MIN(3,(AX253-INDEX('分群統計'!$L$5:$L$8,MATCH(X253,'分群統計'!$A$5:$A$8,0)))/INDEX('分群統計'!$M$5:$M$8,MATCH(X253,'分群統計'!$A$5:$A$8,0)))),0)),""))</f>
        <v/>
      </c>
      <c r="AN253" s="31">
        <f>IF(ISNUMBER(AB253),IF(Z253&gt;0,AB253/Z253*100,""),"")</f>
        <v/>
      </c>
      <c r="AO253" s="31">
        <f>IF(BA253&lt;&gt;1,"",IFERROR(IF(INDEX('分群統計'!$N$5:$N$8,MATCH(X253,'分群統計'!$A$5:$A$8,0))&lt;3,"",IF(INDEX('分群統計'!$P$5:$P$8,MATCH(X253,'分群統計'!$A$5:$A$8,0))&gt;0,MAX(-3,MIN(3,(AZ253-INDEX('分群統計'!$O$5:$O$8,MATCH(X253,'分群統計'!$A$5:$A$8,0)))/INDEX('分群統計'!$P$5:$P$8,MATCH(X253,'分群統計'!$A$5:$A$8,0)))),0)),""))</f>
        <v/>
      </c>
      <c r="AP253" s="31">
        <f>IF(BC253&lt;&gt;1,"",IFERROR(IF(INDEX('分群統計'!$Q$5:$Q$8,MATCH(X253,'分群統計'!$A$5:$A$8,0))&lt;3,"",IF(INDEX('分群統計'!$S$5:$S$8,MATCH(X253,'分群統計'!$A$5:$A$8,0))&gt;0,MAX(-3,MIN(3,(BB253-INDEX('分群統計'!$R$5:$R$8,MATCH(X253,'分群統計'!$A$5:$A$8,0)))/INDEX('分群統計'!$S$5:$S$8,MATCH(X253,'分群統計'!$A$5:$A$8,0)))),0)),""))</f>
        <v/>
      </c>
      <c r="AQ253" s="31">
        <f>IF(Y253=1,(IF(ISNUMBER(AF253),AF253,0)*'參數'!$B$13+IF(ISNUMBER(AM253),AM253,0)*'參數'!$B$14+IF(ISNUMBER(AO253),AO253,0)*'參數'!$B$15+IF(ISNUMBER(AP253),AP253,0)*'參數'!$B$16)/('參數'!$B$13+'參數'!$B$14+'參數'!$B$15+'參數'!$B$16),"")</f>
        <v/>
      </c>
      <c r="AR253" s="35">
        <f>IF(Y253=1,(SUMPRODUCT(($X$5:$X$404=X253)*($Y$5:$Y$404=1)*($BD$5:$BD$404&gt;BD253))+1)/COUNTIFS($X$5:$X$404,X253,$Y$5:$Y$404,1),"")</f>
        <v/>
      </c>
      <c r="AS253" s="8">
        <f>IF(ISNUMBER(AR253),IF(AR253&lt;='參數'!$B$18,"加碼候選",IF(AR253&gt;'參數'!$B$19,"減碼候選","")),"")</f>
        <v/>
      </c>
      <c r="AT253" s="7">
        <f>IF(Y253=1,N253,0)</f>
        <v/>
      </c>
      <c r="AU253" s="7">
        <f>IF(Y253=1,LN(O253),0)</f>
        <v/>
      </c>
      <c r="AV253" s="36">
        <f>IF(Y253=1,IF(ISNUMBER(F253),F253,0),0)</f>
        <v/>
      </c>
      <c r="AW253" s="7">
        <f>IF(Y253=1,Z253,0)</f>
        <v/>
      </c>
      <c r="AX253" s="7">
        <f>IF(Y253=1,IF(ISNUMBER(AL253),AL253,0),0)</f>
        <v/>
      </c>
      <c r="AY253" s="7">
        <f>IF(Y253=1,IF(ISNUMBER(AL253),1,0),0)</f>
        <v/>
      </c>
      <c r="AZ253" s="7">
        <f>IF(Y253=1,IF(ISNUMBER(AN253),AN253,0),0)</f>
        <v/>
      </c>
      <c r="BA253" s="7">
        <f>IF(Y253=1,IF(ISNUMBER(AN253),1,0),0)</f>
        <v/>
      </c>
      <c r="BB253" s="7">
        <f>IF(Y253=1,IF(ISNUMBER(T253),T253,0),0)</f>
        <v/>
      </c>
      <c r="BC253" s="7">
        <f>IF(Y253=1,IF(ISNUMBER(T253),1,0),0)</f>
        <v/>
      </c>
      <c r="BD253" s="7">
        <f>IF(Y253=1,AQ253+ROW()/1E9,-1E9)</f>
        <v/>
      </c>
      <c r="BE253" s="7">
        <f>IF(Y253=1,AQ253+ROW()/1E9,1E9)</f>
        <v/>
      </c>
    </row>
    <row r="254">
      <c r="A254" s="16" t="n"/>
      <c r="B254" s="8">
        <f>IF($A254="","",BDP($A254,B$3))</f>
        <v/>
      </c>
      <c r="C254" s="8">
        <f>IF($A254="","",BDP($A254,C$3))</f>
        <v/>
      </c>
      <c r="D254" s="28">
        <f>IF($A254="","",BDP($A254,D$3))</f>
        <v/>
      </c>
      <c r="E254" s="29">
        <f>IF($A254="","",BDP($A254,E$3))</f>
        <v/>
      </c>
      <c r="F254" s="17">
        <f>IF($A254="","",BDP($A254,F$3))</f>
        <v/>
      </c>
      <c r="G254" s="8">
        <f>IF($A254="","",BDP($A254,G$3))</f>
        <v/>
      </c>
      <c r="H254" s="8">
        <f>IF($A254="","",BDP($A254,H$3))</f>
        <v/>
      </c>
      <c r="I254" s="8">
        <f>IF($A254="","",BDP($A254,I$3))</f>
        <v/>
      </c>
      <c r="J254" s="8">
        <f>IF($A254="","",BDP($A254,J$3))</f>
        <v/>
      </c>
      <c r="K254" s="8">
        <f>IF($A254="","",BDP($A254,K$3))</f>
        <v/>
      </c>
      <c r="L254" s="28">
        <f>IF($A254="","",BDP($A254,L$3))</f>
        <v/>
      </c>
      <c r="M254" s="28">
        <f>IF($A254="","",BDP($A254,M$3))</f>
        <v/>
      </c>
      <c r="N254" s="30">
        <f>IF($A254="","",BDP($A254,N$3))</f>
        <v/>
      </c>
      <c r="O254" s="31">
        <f>IF($A254="","",BDP($A254,O$3))</f>
        <v/>
      </c>
      <c r="P254" s="30">
        <f>IF($A254="","",BDH($A254,$N$3,'參數'!$B$5,'參數'!$B$5,"Days=A","Fill=P","Dates=H"))</f>
        <v/>
      </c>
      <c r="Q254" s="30">
        <f>IF($A254="","",BDH($A254,$N$3,'參數'!$B$6,'參數'!$B$6,"Days=A","Fill=P","Dates=H"))</f>
        <v/>
      </c>
      <c r="R254" s="30">
        <f>IF($A254="","",BDH($A254,$N$3,'參數'!$B$7,'參數'!$B$7,"Days=A","Fill=P","Dates=H"))</f>
        <v/>
      </c>
      <c r="S254" s="32">
        <f>IF($A254="","",IFERROR(INDEX('發行人'!$A$5:$A$44,MATCH(B254,'發行人'!$D$5:$D$44,0)),"未對應"))</f>
        <v/>
      </c>
      <c r="T254" s="24">
        <f>IF($A254="","",IFERROR(INDEX('發行人'!$G$5:$G$44,MATCH(B254,'發行人'!$D$5:$D$44,0))+0,""))</f>
        <v/>
      </c>
      <c r="U254" s="18">
        <f>IF(ISNUMBER(E254),YEARFRAC('參數'!$B$4,E254),"")</f>
        <v/>
      </c>
      <c r="V254" s="8">
        <f>IF(U254="","",IF(U254&lt;3,"1-3y",IF(U254&lt;5,"3-5y",IF(U254&lt;7,"5-7y",IF(U254&lt;10,"7-10y","10y+")))))</f>
        <v/>
      </c>
      <c r="W254" s="30">
        <f>IF($A254="","",IFERROR(INDEX('參數'!$B$24:$B$45,MATCH(G254,'參數'!$A$24:$A$45,0)),""))</f>
        <v/>
      </c>
      <c r="X254" s="8">
        <f>IF($A254="","",IFERROR(INDEX('參數'!$C$24:$C$45,MATCH(G254,'參數'!$A$24:$A$45,0)),""))</f>
        <v/>
      </c>
      <c r="Y254" s="30">
        <f>IF(AND(ISNUMBER(N254),ISNUMBER(O254),ISNUMBER(U254)),IF(AND(O254&gt;0,X254&lt;&gt;""),1,0),0)</f>
        <v/>
      </c>
      <c r="Z254" s="17">
        <f>IF(Y254=1,O254*N254,"")</f>
        <v/>
      </c>
      <c r="AA254" s="33">
        <f>IF(Y254=1,IF(ISNUMBER(Q254),N254-Q254,""),"")</f>
        <v/>
      </c>
      <c r="AB254" s="33">
        <f>IF(Y254=1,IF(AND(ISNUMBER(P254),ISNUMBER(R254)),R254*5/12-O254*(P254-R254),""),"")</f>
        <v/>
      </c>
      <c r="AC254" s="30">
        <f>IF(Y254=1,COUNTIFS($X$5:$X$404,X254,$V$5:$V$404,V254,$Y$5:$Y$404,1),"")</f>
        <v/>
      </c>
      <c r="AD254" s="30">
        <f>IF(Y254=1,IFERROR(IF(AC254&gt;='參數'!$B$9,INDEX('分群統計'!$G$13:$K$16,MATCH(X254,'分群統計'!$A$13:$A$16,0),MATCH(V254,'分群統計'!$G$12:$K$12,0)),INDEX('分群統計'!$I$5:$I$8,MATCH(X254,'分群統計'!$A$5:$A$8,0))),""),"")</f>
        <v/>
      </c>
      <c r="AE254" s="18">
        <f>IF(Y254=1,IFERROR(IF(AC254&gt;='參數'!$B$9,INDEX('分群統計'!$L$13:$P$16,MATCH(X254,'分群統計'!$A$13:$A$16,0),MATCH(V254,'分群統計'!$L$12:$P$12,0)),INDEX('分群統計'!$J$5:$J$8,MATCH(X254,'分群統計'!$A$5:$A$8,0))),""),"")</f>
        <v/>
      </c>
      <c r="AF254" s="31">
        <f>IF(ISNUMBER(AE254),IF(AE254&gt;0,MAX(-3,MIN(3,(N254-AD254)/AE254)),0),"")</f>
        <v/>
      </c>
      <c r="AG254" s="30">
        <f>IF(Y254=1,COUNTIFS($B$5:$B$404,B254,$Y$5:$Y$404,1),"")</f>
        <v/>
      </c>
      <c r="AH254" s="30">
        <f>IF(Y254=1,IFERROR(IF(ISNUMBER(INDEX('分群統計'!$G$20:$G$59,MATCH(B254,'分群統計'!$A$20:$A$59,0))),INDEX('分群統計'!$H$20:$H$59,MATCH(B254,'分群統計'!$A$20:$A$59,0))+INDEX('分群統計'!$G$20:$G$59,MATCH(B254,'分群統計'!$A$20:$A$59,0))*AU254,""),""),"")</f>
        <v/>
      </c>
      <c r="AI254" s="34">
        <f>IF(ISNUMBER(AH254),N254-AH254,"")</f>
        <v/>
      </c>
      <c r="AJ254" s="30">
        <f>IF(Y254=1,IFERROR(IF(ISNUMBER(INDEX('分群統計'!$G$5:$G$8,MATCH(X254,'分群統計'!$A$5:$A$8,0))),INDEX('分群統計'!$H$5:$H$8,MATCH(X254,'分群統計'!$A$5:$A$8,0))+INDEX('分群統計'!$G$5:$G$8,MATCH(X254,'分群統計'!$A$5:$A$8,0))*AU254,""),""),"")</f>
        <v/>
      </c>
      <c r="AK254" s="34">
        <f>IF(ISNUMBER(AJ254),N254-AJ254,"")</f>
        <v/>
      </c>
      <c r="AL254" s="21">
        <f>IF(ISNUMBER(AJ254),IF(AJ254&gt;0,AK254/AJ254,""),"")</f>
        <v/>
      </c>
      <c r="AM254" s="31">
        <f>IF(AY254&lt;&gt;1,"",IFERROR(IF(INDEX('分群統計'!$K$5:$K$8,MATCH(X254,'分群統計'!$A$5:$A$8,0))&lt;3,"",IF(INDEX('分群統計'!$M$5:$M$8,MATCH(X254,'分群統計'!$A$5:$A$8,0))&gt;0,MAX(-3,MIN(3,(AX254-INDEX('分群統計'!$L$5:$L$8,MATCH(X254,'分群統計'!$A$5:$A$8,0)))/INDEX('分群統計'!$M$5:$M$8,MATCH(X254,'分群統計'!$A$5:$A$8,0)))),0)),""))</f>
        <v/>
      </c>
      <c r="AN254" s="31">
        <f>IF(ISNUMBER(AB254),IF(Z254&gt;0,AB254/Z254*100,""),"")</f>
        <v/>
      </c>
      <c r="AO254" s="31">
        <f>IF(BA254&lt;&gt;1,"",IFERROR(IF(INDEX('分群統計'!$N$5:$N$8,MATCH(X254,'分群統計'!$A$5:$A$8,0))&lt;3,"",IF(INDEX('分群統計'!$P$5:$P$8,MATCH(X254,'分群統計'!$A$5:$A$8,0))&gt;0,MAX(-3,MIN(3,(AZ254-INDEX('分群統計'!$O$5:$O$8,MATCH(X254,'分群統計'!$A$5:$A$8,0)))/INDEX('分群統計'!$P$5:$P$8,MATCH(X254,'分群統計'!$A$5:$A$8,0)))),0)),""))</f>
        <v/>
      </c>
      <c r="AP254" s="31">
        <f>IF(BC254&lt;&gt;1,"",IFERROR(IF(INDEX('分群統計'!$Q$5:$Q$8,MATCH(X254,'分群統計'!$A$5:$A$8,0))&lt;3,"",IF(INDEX('分群統計'!$S$5:$S$8,MATCH(X254,'分群統計'!$A$5:$A$8,0))&gt;0,MAX(-3,MIN(3,(BB254-INDEX('分群統計'!$R$5:$R$8,MATCH(X254,'分群統計'!$A$5:$A$8,0)))/INDEX('分群統計'!$S$5:$S$8,MATCH(X254,'分群統計'!$A$5:$A$8,0)))),0)),""))</f>
        <v/>
      </c>
      <c r="AQ254" s="31">
        <f>IF(Y254=1,(IF(ISNUMBER(AF254),AF254,0)*'參數'!$B$13+IF(ISNUMBER(AM254),AM254,0)*'參數'!$B$14+IF(ISNUMBER(AO254),AO254,0)*'參數'!$B$15+IF(ISNUMBER(AP254),AP254,0)*'參數'!$B$16)/('參數'!$B$13+'參數'!$B$14+'參數'!$B$15+'參數'!$B$16),"")</f>
        <v/>
      </c>
      <c r="AR254" s="35">
        <f>IF(Y254=1,(SUMPRODUCT(($X$5:$X$404=X254)*($Y$5:$Y$404=1)*($BD$5:$BD$404&gt;BD254))+1)/COUNTIFS($X$5:$X$404,X254,$Y$5:$Y$404,1),"")</f>
        <v/>
      </c>
      <c r="AS254" s="8">
        <f>IF(ISNUMBER(AR254),IF(AR254&lt;='參數'!$B$18,"加碼候選",IF(AR254&gt;'參數'!$B$19,"減碼候選","")),"")</f>
        <v/>
      </c>
      <c r="AT254" s="7">
        <f>IF(Y254=1,N254,0)</f>
        <v/>
      </c>
      <c r="AU254" s="7">
        <f>IF(Y254=1,LN(O254),0)</f>
        <v/>
      </c>
      <c r="AV254" s="36">
        <f>IF(Y254=1,IF(ISNUMBER(F254),F254,0),0)</f>
        <v/>
      </c>
      <c r="AW254" s="7">
        <f>IF(Y254=1,Z254,0)</f>
        <v/>
      </c>
      <c r="AX254" s="7">
        <f>IF(Y254=1,IF(ISNUMBER(AL254),AL254,0),0)</f>
        <v/>
      </c>
      <c r="AY254" s="7">
        <f>IF(Y254=1,IF(ISNUMBER(AL254),1,0),0)</f>
        <v/>
      </c>
      <c r="AZ254" s="7">
        <f>IF(Y254=1,IF(ISNUMBER(AN254),AN254,0),0)</f>
        <v/>
      </c>
      <c r="BA254" s="7">
        <f>IF(Y254=1,IF(ISNUMBER(AN254),1,0),0)</f>
        <v/>
      </c>
      <c r="BB254" s="7">
        <f>IF(Y254=1,IF(ISNUMBER(T254),T254,0),0)</f>
        <v/>
      </c>
      <c r="BC254" s="7">
        <f>IF(Y254=1,IF(ISNUMBER(T254),1,0),0)</f>
        <v/>
      </c>
      <c r="BD254" s="7">
        <f>IF(Y254=1,AQ254+ROW()/1E9,-1E9)</f>
        <v/>
      </c>
      <c r="BE254" s="7">
        <f>IF(Y254=1,AQ254+ROW()/1E9,1E9)</f>
        <v/>
      </c>
    </row>
    <row r="255">
      <c r="A255" s="16" t="n"/>
      <c r="B255" s="8">
        <f>IF($A255="","",BDP($A255,B$3))</f>
        <v/>
      </c>
      <c r="C255" s="8">
        <f>IF($A255="","",BDP($A255,C$3))</f>
        <v/>
      </c>
      <c r="D255" s="28">
        <f>IF($A255="","",BDP($A255,D$3))</f>
        <v/>
      </c>
      <c r="E255" s="29">
        <f>IF($A255="","",BDP($A255,E$3))</f>
        <v/>
      </c>
      <c r="F255" s="17">
        <f>IF($A255="","",BDP($A255,F$3))</f>
        <v/>
      </c>
      <c r="G255" s="8">
        <f>IF($A255="","",BDP($A255,G$3))</f>
        <v/>
      </c>
      <c r="H255" s="8">
        <f>IF($A255="","",BDP($A255,H$3))</f>
        <v/>
      </c>
      <c r="I255" s="8">
        <f>IF($A255="","",BDP($A255,I$3))</f>
        <v/>
      </c>
      <c r="J255" s="8">
        <f>IF($A255="","",BDP($A255,J$3))</f>
        <v/>
      </c>
      <c r="K255" s="8">
        <f>IF($A255="","",BDP($A255,K$3))</f>
        <v/>
      </c>
      <c r="L255" s="28">
        <f>IF($A255="","",BDP($A255,L$3))</f>
        <v/>
      </c>
      <c r="M255" s="28">
        <f>IF($A255="","",BDP($A255,M$3))</f>
        <v/>
      </c>
      <c r="N255" s="30">
        <f>IF($A255="","",BDP($A255,N$3))</f>
        <v/>
      </c>
      <c r="O255" s="31">
        <f>IF($A255="","",BDP($A255,O$3))</f>
        <v/>
      </c>
      <c r="P255" s="30">
        <f>IF($A255="","",BDH($A255,$N$3,'參數'!$B$5,'參數'!$B$5,"Days=A","Fill=P","Dates=H"))</f>
        <v/>
      </c>
      <c r="Q255" s="30">
        <f>IF($A255="","",BDH($A255,$N$3,'參數'!$B$6,'參數'!$B$6,"Days=A","Fill=P","Dates=H"))</f>
        <v/>
      </c>
      <c r="R255" s="30">
        <f>IF($A255="","",BDH($A255,$N$3,'參數'!$B$7,'參數'!$B$7,"Days=A","Fill=P","Dates=H"))</f>
        <v/>
      </c>
      <c r="S255" s="32">
        <f>IF($A255="","",IFERROR(INDEX('發行人'!$A$5:$A$44,MATCH(B255,'發行人'!$D$5:$D$44,0)),"未對應"))</f>
        <v/>
      </c>
      <c r="T255" s="24">
        <f>IF($A255="","",IFERROR(INDEX('發行人'!$G$5:$G$44,MATCH(B255,'發行人'!$D$5:$D$44,0))+0,""))</f>
        <v/>
      </c>
      <c r="U255" s="18">
        <f>IF(ISNUMBER(E255),YEARFRAC('參數'!$B$4,E255),"")</f>
        <v/>
      </c>
      <c r="V255" s="8">
        <f>IF(U255="","",IF(U255&lt;3,"1-3y",IF(U255&lt;5,"3-5y",IF(U255&lt;7,"5-7y",IF(U255&lt;10,"7-10y","10y+")))))</f>
        <v/>
      </c>
      <c r="W255" s="30">
        <f>IF($A255="","",IFERROR(INDEX('參數'!$B$24:$B$45,MATCH(G255,'參數'!$A$24:$A$45,0)),""))</f>
        <v/>
      </c>
      <c r="X255" s="8">
        <f>IF($A255="","",IFERROR(INDEX('參數'!$C$24:$C$45,MATCH(G255,'參數'!$A$24:$A$45,0)),""))</f>
        <v/>
      </c>
      <c r="Y255" s="30">
        <f>IF(AND(ISNUMBER(N255),ISNUMBER(O255),ISNUMBER(U255)),IF(AND(O255&gt;0,X255&lt;&gt;""),1,0),0)</f>
        <v/>
      </c>
      <c r="Z255" s="17">
        <f>IF(Y255=1,O255*N255,"")</f>
        <v/>
      </c>
      <c r="AA255" s="33">
        <f>IF(Y255=1,IF(ISNUMBER(Q255),N255-Q255,""),"")</f>
        <v/>
      </c>
      <c r="AB255" s="33">
        <f>IF(Y255=1,IF(AND(ISNUMBER(P255),ISNUMBER(R255)),R255*5/12-O255*(P255-R255),""),"")</f>
        <v/>
      </c>
      <c r="AC255" s="30">
        <f>IF(Y255=1,COUNTIFS($X$5:$X$404,X255,$V$5:$V$404,V255,$Y$5:$Y$404,1),"")</f>
        <v/>
      </c>
      <c r="AD255" s="30">
        <f>IF(Y255=1,IFERROR(IF(AC255&gt;='參數'!$B$9,INDEX('分群統計'!$G$13:$K$16,MATCH(X255,'分群統計'!$A$13:$A$16,0),MATCH(V255,'分群統計'!$G$12:$K$12,0)),INDEX('分群統計'!$I$5:$I$8,MATCH(X255,'分群統計'!$A$5:$A$8,0))),""),"")</f>
        <v/>
      </c>
      <c r="AE255" s="18">
        <f>IF(Y255=1,IFERROR(IF(AC255&gt;='參數'!$B$9,INDEX('分群統計'!$L$13:$P$16,MATCH(X255,'分群統計'!$A$13:$A$16,0),MATCH(V255,'分群統計'!$L$12:$P$12,0)),INDEX('分群統計'!$J$5:$J$8,MATCH(X255,'分群統計'!$A$5:$A$8,0))),""),"")</f>
        <v/>
      </c>
      <c r="AF255" s="31">
        <f>IF(ISNUMBER(AE255),IF(AE255&gt;0,MAX(-3,MIN(3,(N255-AD255)/AE255)),0),"")</f>
        <v/>
      </c>
      <c r="AG255" s="30">
        <f>IF(Y255=1,COUNTIFS($B$5:$B$404,B255,$Y$5:$Y$404,1),"")</f>
        <v/>
      </c>
      <c r="AH255" s="30">
        <f>IF(Y255=1,IFERROR(IF(ISNUMBER(INDEX('分群統計'!$G$20:$G$59,MATCH(B255,'分群統計'!$A$20:$A$59,0))),INDEX('分群統計'!$H$20:$H$59,MATCH(B255,'分群統計'!$A$20:$A$59,0))+INDEX('分群統計'!$G$20:$G$59,MATCH(B255,'分群統計'!$A$20:$A$59,0))*AU255,""),""),"")</f>
        <v/>
      </c>
      <c r="AI255" s="34">
        <f>IF(ISNUMBER(AH255),N255-AH255,"")</f>
        <v/>
      </c>
      <c r="AJ255" s="30">
        <f>IF(Y255=1,IFERROR(IF(ISNUMBER(INDEX('分群統計'!$G$5:$G$8,MATCH(X255,'分群統計'!$A$5:$A$8,0))),INDEX('分群統計'!$H$5:$H$8,MATCH(X255,'分群統計'!$A$5:$A$8,0))+INDEX('分群統計'!$G$5:$G$8,MATCH(X255,'分群統計'!$A$5:$A$8,0))*AU255,""),""),"")</f>
        <v/>
      </c>
      <c r="AK255" s="34">
        <f>IF(ISNUMBER(AJ255),N255-AJ255,"")</f>
        <v/>
      </c>
      <c r="AL255" s="21">
        <f>IF(ISNUMBER(AJ255),IF(AJ255&gt;0,AK255/AJ255,""),"")</f>
        <v/>
      </c>
      <c r="AM255" s="31">
        <f>IF(AY255&lt;&gt;1,"",IFERROR(IF(INDEX('分群統計'!$K$5:$K$8,MATCH(X255,'分群統計'!$A$5:$A$8,0))&lt;3,"",IF(INDEX('分群統計'!$M$5:$M$8,MATCH(X255,'分群統計'!$A$5:$A$8,0))&gt;0,MAX(-3,MIN(3,(AX255-INDEX('分群統計'!$L$5:$L$8,MATCH(X255,'分群統計'!$A$5:$A$8,0)))/INDEX('分群統計'!$M$5:$M$8,MATCH(X255,'分群統計'!$A$5:$A$8,0)))),0)),""))</f>
        <v/>
      </c>
      <c r="AN255" s="31">
        <f>IF(ISNUMBER(AB255),IF(Z255&gt;0,AB255/Z255*100,""),"")</f>
        <v/>
      </c>
      <c r="AO255" s="31">
        <f>IF(BA255&lt;&gt;1,"",IFERROR(IF(INDEX('分群統計'!$N$5:$N$8,MATCH(X255,'分群統計'!$A$5:$A$8,0))&lt;3,"",IF(INDEX('分群統計'!$P$5:$P$8,MATCH(X255,'分群統計'!$A$5:$A$8,0))&gt;0,MAX(-3,MIN(3,(AZ255-INDEX('分群統計'!$O$5:$O$8,MATCH(X255,'分群統計'!$A$5:$A$8,0)))/INDEX('分群統計'!$P$5:$P$8,MATCH(X255,'分群統計'!$A$5:$A$8,0)))),0)),""))</f>
        <v/>
      </c>
      <c r="AP255" s="31">
        <f>IF(BC255&lt;&gt;1,"",IFERROR(IF(INDEX('分群統計'!$Q$5:$Q$8,MATCH(X255,'分群統計'!$A$5:$A$8,0))&lt;3,"",IF(INDEX('分群統計'!$S$5:$S$8,MATCH(X255,'分群統計'!$A$5:$A$8,0))&gt;0,MAX(-3,MIN(3,(BB255-INDEX('分群統計'!$R$5:$R$8,MATCH(X255,'分群統計'!$A$5:$A$8,0)))/INDEX('分群統計'!$S$5:$S$8,MATCH(X255,'分群統計'!$A$5:$A$8,0)))),0)),""))</f>
        <v/>
      </c>
      <c r="AQ255" s="31">
        <f>IF(Y255=1,(IF(ISNUMBER(AF255),AF255,0)*'參數'!$B$13+IF(ISNUMBER(AM255),AM255,0)*'參數'!$B$14+IF(ISNUMBER(AO255),AO255,0)*'參數'!$B$15+IF(ISNUMBER(AP255),AP255,0)*'參數'!$B$16)/('參數'!$B$13+'參數'!$B$14+'參數'!$B$15+'參數'!$B$16),"")</f>
        <v/>
      </c>
      <c r="AR255" s="35">
        <f>IF(Y255=1,(SUMPRODUCT(($X$5:$X$404=X255)*($Y$5:$Y$404=1)*($BD$5:$BD$404&gt;BD255))+1)/COUNTIFS($X$5:$X$404,X255,$Y$5:$Y$404,1),"")</f>
        <v/>
      </c>
      <c r="AS255" s="8">
        <f>IF(ISNUMBER(AR255),IF(AR255&lt;='參數'!$B$18,"加碼候選",IF(AR255&gt;'參數'!$B$19,"減碼候選","")),"")</f>
        <v/>
      </c>
      <c r="AT255" s="7">
        <f>IF(Y255=1,N255,0)</f>
        <v/>
      </c>
      <c r="AU255" s="7">
        <f>IF(Y255=1,LN(O255),0)</f>
        <v/>
      </c>
      <c r="AV255" s="36">
        <f>IF(Y255=1,IF(ISNUMBER(F255),F255,0),0)</f>
        <v/>
      </c>
      <c r="AW255" s="7">
        <f>IF(Y255=1,Z255,0)</f>
        <v/>
      </c>
      <c r="AX255" s="7">
        <f>IF(Y255=1,IF(ISNUMBER(AL255),AL255,0),0)</f>
        <v/>
      </c>
      <c r="AY255" s="7">
        <f>IF(Y255=1,IF(ISNUMBER(AL255),1,0),0)</f>
        <v/>
      </c>
      <c r="AZ255" s="7">
        <f>IF(Y255=1,IF(ISNUMBER(AN255),AN255,0),0)</f>
        <v/>
      </c>
      <c r="BA255" s="7">
        <f>IF(Y255=1,IF(ISNUMBER(AN255),1,0),0)</f>
        <v/>
      </c>
      <c r="BB255" s="7">
        <f>IF(Y255=1,IF(ISNUMBER(T255),T255,0),0)</f>
        <v/>
      </c>
      <c r="BC255" s="7">
        <f>IF(Y255=1,IF(ISNUMBER(T255),1,0),0)</f>
        <v/>
      </c>
      <c r="BD255" s="7">
        <f>IF(Y255=1,AQ255+ROW()/1E9,-1E9)</f>
        <v/>
      </c>
      <c r="BE255" s="7">
        <f>IF(Y255=1,AQ255+ROW()/1E9,1E9)</f>
        <v/>
      </c>
    </row>
    <row r="256">
      <c r="A256" s="16" t="n"/>
      <c r="B256" s="8">
        <f>IF($A256="","",BDP($A256,B$3))</f>
        <v/>
      </c>
      <c r="C256" s="8">
        <f>IF($A256="","",BDP($A256,C$3))</f>
        <v/>
      </c>
      <c r="D256" s="28">
        <f>IF($A256="","",BDP($A256,D$3))</f>
        <v/>
      </c>
      <c r="E256" s="29">
        <f>IF($A256="","",BDP($A256,E$3))</f>
        <v/>
      </c>
      <c r="F256" s="17">
        <f>IF($A256="","",BDP($A256,F$3))</f>
        <v/>
      </c>
      <c r="G256" s="8">
        <f>IF($A256="","",BDP($A256,G$3))</f>
        <v/>
      </c>
      <c r="H256" s="8">
        <f>IF($A256="","",BDP($A256,H$3))</f>
        <v/>
      </c>
      <c r="I256" s="8">
        <f>IF($A256="","",BDP($A256,I$3))</f>
        <v/>
      </c>
      <c r="J256" s="8">
        <f>IF($A256="","",BDP($A256,J$3))</f>
        <v/>
      </c>
      <c r="K256" s="8">
        <f>IF($A256="","",BDP($A256,K$3))</f>
        <v/>
      </c>
      <c r="L256" s="28">
        <f>IF($A256="","",BDP($A256,L$3))</f>
        <v/>
      </c>
      <c r="M256" s="28">
        <f>IF($A256="","",BDP($A256,M$3))</f>
        <v/>
      </c>
      <c r="N256" s="30">
        <f>IF($A256="","",BDP($A256,N$3))</f>
        <v/>
      </c>
      <c r="O256" s="31">
        <f>IF($A256="","",BDP($A256,O$3))</f>
        <v/>
      </c>
      <c r="P256" s="30">
        <f>IF($A256="","",BDH($A256,$N$3,'參數'!$B$5,'參數'!$B$5,"Days=A","Fill=P","Dates=H"))</f>
        <v/>
      </c>
      <c r="Q256" s="30">
        <f>IF($A256="","",BDH($A256,$N$3,'參數'!$B$6,'參數'!$B$6,"Days=A","Fill=P","Dates=H"))</f>
        <v/>
      </c>
      <c r="R256" s="30">
        <f>IF($A256="","",BDH($A256,$N$3,'參數'!$B$7,'參數'!$B$7,"Days=A","Fill=P","Dates=H"))</f>
        <v/>
      </c>
      <c r="S256" s="32">
        <f>IF($A256="","",IFERROR(INDEX('發行人'!$A$5:$A$44,MATCH(B256,'發行人'!$D$5:$D$44,0)),"未對應"))</f>
        <v/>
      </c>
      <c r="T256" s="24">
        <f>IF($A256="","",IFERROR(INDEX('發行人'!$G$5:$G$44,MATCH(B256,'發行人'!$D$5:$D$44,0))+0,""))</f>
        <v/>
      </c>
      <c r="U256" s="18">
        <f>IF(ISNUMBER(E256),YEARFRAC('參數'!$B$4,E256),"")</f>
        <v/>
      </c>
      <c r="V256" s="8">
        <f>IF(U256="","",IF(U256&lt;3,"1-3y",IF(U256&lt;5,"3-5y",IF(U256&lt;7,"5-7y",IF(U256&lt;10,"7-10y","10y+")))))</f>
        <v/>
      </c>
      <c r="W256" s="30">
        <f>IF($A256="","",IFERROR(INDEX('參數'!$B$24:$B$45,MATCH(G256,'參數'!$A$24:$A$45,0)),""))</f>
        <v/>
      </c>
      <c r="X256" s="8">
        <f>IF($A256="","",IFERROR(INDEX('參數'!$C$24:$C$45,MATCH(G256,'參數'!$A$24:$A$45,0)),""))</f>
        <v/>
      </c>
      <c r="Y256" s="30">
        <f>IF(AND(ISNUMBER(N256),ISNUMBER(O256),ISNUMBER(U256)),IF(AND(O256&gt;0,X256&lt;&gt;""),1,0),0)</f>
        <v/>
      </c>
      <c r="Z256" s="17">
        <f>IF(Y256=1,O256*N256,"")</f>
        <v/>
      </c>
      <c r="AA256" s="33">
        <f>IF(Y256=1,IF(ISNUMBER(Q256),N256-Q256,""),"")</f>
        <v/>
      </c>
      <c r="AB256" s="33">
        <f>IF(Y256=1,IF(AND(ISNUMBER(P256),ISNUMBER(R256)),R256*5/12-O256*(P256-R256),""),"")</f>
        <v/>
      </c>
      <c r="AC256" s="30">
        <f>IF(Y256=1,COUNTIFS($X$5:$X$404,X256,$V$5:$V$404,V256,$Y$5:$Y$404,1),"")</f>
        <v/>
      </c>
      <c r="AD256" s="30">
        <f>IF(Y256=1,IFERROR(IF(AC256&gt;='參數'!$B$9,INDEX('分群統計'!$G$13:$K$16,MATCH(X256,'分群統計'!$A$13:$A$16,0),MATCH(V256,'分群統計'!$G$12:$K$12,0)),INDEX('分群統計'!$I$5:$I$8,MATCH(X256,'分群統計'!$A$5:$A$8,0))),""),"")</f>
        <v/>
      </c>
      <c r="AE256" s="18">
        <f>IF(Y256=1,IFERROR(IF(AC256&gt;='參數'!$B$9,INDEX('分群統計'!$L$13:$P$16,MATCH(X256,'分群統計'!$A$13:$A$16,0),MATCH(V256,'分群統計'!$L$12:$P$12,0)),INDEX('分群統計'!$J$5:$J$8,MATCH(X256,'分群統計'!$A$5:$A$8,0))),""),"")</f>
        <v/>
      </c>
      <c r="AF256" s="31">
        <f>IF(ISNUMBER(AE256),IF(AE256&gt;0,MAX(-3,MIN(3,(N256-AD256)/AE256)),0),"")</f>
        <v/>
      </c>
      <c r="AG256" s="30">
        <f>IF(Y256=1,COUNTIFS($B$5:$B$404,B256,$Y$5:$Y$404,1),"")</f>
        <v/>
      </c>
      <c r="AH256" s="30">
        <f>IF(Y256=1,IFERROR(IF(ISNUMBER(INDEX('分群統計'!$G$20:$G$59,MATCH(B256,'分群統計'!$A$20:$A$59,0))),INDEX('分群統計'!$H$20:$H$59,MATCH(B256,'分群統計'!$A$20:$A$59,0))+INDEX('分群統計'!$G$20:$G$59,MATCH(B256,'分群統計'!$A$20:$A$59,0))*AU256,""),""),"")</f>
        <v/>
      </c>
      <c r="AI256" s="34">
        <f>IF(ISNUMBER(AH256),N256-AH256,"")</f>
        <v/>
      </c>
      <c r="AJ256" s="30">
        <f>IF(Y256=1,IFERROR(IF(ISNUMBER(INDEX('分群統計'!$G$5:$G$8,MATCH(X256,'分群統計'!$A$5:$A$8,0))),INDEX('分群統計'!$H$5:$H$8,MATCH(X256,'分群統計'!$A$5:$A$8,0))+INDEX('分群統計'!$G$5:$G$8,MATCH(X256,'分群統計'!$A$5:$A$8,0))*AU256,""),""),"")</f>
        <v/>
      </c>
      <c r="AK256" s="34">
        <f>IF(ISNUMBER(AJ256),N256-AJ256,"")</f>
        <v/>
      </c>
      <c r="AL256" s="21">
        <f>IF(ISNUMBER(AJ256),IF(AJ256&gt;0,AK256/AJ256,""),"")</f>
        <v/>
      </c>
      <c r="AM256" s="31">
        <f>IF(AY256&lt;&gt;1,"",IFERROR(IF(INDEX('分群統計'!$K$5:$K$8,MATCH(X256,'分群統計'!$A$5:$A$8,0))&lt;3,"",IF(INDEX('分群統計'!$M$5:$M$8,MATCH(X256,'分群統計'!$A$5:$A$8,0))&gt;0,MAX(-3,MIN(3,(AX256-INDEX('分群統計'!$L$5:$L$8,MATCH(X256,'分群統計'!$A$5:$A$8,0)))/INDEX('分群統計'!$M$5:$M$8,MATCH(X256,'分群統計'!$A$5:$A$8,0)))),0)),""))</f>
        <v/>
      </c>
      <c r="AN256" s="31">
        <f>IF(ISNUMBER(AB256),IF(Z256&gt;0,AB256/Z256*100,""),"")</f>
        <v/>
      </c>
      <c r="AO256" s="31">
        <f>IF(BA256&lt;&gt;1,"",IFERROR(IF(INDEX('分群統計'!$N$5:$N$8,MATCH(X256,'分群統計'!$A$5:$A$8,0))&lt;3,"",IF(INDEX('分群統計'!$P$5:$P$8,MATCH(X256,'分群統計'!$A$5:$A$8,0))&gt;0,MAX(-3,MIN(3,(AZ256-INDEX('分群統計'!$O$5:$O$8,MATCH(X256,'分群統計'!$A$5:$A$8,0)))/INDEX('分群統計'!$P$5:$P$8,MATCH(X256,'分群統計'!$A$5:$A$8,0)))),0)),""))</f>
        <v/>
      </c>
      <c r="AP256" s="31">
        <f>IF(BC256&lt;&gt;1,"",IFERROR(IF(INDEX('分群統計'!$Q$5:$Q$8,MATCH(X256,'分群統計'!$A$5:$A$8,0))&lt;3,"",IF(INDEX('分群統計'!$S$5:$S$8,MATCH(X256,'分群統計'!$A$5:$A$8,0))&gt;0,MAX(-3,MIN(3,(BB256-INDEX('分群統計'!$R$5:$R$8,MATCH(X256,'分群統計'!$A$5:$A$8,0)))/INDEX('分群統計'!$S$5:$S$8,MATCH(X256,'分群統計'!$A$5:$A$8,0)))),0)),""))</f>
        <v/>
      </c>
      <c r="AQ256" s="31">
        <f>IF(Y256=1,(IF(ISNUMBER(AF256),AF256,0)*'參數'!$B$13+IF(ISNUMBER(AM256),AM256,0)*'參數'!$B$14+IF(ISNUMBER(AO256),AO256,0)*'參數'!$B$15+IF(ISNUMBER(AP256),AP256,0)*'參數'!$B$16)/('參數'!$B$13+'參數'!$B$14+'參數'!$B$15+'參數'!$B$16),"")</f>
        <v/>
      </c>
      <c r="AR256" s="35">
        <f>IF(Y256=1,(SUMPRODUCT(($X$5:$X$404=X256)*($Y$5:$Y$404=1)*($BD$5:$BD$404&gt;BD256))+1)/COUNTIFS($X$5:$X$404,X256,$Y$5:$Y$404,1),"")</f>
        <v/>
      </c>
      <c r="AS256" s="8">
        <f>IF(ISNUMBER(AR256),IF(AR256&lt;='參數'!$B$18,"加碼候選",IF(AR256&gt;'參數'!$B$19,"減碼候選","")),"")</f>
        <v/>
      </c>
      <c r="AT256" s="7">
        <f>IF(Y256=1,N256,0)</f>
        <v/>
      </c>
      <c r="AU256" s="7">
        <f>IF(Y256=1,LN(O256),0)</f>
        <v/>
      </c>
      <c r="AV256" s="36">
        <f>IF(Y256=1,IF(ISNUMBER(F256),F256,0),0)</f>
        <v/>
      </c>
      <c r="AW256" s="7">
        <f>IF(Y256=1,Z256,0)</f>
        <v/>
      </c>
      <c r="AX256" s="7">
        <f>IF(Y256=1,IF(ISNUMBER(AL256),AL256,0),0)</f>
        <v/>
      </c>
      <c r="AY256" s="7">
        <f>IF(Y256=1,IF(ISNUMBER(AL256),1,0),0)</f>
        <v/>
      </c>
      <c r="AZ256" s="7">
        <f>IF(Y256=1,IF(ISNUMBER(AN256),AN256,0),0)</f>
        <v/>
      </c>
      <c r="BA256" s="7">
        <f>IF(Y256=1,IF(ISNUMBER(AN256),1,0),0)</f>
        <v/>
      </c>
      <c r="BB256" s="7">
        <f>IF(Y256=1,IF(ISNUMBER(T256),T256,0),0)</f>
        <v/>
      </c>
      <c r="BC256" s="7">
        <f>IF(Y256=1,IF(ISNUMBER(T256),1,0),0)</f>
        <v/>
      </c>
      <c r="BD256" s="7">
        <f>IF(Y256=1,AQ256+ROW()/1E9,-1E9)</f>
        <v/>
      </c>
      <c r="BE256" s="7">
        <f>IF(Y256=1,AQ256+ROW()/1E9,1E9)</f>
        <v/>
      </c>
    </row>
    <row r="257">
      <c r="A257" s="16" t="n"/>
      <c r="B257" s="8">
        <f>IF($A257="","",BDP($A257,B$3))</f>
        <v/>
      </c>
      <c r="C257" s="8">
        <f>IF($A257="","",BDP($A257,C$3))</f>
        <v/>
      </c>
      <c r="D257" s="28">
        <f>IF($A257="","",BDP($A257,D$3))</f>
        <v/>
      </c>
      <c r="E257" s="29">
        <f>IF($A257="","",BDP($A257,E$3))</f>
        <v/>
      </c>
      <c r="F257" s="17">
        <f>IF($A257="","",BDP($A257,F$3))</f>
        <v/>
      </c>
      <c r="G257" s="8">
        <f>IF($A257="","",BDP($A257,G$3))</f>
        <v/>
      </c>
      <c r="H257" s="8">
        <f>IF($A257="","",BDP($A257,H$3))</f>
        <v/>
      </c>
      <c r="I257" s="8">
        <f>IF($A257="","",BDP($A257,I$3))</f>
        <v/>
      </c>
      <c r="J257" s="8">
        <f>IF($A257="","",BDP($A257,J$3))</f>
        <v/>
      </c>
      <c r="K257" s="8">
        <f>IF($A257="","",BDP($A257,K$3))</f>
        <v/>
      </c>
      <c r="L257" s="28">
        <f>IF($A257="","",BDP($A257,L$3))</f>
        <v/>
      </c>
      <c r="M257" s="28">
        <f>IF($A257="","",BDP($A257,M$3))</f>
        <v/>
      </c>
      <c r="N257" s="30">
        <f>IF($A257="","",BDP($A257,N$3))</f>
        <v/>
      </c>
      <c r="O257" s="31">
        <f>IF($A257="","",BDP($A257,O$3))</f>
        <v/>
      </c>
      <c r="P257" s="30">
        <f>IF($A257="","",BDH($A257,$N$3,'參數'!$B$5,'參數'!$B$5,"Days=A","Fill=P","Dates=H"))</f>
        <v/>
      </c>
      <c r="Q257" s="30">
        <f>IF($A257="","",BDH($A257,$N$3,'參數'!$B$6,'參數'!$B$6,"Days=A","Fill=P","Dates=H"))</f>
        <v/>
      </c>
      <c r="R257" s="30">
        <f>IF($A257="","",BDH($A257,$N$3,'參數'!$B$7,'參數'!$B$7,"Days=A","Fill=P","Dates=H"))</f>
        <v/>
      </c>
      <c r="S257" s="32">
        <f>IF($A257="","",IFERROR(INDEX('發行人'!$A$5:$A$44,MATCH(B257,'發行人'!$D$5:$D$44,0)),"未對應"))</f>
        <v/>
      </c>
      <c r="T257" s="24">
        <f>IF($A257="","",IFERROR(INDEX('發行人'!$G$5:$G$44,MATCH(B257,'發行人'!$D$5:$D$44,0))+0,""))</f>
        <v/>
      </c>
      <c r="U257" s="18">
        <f>IF(ISNUMBER(E257),YEARFRAC('參數'!$B$4,E257),"")</f>
        <v/>
      </c>
      <c r="V257" s="8">
        <f>IF(U257="","",IF(U257&lt;3,"1-3y",IF(U257&lt;5,"3-5y",IF(U257&lt;7,"5-7y",IF(U257&lt;10,"7-10y","10y+")))))</f>
        <v/>
      </c>
      <c r="W257" s="30">
        <f>IF($A257="","",IFERROR(INDEX('參數'!$B$24:$B$45,MATCH(G257,'參數'!$A$24:$A$45,0)),""))</f>
        <v/>
      </c>
      <c r="X257" s="8">
        <f>IF($A257="","",IFERROR(INDEX('參數'!$C$24:$C$45,MATCH(G257,'參數'!$A$24:$A$45,0)),""))</f>
        <v/>
      </c>
      <c r="Y257" s="30">
        <f>IF(AND(ISNUMBER(N257),ISNUMBER(O257),ISNUMBER(U257)),IF(AND(O257&gt;0,X257&lt;&gt;""),1,0),0)</f>
        <v/>
      </c>
      <c r="Z257" s="17">
        <f>IF(Y257=1,O257*N257,"")</f>
        <v/>
      </c>
      <c r="AA257" s="33">
        <f>IF(Y257=1,IF(ISNUMBER(Q257),N257-Q257,""),"")</f>
        <v/>
      </c>
      <c r="AB257" s="33">
        <f>IF(Y257=1,IF(AND(ISNUMBER(P257),ISNUMBER(R257)),R257*5/12-O257*(P257-R257),""),"")</f>
        <v/>
      </c>
      <c r="AC257" s="30">
        <f>IF(Y257=1,COUNTIFS($X$5:$X$404,X257,$V$5:$V$404,V257,$Y$5:$Y$404,1),"")</f>
        <v/>
      </c>
      <c r="AD257" s="30">
        <f>IF(Y257=1,IFERROR(IF(AC257&gt;='參數'!$B$9,INDEX('分群統計'!$G$13:$K$16,MATCH(X257,'分群統計'!$A$13:$A$16,0),MATCH(V257,'分群統計'!$G$12:$K$12,0)),INDEX('分群統計'!$I$5:$I$8,MATCH(X257,'分群統計'!$A$5:$A$8,0))),""),"")</f>
        <v/>
      </c>
      <c r="AE257" s="18">
        <f>IF(Y257=1,IFERROR(IF(AC257&gt;='參數'!$B$9,INDEX('分群統計'!$L$13:$P$16,MATCH(X257,'分群統計'!$A$13:$A$16,0),MATCH(V257,'分群統計'!$L$12:$P$12,0)),INDEX('分群統計'!$J$5:$J$8,MATCH(X257,'分群統計'!$A$5:$A$8,0))),""),"")</f>
        <v/>
      </c>
      <c r="AF257" s="31">
        <f>IF(ISNUMBER(AE257),IF(AE257&gt;0,MAX(-3,MIN(3,(N257-AD257)/AE257)),0),"")</f>
        <v/>
      </c>
      <c r="AG257" s="30">
        <f>IF(Y257=1,COUNTIFS($B$5:$B$404,B257,$Y$5:$Y$404,1),"")</f>
        <v/>
      </c>
      <c r="AH257" s="30">
        <f>IF(Y257=1,IFERROR(IF(ISNUMBER(INDEX('分群統計'!$G$20:$G$59,MATCH(B257,'分群統計'!$A$20:$A$59,0))),INDEX('分群統計'!$H$20:$H$59,MATCH(B257,'分群統計'!$A$20:$A$59,0))+INDEX('分群統計'!$G$20:$G$59,MATCH(B257,'分群統計'!$A$20:$A$59,0))*AU257,""),""),"")</f>
        <v/>
      </c>
      <c r="AI257" s="34">
        <f>IF(ISNUMBER(AH257),N257-AH257,"")</f>
        <v/>
      </c>
      <c r="AJ257" s="30">
        <f>IF(Y257=1,IFERROR(IF(ISNUMBER(INDEX('分群統計'!$G$5:$G$8,MATCH(X257,'分群統計'!$A$5:$A$8,0))),INDEX('分群統計'!$H$5:$H$8,MATCH(X257,'分群統計'!$A$5:$A$8,0))+INDEX('分群統計'!$G$5:$G$8,MATCH(X257,'分群統計'!$A$5:$A$8,0))*AU257,""),""),"")</f>
        <v/>
      </c>
      <c r="AK257" s="34">
        <f>IF(ISNUMBER(AJ257),N257-AJ257,"")</f>
        <v/>
      </c>
      <c r="AL257" s="21">
        <f>IF(ISNUMBER(AJ257),IF(AJ257&gt;0,AK257/AJ257,""),"")</f>
        <v/>
      </c>
      <c r="AM257" s="31">
        <f>IF(AY257&lt;&gt;1,"",IFERROR(IF(INDEX('分群統計'!$K$5:$K$8,MATCH(X257,'分群統計'!$A$5:$A$8,0))&lt;3,"",IF(INDEX('分群統計'!$M$5:$M$8,MATCH(X257,'分群統計'!$A$5:$A$8,0))&gt;0,MAX(-3,MIN(3,(AX257-INDEX('分群統計'!$L$5:$L$8,MATCH(X257,'分群統計'!$A$5:$A$8,0)))/INDEX('分群統計'!$M$5:$M$8,MATCH(X257,'分群統計'!$A$5:$A$8,0)))),0)),""))</f>
        <v/>
      </c>
      <c r="AN257" s="31">
        <f>IF(ISNUMBER(AB257),IF(Z257&gt;0,AB257/Z257*100,""),"")</f>
        <v/>
      </c>
      <c r="AO257" s="31">
        <f>IF(BA257&lt;&gt;1,"",IFERROR(IF(INDEX('分群統計'!$N$5:$N$8,MATCH(X257,'分群統計'!$A$5:$A$8,0))&lt;3,"",IF(INDEX('分群統計'!$P$5:$P$8,MATCH(X257,'分群統計'!$A$5:$A$8,0))&gt;0,MAX(-3,MIN(3,(AZ257-INDEX('分群統計'!$O$5:$O$8,MATCH(X257,'分群統計'!$A$5:$A$8,0)))/INDEX('分群統計'!$P$5:$P$8,MATCH(X257,'分群統計'!$A$5:$A$8,0)))),0)),""))</f>
        <v/>
      </c>
      <c r="AP257" s="31">
        <f>IF(BC257&lt;&gt;1,"",IFERROR(IF(INDEX('分群統計'!$Q$5:$Q$8,MATCH(X257,'分群統計'!$A$5:$A$8,0))&lt;3,"",IF(INDEX('分群統計'!$S$5:$S$8,MATCH(X257,'分群統計'!$A$5:$A$8,0))&gt;0,MAX(-3,MIN(3,(BB257-INDEX('分群統計'!$R$5:$R$8,MATCH(X257,'分群統計'!$A$5:$A$8,0)))/INDEX('分群統計'!$S$5:$S$8,MATCH(X257,'分群統計'!$A$5:$A$8,0)))),0)),""))</f>
        <v/>
      </c>
      <c r="AQ257" s="31">
        <f>IF(Y257=1,(IF(ISNUMBER(AF257),AF257,0)*'參數'!$B$13+IF(ISNUMBER(AM257),AM257,0)*'參數'!$B$14+IF(ISNUMBER(AO257),AO257,0)*'參數'!$B$15+IF(ISNUMBER(AP257),AP257,0)*'參數'!$B$16)/('參數'!$B$13+'參數'!$B$14+'參數'!$B$15+'參數'!$B$16),"")</f>
        <v/>
      </c>
      <c r="AR257" s="35">
        <f>IF(Y257=1,(SUMPRODUCT(($X$5:$X$404=X257)*($Y$5:$Y$404=1)*($BD$5:$BD$404&gt;BD257))+1)/COUNTIFS($X$5:$X$404,X257,$Y$5:$Y$404,1),"")</f>
        <v/>
      </c>
      <c r="AS257" s="8">
        <f>IF(ISNUMBER(AR257),IF(AR257&lt;='參數'!$B$18,"加碼候選",IF(AR257&gt;'參數'!$B$19,"減碼候選","")),"")</f>
        <v/>
      </c>
      <c r="AT257" s="7">
        <f>IF(Y257=1,N257,0)</f>
        <v/>
      </c>
      <c r="AU257" s="7">
        <f>IF(Y257=1,LN(O257),0)</f>
        <v/>
      </c>
      <c r="AV257" s="36">
        <f>IF(Y257=1,IF(ISNUMBER(F257),F257,0),0)</f>
        <v/>
      </c>
      <c r="AW257" s="7">
        <f>IF(Y257=1,Z257,0)</f>
        <v/>
      </c>
      <c r="AX257" s="7">
        <f>IF(Y257=1,IF(ISNUMBER(AL257),AL257,0),0)</f>
        <v/>
      </c>
      <c r="AY257" s="7">
        <f>IF(Y257=1,IF(ISNUMBER(AL257),1,0),0)</f>
        <v/>
      </c>
      <c r="AZ257" s="7">
        <f>IF(Y257=1,IF(ISNUMBER(AN257),AN257,0),0)</f>
        <v/>
      </c>
      <c r="BA257" s="7">
        <f>IF(Y257=1,IF(ISNUMBER(AN257),1,0),0)</f>
        <v/>
      </c>
      <c r="BB257" s="7">
        <f>IF(Y257=1,IF(ISNUMBER(T257),T257,0),0)</f>
        <v/>
      </c>
      <c r="BC257" s="7">
        <f>IF(Y257=1,IF(ISNUMBER(T257),1,0),0)</f>
        <v/>
      </c>
      <c r="BD257" s="7">
        <f>IF(Y257=1,AQ257+ROW()/1E9,-1E9)</f>
        <v/>
      </c>
      <c r="BE257" s="7">
        <f>IF(Y257=1,AQ257+ROW()/1E9,1E9)</f>
        <v/>
      </c>
    </row>
    <row r="258">
      <c r="A258" s="16" t="n"/>
      <c r="B258" s="8">
        <f>IF($A258="","",BDP($A258,B$3))</f>
        <v/>
      </c>
      <c r="C258" s="8">
        <f>IF($A258="","",BDP($A258,C$3))</f>
        <v/>
      </c>
      <c r="D258" s="28">
        <f>IF($A258="","",BDP($A258,D$3))</f>
        <v/>
      </c>
      <c r="E258" s="29">
        <f>IF($A258="","",BDP($A258,E$3))</f>
        <v/>
      </c>
      <c r="F258" s="17">
        <f>IF($A258="","",BDP($A258,F$3))</f>
        <v/>
      </c>
      <c r="G258" s="8">
        <f>IF($A258="","",BDP($A258,G$3))</f>
        <v/>
      </c>
      <c r="H258" s="8">
        <f>IF($A258="","",BDP($A258,H$3))</f>
        <v/>
      </c>
      <c r="I258" s="8">
        <f>IF($A258="","",BDP($A258,I$3))</f>
        <v/>
      </c>
      <c r="J258" s="8">
        <f>IF($A258="","",BDP($A258,J$3))</f>
        <v/>
      </c>
      <c r="K258" s="8">
        <f>IF($A258="","",BDP($A258,K$3))</f>
        <v/>
      </c>
      <c r="L258" s="28">
        <f>IF($A258="","",BDP($A258,L$3))</f>
        <v/>
      </c>
      <c r="M258" s="28">
        <f>IF($A258="","",BDP($A258,M$3))</f>
        <v/>
      </c>
      <c r="N258" s="30">
        <f>IF($A258="","",BDP($A258,N$3))</f>
        <v/>
      </c>
      <c r="O258" s="31">
        <f>IF($A258="","",BDP($A258,O$3))</f>
        <v/>
      </c>
      <c r="P258" s="30">
        <f>IF($A258="","",BDH($A258,$N$3,'參數'!$B$5,'參數'!$B$5,"Days=A","Fill=P","Dates=H"))</f>
        <v/>
      </c>
      <c r="Q258" s="30">
        <f>IF($A258="","",BDH($A258,$N$3,'參數'!$B$6,'參數'!$B$6,"Days=A","Fill=P","Dates=H"))</f>
        <v/>
      </c>
      <c r="R258" s="30">
        <f>IF($A258="","",BDH($A258,$N$3,'參數'!$B$7,'參數'!$B$7,"Days=A","Fill=P","Dates=H"))</f>
        <v/>
      </c>
      <c r="S258" s="32">
        <f>IF($A258="","",IFERROR(INDEX('發行人'!$A$5:$A$44,MATCH(B258,'發行人'!$D$5:$D$44,0)),"未對應"))</f>
        <v/>
      </c>
      <c r="T258" s="24">
        <f>IF($A258="","",IFERROR(INDEX('發行人'!$G$5:$G$44,MATCH(B258,'發行人'!$D$5:$D$44,0))+0,""))</f>
        <v/>
      </c>
      <c r="U258" s="18">
        <f>IF(ISNUMBER(E258),YEARFRAC('參數'!$B$4,E258),"")</f>
        <v/>
      </c>
      <c r="V258" s="8">
        <f>IF(U258="","",IF(U258&lt;3,"1-3y",IF(U258&lt;5,"3-5y",IF(U258&lt;7,"5-7y",IF(U258&lt;10,"7-10y","10y+")))))</f>
        <v/>
      </c>
      <c r="W258" s="30">
        <f>IF($A258="","",IFERROR(INDEX('參數'!$B$24:$B$45,MATCH(G258,'參數'!$A$24:$A$45,0)),""))</f>
        <v/>
      </c>
      <c r="X258" s="8">
        <f>IF($A258="","",IFERROR(INDEX('參數'!$C$24:$C$45,MATCH(G258,'參數'!$A$24:$A$45,0)),""))</f>
        <v/>
      </c>
      <c r="Y258" s="30">
        <f>IF(AND(ISNUMBER(N258),ISNUMBER(O258),ISNUMBER(U258)),IF(AND(O258&gt;0,X258&lt;&gt;""),1,0),0)</f>
        <v/>
      </c>
      <c r="Z258" s="17">
        <f>IF(Y258=1,O258*N258,"")</f>
        <v/>
      </c>
      <c r="AA258" s="33">
        <f>IF(Y258=1,IF(ISNUMBER(Q258),N258-Q258,""),"")</f>
        <v/>
      </c>
      <c r="AB258" s="33">
        <f>IF(Y258=1,IF(AND(ISNUMBER(P258),ISNUMBER(R258)),R258*5/12-O258*(P258-R258),""),"")</f>
        <v/>
      </c>
      <c r="AC258" s="30">
        <f>IF(Y258=1,COUNTIFS($X$5:$X$404,X258,$V$5:$V$404,V258,$Y$5:$Y$404,1),"")</f>
        <v/>
      </c>
      <c r="AD258" s="30">
        <f>IF(Y258=1,IFERROR(IF(AC258&gt;='參數'!$B$9,INDEX('分群統計'!$G$13:$K$16,MATCH(X258,'分群統計'!$A$13:$A$16,0),MATCH(V258,'分群統計'!$G$12:$K$12,0)),INDEX('分群統計'!$I$5:$I$8,MATCH(X258,'分群統計'!$A$5:$A$8,0))),""),"")</f>
        <v/>
      </c>
      <c r="AE258" s="18">
        <f>IF(Y258=1,IFERROR(IF(AC258&gt;='參數'!$B$9,INDEX('分群統計'!$L$13:$P$16,MATCH(X258,'分群統計'!$A$13:$A$16,0),MATCH(V258,'分群統計'!$L$12:$P$12,0)),INDEX('分群統計'!$J$5:$J$8,MATCH(X258,'分群統計'!$A$5:$A$8,0))),""),"")</f>
        <v/>
      </c>
      <c r="AF258" s="31">
        <f>IF(ISNUMBER(AE258),IF(AE258&gt;0,MAX(-3,MIN(3,(N258-AD258)/AE258)),0),"")</f>
        <v/>
      </c>
      <c r="AG258" s="30">
        <f>IF(Y258=1,COUNTIFS($B$5:$B$404,B258,$Y$5:$Y$404,1),"")</f>
        <v/>
      </c>
      <c r="AH258" s="30">
        <f>IF(Y258=1,IFERROR(IF(ISNUMBER(INDEX('分群統計'!$G$20:$G$59,MATCH(B258,'分群統計'!$A$20:$A$59,0))),INDEX('分群統計'!$H$20:$H$59,MATCH(B258,'分群統計'!$A$20:$A$59,0))+INDEX('分群統計'!$G$20:$G$59,MATCH(B258,'分群統計'!$A$20:$A$59,0))*AU258,""),""),"")</f>
        <v/>
      </c>
      <c r="AI258" s="34">
        <f>IF(ISNUMBER(AH258),N258-AH258,"")</f>
        <v/>
      </c>
      <c r="AJ258" s="30">
        <f>IF(Y258=1,IFERROR(IF(ISNUMBER(INDEX('分群統計'!$G$5:$G$8,MATCH(X258,'分群統計'!$A$5:$A$8,0))),INDEX('分群統計'!$H$5:$H$8,MATCH(X258,'分群統計'!$A$5:$A$8,0))+INDEX('分群統計'!$G$5:$G$8,MATCH(X258,'分群統計'!$A$5:$A$8,0))*AU258,""),""),"")</f>
        <v/>
      </c>
      <c r="AK258" s="34">
        <f>IF(ISNUMBER(AJ258),N258-AJ258,"")</f>
        <v/>
      </c>
      <c r="AL258" s="21">
        <f>IF(ISNUMBER(AJ258),IF(AJ258&gt;0,AK258/AJ258,""),"")</f>
        <v/>
      </c>
      <c r="AM258" s="31">
        <f>IF(AY258&lt;&gt;1,"",IFERROR(IF(INDEX('分群統計'!$K$5:$K$8,MATCH(X258,'分群統計'!$A$5:$A$8,0))&lt;3,"",IF(INDEX('分群統計'!$M$5:$M$8,MATCH(X258,'分群統計'!$A$5:$A$8,0))&gt;0,MAX(-3,MIN(3,(AX258-INDEX('分群統計'!$L$5:$L$8,MATCH(X258,'分群統計'!$A$5:$A$8,0)))/INDEX('分群統計'!$M$5:$M$8,MATCH(X258,'分群統計'!$A$5:$A$8,0)))),0)),""))</f>
        <v/>
      </c>
      <c r="AN258" s="31">
        <f>IF(ISNUMBER(AB258),IF(Z258&gt;0,AB258/Z258*100,""),"")</f>
        <v/>
      </c>
      <c r="AO258" s="31">
        <f>IF(BA258&lt;&gt;1,"",IFERROR(IF(INDEX('分群統計'!$N$5:$N$8,MATCH(X258,'分群統計'!$A$5:$A$8,0))&lt;3,"",IF(INDEX('分群統計'!$P$5:$P$8,MATCH(X258,'分群統計'!$A$5:$A$8,0))&gt;0,MAX(-3,MIN(3,(AZ258-INDEX('分群統計'!$O$5:$O$8,MATCH(X258,'分群統計'!$A$5:$A$8,0)))/INDEX('分群統計'!$P$5:$P$8,MATCH(X258,'分群統計'!$A$5:$A$8,0)))),0)),""))</f>
        <v/>
      </c>
      <c r="AP258" s="31">
        <f>IF(BC258&lt;&gt;1,"",IFERROR(IF(INDEX('分群統計'!$Q$5:$Q$8,MATCH(X258,'分群統計'!$A$5:$A$8,0))&lt;3,"",IF(INDEX('分群統計'!$S$5:$S$8,MATCH(X258,'分群統計'!$A$5:$A$8,0))&gt;0,MAX(-3,MIN(3,(BB258-INDEX('分群統計'!$R$5:$R$8,MATCH(X258,'分群統計'!$A$5:$A$8,0)))/INDEX('分群統計'!$S$5:$S$8,MATCH(X258,'分群統計'!$A$5:$A$8,0)))),0)),""))</f>
        <v/>
      </c>
      <c r="AQ258" s="31">
        <f>IF(Y258=1,(IF(ISNUMBER(AF258),AF258,0)*'參數'!$B$13+IF(ISNUMBER(AM258),AM258,0)*'參數'!$B$14+IF(ISNUMBER(AO258),AO258,0)*'參數'!$B$15+IF(ISNUMBER(AP258),AP258,0)*'參數'!$B$16)/('參數'!$B$13+'參數'!$B$14+'參數'!$B$15+'參數'!$B$16),"")</f>
        <v/>
      </c>
      <c r="AR258" s="35">
        <f>IF(Y258=1,(SUMPRODUCT(($X$5:$X$404=X258)*($Y$5:$Y$404=1)*($BD$5:$BD$404&gt;BD258))+1)/COUNTIFS($X$5:$X$404,X258,$Y$5:$Y$404,1),"")</f>
        <v/>
      </c>
      <c r="AS258" s="8">
        <f>IF(ISNUMBER(AR258),IF(AR258&lt;='參數'!$B$18,"加碼候選",IF(AR258&gt;'參數'!$B$19,"減碼候選","")),"")</f>
        <v/>
      </c>
      <c r="AT258" s="7">
        <f>IF(Y258=1,N258,0)</f>
        <v/>
      </c>
      <c r="AU258" s="7">
        <f>IF(Y258=1,LN(O258),0)</f>
        <v/>
      </c>
      <c r="AV258" s="36">
        <f>IF(Y258=1,IF(ISNUMBER(F258),F258,0),0)</f>
        <v/>
      </c>
      <c r="AW258" s="7">
        <f>IF(Y258=1,Z258,0)</f>
        <v/>
      </c>
      <c r="AX258" s="7">
        <f>IF(Y258=1,IF(ISNUMBER(AL258),AL258,0),0)</f>
        <v/>
      </c>
      <c r="AY258" s="7">
        <f>IF(Y258=1,IF(ISNUMBER(AL258),1,0),0)</f>
        <v/>
      </c>
      <c r="AZ258" s="7">
        <f>IF(Y258=1,IF(ISNUMBER(AN258),AN258,0),0)</f>
        <v/>
      </c>
      <c r="BA258" s="7">
        <f>IF(Y258=1,IF(ISNUMBER(AN258),1,0),0)</f>
        <v/>
      </c>
      <c r="BB258" s="7">
        <f>IF(Y258=1,IF(ISNUMBER(T258),T258,0),0)</f>
        <v/>
      </c>
      <c r="BC258" s="7">
        <f>IF(Y258=1,IF(ISNUMBER(T258),1,0),0)</f>
        <v/>
      </c>
      <c r="BD258" s="7">
        <f>IF(Y258=1,AQ258+ROW()/1E9,-1E9)</f>
        <v/>
      </c>
      <c r="BE258" s="7">
        <f>IF(Y258=1,AQ258+ROW()/1E9,1E9)</f>
        <v/>
      </c>
    </row>
    <row r="259">
      <c r="A259" s="16" t="n"/>
      <c r="B259" s="8">
        <f>IF($A259="","",BDP($A259,B$3))</f>
        <v/>
      </c>
      <c r="C259" s="8">
        <f>IF($A259="","",BDP($A259,C$3))</f>
        <v/>
      </c>
      <c r="D259" s="28">
        <f>IF($A259="","",BDP($A259,D$3))</f>
        <v/>
      </c>
      <c r="E259" s="29">
        <f>IF($A259="","",BDP($A259,E$3))</f>
        <v/>
      </c>
      <c r="F259" s="17">
        <f>IF($A259="","",BDP($A259,F$3))</f>
        <v/>
      </c>
      <c r="G259" s="8">
        <f>IF($A259="","",BDP($A259,G$3))</f>
        <v/>
      </c>
      <c r="H259" s="8">
        <f>IF($A259="","",BDP($A259,H$3))</f>
        <v/>
      </c>
      <c r="I259" s="8">
        <f>IF($A259="","",BDP($A259,I$3))</f>
        <v/>
      </c>
      <c r="J259" s="8">
        <f>IF($A259="","",BDP($A259,J$3))</f>
        <v/>
      </c>
      <c r="K259" s="8">
        <f>IF($A259="","",BDP($A259,K$3))</f>
        <v/>
      </c>
      <c r="L259" s="28">
        <f>IF($A259="","",BDP($A259,L$3))</f>
        <v/>
      </c>
      <c r="M259" s="28">
        <f>IF($A259="","",BDP($A259,M$3))</f>
        <v/>
      </c>
      <c r="N259" s="30">
        <f>IF($A259="","",BDP($A259,N$3))</f>
        <v/>
      </c>
      <c r="O259" s="31">
        <f>IF($A259="","",BDP($A259,O$3))</f>
        <v/>
      </c>
      <c r="P259" s="30">
        <f>IF($A259="","",BDH($A259,$N$3,'參數'!$B$5,'參數'!$B$5,"Days=A","Fill=P","Dates=H"))</f>
        <v/>
      </c>
      <c r="Q259" s="30">
        <f>IF($A259="","",BDH($A259,$N$3,'參數'!$B$6,'參數'!$B$6,"Days=A","Fill=P","Dates=H"))</f>
        <v/>
      </c>
      <c r="R259" s="30">
        <f>IF($A259="","",BDH($A259,$N$3,'參數'!$B$7,'參數'!$B$7,"Days=A","Fill=P","Dates=H"))</f>
        <v/>
      </c>
      <c r="S259" s="32">
        <f>IF($A259="","",IFERROR(INDEX('發行人'!$A$5:$A$44,MATCH(B259,'發行人'!$D$5:$D$44,0)),"未對應"))</f>
        <v/>
      </c>
      <c r="T259" s="24">
        <f>IF($A259="","",IFERROR(INDEX('發行人'!$G$5:$G$44,MATCH(B259,'發行人'!$D$5:$D$44,0))+0,""))</f>
        <v/>
      </c>
      <c r="U259" s="18">
        <f>IF(ISNUMBER(E259),YEARFRAC('參數'!$B$4,E259),"")</f>
        <v/>
      </c>
      <c r="V259" s="8">
        <f>IF(U259="","",IF(U259&lt;3,"1-3y",IF(U259&lt;5,"3-5y",IF(U259&lt;7,"5-7y",IF(U259&lt;10,"7-10y","10y+")))))</f>
        <v/>
      </c>
      <c r="W259" s="30">
        <f>IF($A259="","",IFERROR(INDEX('參數'!$B$24:$B$45,MATCH(G259,'參數'!$A$24:$A$45,0)),""))</f>
        <v/>
      </c>
      <c r="X259" s="8">
        <f>IF($A259="","",IFERROR(INDEX('參數'!$C$24:$C$45,MATCH(G259,'參數'!$A$24:$A$45,0)),""))</f>
        <v/>
      </c>
      <c r="Y259" s="30">
        <f>IF(AND(ISNUMBER(N259),ISNUMBER(O259),ISNUMBER(U259)),IF(AND(O259&gt;0,X259&lt;&gt;""),1,0),0)</f>
        <v/>
      </c>
      <c r="Z259" s="17">
        <f>IF(Y259=1,O259*N259,"")</f>
        <v/>
      </c>
      <c r="AA259" s="33">
        <f>IF(Y259=1,IF(ISNUMBER(Q259),N259-Q259,""),"")</f>
        <v/>
      </c>
      <c r="AB259" s="33">
        <f>IF(Y259=1,IF(AND(ISNUMBER(P259),ISNUMBER(R259)),R259*5/12-O259*(P259-R259),""),"")</f>
        <v/>
      </c>
      <c r="AC259" s="30">
        <f>IF(Y259=1,COUNTIFS($X$5:$X$404,X259,$V$5:$V$404,V259,$Y$5:$Y$404,1),"")</f>
        <v/>
      </c>
      <c r="AD259" s="30">
        <f>IF(Y259=1,IFERROR(IF(AC259&gt;='參數'!$B$9,INDEX('分群統計'!$G$13:$K$16,MATCH(X259,'分群統計'!$A$13:$A$16,0),MATCH(V259,'分群統計'!$G$12:$K$12,0)),INDEX('分群統計'!$I$5:$I$8,MATCH(X259,'分群統計'!$A$5:$A$8,0))),""),"")</f>
        <v/>
      </c>
      <c r="AE259" s="18">
        <f>IF(Y259=1,IFERROR(IF(AC259&gt;='參數'!$B$9,INDEX('分群統計'!$L$13:$P$16,MATCH(X259,'分群統計'!$A$13:$A$16,0),MATCH(V259,'分群統計'!$L$12:$P$12,0)),INDEX('分群統計'!$J$5:$J$8,MATCH(X259,'分群統計'!$A$5:$A$8,0))),""),"")</f>
        <v/>
      </c>
      <c r="AF259" s="31">
        <f>IF(ISNUMBER(AE259),IF(AE259&gt;0,MAX(-3,MIN(3,(N259-AD259)/AE259)),0),"")</f>
        <v/>
      </c>
      <c r="AG259" s="30">
        <f>IF(Y259=1,COUNTIFS($B$5:$B$404,B259,$Y$5:$Y$404,1),"")</f>
        <v/>
      </c>
      <c r="AH259" s="30">
        <f>IF(Y259=1,IFERROR(IF(ISNUMBER(INDEX('分群統計'!$G$20:$G$59,MATCH(B259,'分群統計'!$A$20:$A$59,0))),INDEX('分群統計'!$H$20:$H$59,MATCH(B259,'分群統計'!$A$20:$A$59,0))+INDEX('分群統計'!$G$20:$G$59,MATCH(B259,'分群統計'!$A$20:$A$59,0))*AU259,""),""),"")</f>
        <v/>
      </c>
      <c r="AI259" s="34">
        <f>IF(ISNUMBER(AH259),N259-AH259,"")</f>
        <v/>
      </c>
      <c r="AJ259" s="30">
        <f>IF(Y259=1,IFERROR(IF(ISNUMBER(INDEX('分群統計'!$G$5:$G$8,MATCH(X259,'分群統計'!$A$5:$A$8,0))),INDEX('分群統計'!$H$5:$H$8,MATCH(X259,'分群統計'!$A$5:$A$8,0))+INDEX('分群統計'!$G$5:$G$8,MATCH(X259,'分群統計'!$A$5:$A$8,0))*AU259,""),""),"")</f>
        <v/>
      </c>
      <c r="AK259" s="34">
        <f>IF(ISNUMBER(AJ259),N259-AJ259,"")</f>
        <v/>
      </c>
      <c r="AL259" s="21">
        <f>IF(ISNUMBER(AJ259),IF(AJ259&gt;0,AK259/AJ259,""),"")</f>
        <v/>
      </c>
      <c r="AM259" s="31">
        <f>IF(AY259&lt;&gt;1,"",IFERROR(IF(INDEX('分群統計'!$K$5:$K$8,MATCH(X259,'分群統計'!$A$5:$A$8,0))&lt;3,"",IF(INDEX('分群統計'!$M$5:$M$8,MATCH(X259,'分群統計'!$A$5:$A$8,0))&gt;0,MAX(-3,MIN(3,(AX259-INDEX('分群統計'!$L$5:$L$8,MATCH(X259,'分群統計'!$A$5:$A$8,0)))/INDEX('分群統計'!$M$5:$M$8,MATCH(X259,'分群統計'!$A$5:$A$8,0)))),0)),""))</f>
        <v/>
      </c>
      <c r="AN259" s="31">
        <f>IF(ISNUMBER(AB259),IF(Z259&gt;0,AB259/Z259*100,""),"")</f>
        <v/>
      </c>
      <c r="AO259" s="31">
        <f>IF(BA259&lt;&gt;1,"",IFERROR(IF(INDEX('分群統計'!$N$5:$N$8,MATCH(X259,'分群統計'!$A$5:$A$8,0))&lt;3,"",IF(INDEX('分群統計'!$P$5:$P$8,MATCH(X259,'分群統計'!$A$5:$A$8,0))&gt;0,MAX(-3,MIN(3,(AZ259-INDEX('分群統計'!$O$5:$O$8,MATCH(X259,'分群統計'!$A$5:$A$8,0)))/INDEX('分群統計'!$P$5:$P$8,MATCH(X259,'分群統計'!$A$5:$A$8,0)))),0)),""))</f>
        <v/>
      </c>
      <c r="AP259" s="31">
        <f>IF(BC259&lt;&gt;1,"",IFERROR(IF(INDEX('分群統計'!$Q$5:$Q$8,MATCH(X259,'分群統計'!$A$5:$A$8,0))&lt;3,"",IF(INDEX('分群統計'!$S$5:$S$8,MATCH(X259,'分群統計'!$A$5:$A$8,0))&gt;0,MAX(-3,MIN(3,(BB259-INDEX('分群統計'!$R$5:$R$8,MATCH(X259,'分群統計'!$A$5:$A$8,0)))/INDEX('分群統計'!$S$5:$S$8,MATCH(X259,'分群統計'!$A$5:$A$8,0)))),0)),""))</f>
        <v/>
      </c>
      <c r="AQ259" s="31">
        <f>IF(Y259=1,(IF(ISNUMBER(AF259),AF259,0)*'參數'!$B$13+IF(ISNUMBER(AM259),AM259,0)*'參數'!$B$14+IF(ISNUMBER(AO259),AO259,0)*'參數'!$B$15+IF(ISNUMBER(AP259),AP259,0)*'參數'!$B$16)/('參數'!$B$13+'參數'!$B$14+'參數'!$B$15+'參數'!$B$16),"")</f>
        <v/>
      </c>
      <c r="AR259" s="35">
        <f>IF(Y259=1,(SUMPRODUCT(($X$5:$X$404=X259)*($Y$5:$Y$404=1)*($BD$5:$BD$404&gt;BD259))+1)/COUNTIFS($X$5:$X$404,X259,$Y$5:$Y$404,1),"")</f>
        <v/>
      </c>
      <c r="AS259" s="8">
        <f>IF(ISNUMBER(AR259),IF(AR259&lt;='參數'!$B$18,"加碼候選",IF(AR259&gt;'參數'!$B$19,"減碼候選","")),"")</f>
        <v/>
      </c>
      <c r="AT259" s="7">
        <f>IF(Y259=1,N259,0)</f>
        <v/>
      </c>
      <c r="AU259" s="7">
        <f>IF(Y259=1,LN(O259),0)</f>
        <v/>
      </c>
      <c r="AV259" s="36">
        <f>IF(Y259=1,IF(ISNUMBER(F259),F259,0),0)</f>
        <v/>
      </c>
      <c r="AW259" s="7">
        <f>IF(Y259=1,Z259,0)</f>
        <v/>
      </c>
      <c r="AX259" s="7">
        <f>IF(Y259=1,IF(ISNUMBER(AL259),AL259,0),0)</f>
        <v/>
      </c>
      <c r="AY259" s="7">
        <f>IF(Y259=1,IF(ISNUMBER(AL259),1,0),0)</f>
        <v/>
      </c>
      <c r="AZ259" s="7">
        <f>IF(Y259=1,IF(ISNUMBER(AN259),AN259,0),0)</f>
        <v/>
      </c>
      <c r="BA259" s="7">
        <f>IF(Y259=1,IF(ISNUMBER(AN259),1,0),0)</f>
        <v/>
      </c>
      <c r="BB259" s="7">
        <f>IF(Y259=1,IF(ISNUMBER(T259),T259,0),0)</f>
        <v/>
      </c>
      <c r="BC259" s="7">
        <f>IF(Y259=1,IF(ISNUMBER(T259),1,0),0)</f>
        <v/>
      </c>
      <c r="BD259" s="7">
        <f>IF(Y259=1,AQ259+ROW()/1E9,-1E9)</f>
        <v/>
      </c>
      <c r="BE259" s="7">
        <f>IF(Y259=1,AQ259+ROW()/1E9,1E9)</f>
        <v/>
      </c>
    </row>
    <row r="260">
      <c r="A260" s="16" t="n"/>
      <c r="B260" s="8">
        <f>IF($A260="","",BDP($A260,B$3))</f>
        <v/>
      </c>
      <c r="C260" s="8">
        <f>IF($A260="","",BDP($A260,C$3))</f>
        <v/>
      </c>
      <c r="D260" s="28">
        <f>IF($A260="","",BDP($A260,D$3))</f>
        <v/>
      </c>
      <c r="E260" s="29">
        <f>IF($A260="","",BDP($A260,E$3))</f>
        <v/>
      </c>
      <c r="F260" s="17">
        <f>IF($A260="","",BDP($A260,F$3))</f>
        <v/>
      </c>
      <c r="G260" s="8">
        <f>IF($A260="","",BDP($A260,G$3))</f>
        <v/>
      </c>
      <c r="H260" s="8">
        <f>IF($A260="","",BDP($A260,H$3))</f>
        <v/>
      </c>
      <c r="I260" s="8">
        <f>IF($A260="","",BDP($A260,I$3))</f>
        <v/>
      </c>
      <c r="J260" s="8">
        <f>IF($A260="","",BDP($A260,J$3))</f>
        <v/>
      </c>
      <c r="K260" s="8">
        <f>IF($A260="","",BDP($A260,K$3))</f>
        <v/>
      </c>
      <c r="L260" s="28">
        <f>IF($A260="","",BDP($A260,L$3))</f>
        <v/>
      </c>
      <c r="M260" s="28">
        <f>IF($A260="","",BDP($A260,M$3))</f>
        <v/>
      </c>
      <c r="N260" s="30">
        <f>IF($A260="","",BDP($A260,N$3))</f>
        <v/>
      </c>
      <c r="O260" s="31">
        <f>IF($A260="","",BDP($A260,O$3))</f>
        <v/>
      </c>
      <c r="P260" s="30">
        <f>IF($A260="","",BDH($A260,$N$3,'參數'!$B$5,'參數'!$B$5,"Days=A","Fill=P","Dates=H"))</f>
        <v/>
      </c>
      <c r="Q260" s="30">
        <f>IF($A260="","",BDH($A260,$N$3,'參數'!$B$6,'參數'!$B$6,"Days=A","Fill=P","Dates=H"))</f>
        <v/>
      </c>
      <c r="R260" s="30">
        <f>IF($A260="","",BDH($A260,$N$3,'參數'!$B$7,'參數'!$B$7,"Days=A","Fill=P","Dates=H"))</f>
        <v/>
      </c>
      <c r="S260" s="32">
        <f>IF($A260="","",IFERROR(INDEX('發行人'!$A$5:$A$44,MATCH(B260,'發行人'!$D$5:$D$44,0)),"未對應"))</f>
        <v/>
      </c>
      <c r="T260" s="24">
        <f>IF($A260="","",IFERROR(INDEX('發行人'!$G$5:$G$44,MATCH(B260,'發行人'!$D$5:$D$44,0))+0,""))</f>
        <v/>
      </c>
      <c r="U260" s="18">
        <f>IF(ISNUMBER(E260),YEARFRAC('參數'!$B$4,E260),"")</f>
        <v/>
      </c>
      <c r="V260" s="8">
        <f>IF(U260="","",IF(U260&lt;3,"1-3y",IF(U260&lt;5,"3-5y",IF(U260&lt;7,"5-7y",IF(U260&lt;10,"7-10y","10y+")))))</f>
        <v/>
      </c>
      <c r="W260" s="30">
        <f>IF($A260="","",IFERROR(INDEX('參數'!$B$24:$B$45,MATCH(G260,'參數'!$A$24:$A$45,0)),""))</f>
        <v/>
      </c>
      <c r="X260" s="8">
        <f>IF($A260="","",IFERROR(INDEX('參數'!$C$24:$C$45,MATCH(G260,'參數'!$A$24:$A$45,0)),""))</f>
        <v/>
      </c>
      <c r="Y260" s="30">
        <f>IF(AND(ISNUMBER(N260),ISNUMBER(O260),ISNUMBER(U260)),IF(AND(O260&gt;0,X260&lt;&gt;""),1,0),0)</f>
        <v/>
      </c>
      <c r="Z260" s="17">
        <f>IF(Y260=1,O260*N260,"")</f>
        <v/>
      </c>
      <c r="AA260" s="33">
        <f>IF(Y260=1,IF(ISNUMBER(Q260),N260-Q260,""),"")</f>
        <v/>
      </c>
      <c r="AB260" s="33">
        <f>IF(Y260=1,IF(AND(ISNUMBER(P260),ISNUMBER(R260)),R260*5/12-O260*(P260-R260),""),"")</f>
        <v/>
      </c>
      <c r="AC260" s="30">
        <f>IF(Y260=1,COUNTIFS($X$5:$X$404,X260,$V$5:$V$404,V260,$Y$5:$Y$404,1),"")</f>
        <v/>
      </c>
      <c r="AD260" s="30">
        <f>IF(Y260=1,IFERROR(IF(AC260&gt;='參數'!$B$9,INDEX('分群統計'!$G$13:$K$16,MATCH(X260,'分群統計'!$A$13:$A$16,0),MATCH(V260,'分群統計'!$G$12:$K$12,0)),INDEX('分群統計'!$I$5:$I$8,MATCH(X260,'分群統計'!$A$5:$A$8,0))),""),"")</f>
        <v/>
      </c>
      <c r="AE260" s="18">
        <f>IF(Y260=1,IFERROR(IF(AC260&gt;='參數'!$B$9,INDEX('分群統計'!$L$13:$P$16,MATCH(X260,'分群統計'!$A$13:$A$16,0),MATCH(V260,'分群統計'!$L$12:$P$12,0)),INDEX('分群統計'!$J$5:$J$8,MATCH(X260,'分群統計'!$A$5:$A$8,0))),""),"")</f>
        <v/>
      </c>
      <c r="AF260" s="31">
        <f>IF(ISNUMBER(AE260),IF(AE260&gt;0,MAX(-3,MIN(3,(N260-AD260)/AE260)),0),"")</f>
        <v/>
      </c>
      <c r="AG260" s="30">
        <f>IF(Y260=1,COUNTIFS($B$5:$B$404,B260,$Y$5:$Y$404,1),"")</f>
        <v/>
      </c>
      <c r="AH260" s="30">
        <f>IF(Y260=1,IFERROR(IF(ISNUMBER(INDEX('分群統計'!$G$20:$G$59,MATCH(B260,'分群統計'!$A$20:$A$59,0))),INDEX('分群統計'!$H$20:$H$59,MATCH(B260,'分群統計'!$A$20:$A$59,0))+INDEX('分群統計'!$G$20:$G$59,MATCH(B260,'分群統計'!$A$20:$A$59,0))*AU260,""),""),"")</f>
        <v/>
      </c>
      <c r="AI260" s="34">
        <f>IF(ISNUMBER(AH260),N260-AH260,"")</f>
        <v/>
      </c>
      <c r="AJ260" s="30">
        <f>IF(Y260=1,IFERROR(IF(ISNUMBER(INDEX('分群統計'!$G$5:$G$8,MATCH(X260,'分群統計'!$A$5:$A$8,0))),INDEX('分群統計'!$H$5:$H$8,MATCH(X260,'分群統計'!$A$5:$A$8,0))+INDEX('分群統計'!$G$5:$G$8,MATCH(X260,'分群統計'!$A$5:$A$8,0))*AU260,""),""),"")</f>
        <v/>
      </c>
      <c r="AK260" s="34">
        <f>IF(ISNUMBER(AJ260),N260-AJ260,"")</f>
        <v/>
      </c>
      <c r="AL260" s="21">
        <f>IF(ISNUMBER(AJ260),IF(AJ260&gt;0,AK260/AJ260,""),"")</f>
        <v/>
      </c>
      <c r="AM260" s="31">
        <f>IF(AY260&lt;&gt;1,"",IFERROR(IF(INDEX('分群統計'!$K$5:$K$8,MATCH(X260,'分群統計'!$A$5:$A$8,0))&lt;3,"",IF(INDEX('分群統計'!$M$5:$M$8,MATCH(X260,'分群統計'!$A$5:$A$8,0))&gt;0,MAX(-3,MIN(3,(AX260-INDEX('分群統計'!$L$5:$L$8,MATCH(X260,'分群統計'!$A$5:$A$8,0)))/INDEX('分群統計'!$M$5:$M$8,MATCH(X260,'分群統計'!$A$5:$A$8,0)))),0)),""))</f>
        <v/>
      </c>
      <c r="AN260" s="31">
        <f>IF(ISNUMBER(AB260),IF(Z260&gt;0,AB260/Z260*100,""),"")</f>
        <v/>
      </c>
      <c r="AO260" s="31">
        <f>IF(BA260&lt;&gt;1,"",IFERROR(IF(INDEX('分群統計'!$N$5:$N$8,MATCH(X260,'分群統計'!$A$5:$A$8,0))&lt;3,"",IF(INDEX('分群統計'!$P$5:$P$8,MATCH(X260,'分群統計'!$A$5:$A$8,0))&gt;0,MAX(-3,MIN(3,(AZ260-INDEX('分群統計'!$O$5:$O$8,MATCH(X260,'分群統計'!$A$5:$A$8,0)))/INDEX('分群統計'!$P$5:$P$8,MATCH(X260,'分群統計'!$A$5:$A$8,0)))),0)),""))</f>
        <v/>
      </c>
      <c r="AP260" s="31">
        <f>IF(BC260&lt;&gt;1,"",IFERROR(IF(INDEX('分群統計'!$Q$5:$Q$8,MATCH(X260,'分群統計'!$A$5:$A$8,0))&lt;3,"",IF(INDEX('分群統計'!$S$5:$S$8,MATCH(X260,'分群統計'!$A$5:$A$8,0))&gt;0,MAX(-3,MIN(3,(BB260-INDEX('分群統計'!$R$5:$R$8,MATCH(X260,'分群統計'!$A$5:$A$8,0)))/INDEX('分群統計'!$S$5:$S$8,MATCH(X260,'分群統計'!$A$5:$A$8,0)))),0)),""))</f>
        <v/>
      </c>
      <c r="AQ260" s="31">
        <f>IF(Y260=1,(IF(ISNUMBER(AF260),AF260,0)*'參數'!$B$13+IF(ISNUMBER(AM260),AM260,0)*'參數'!$B$14+IF(ISNUMBER(AO260),AO260,0)*'參數'!$B$15+IF(ISNUMBER(AP260),AP260,0)*'參數'!$B$16)/('參數'!$B$13+'參數'!$B$14+'參數'!$B$15+'參數'!$B$16),"")</f>
        <v/>
      </c>
      <c r="AR260" s="35">
        <f>IF(Y260=1,(SUMPRODUCT(($X$5:$X$404=X260)*($Y$5:$Y$404=1)*($BD$5:$BD$404&gt;BD260))+1)/COUNTIFS($X$5:$X$404,X260,$Y$5:$Y$404,1),"")</f>
        <v/>
      </c>
      <c r="AS260" s="8">
        <f>IF(ISNUMBER(AR260),IF(AR260&lt;='參數'!$B$18,"加碼候選",IF(AR260&gt;'參數'!$B$19,"減碼候選","")),"")</f>
        <v/>
      </c>
      <c r="AT260" s="7">
        <f>IF(Y260=1,N260,0)</f>
        <v/>
      </c>
      <c r="AU260" s="7">
        <f>IF(Y260=1,LN(O260),0)</f>
        <v/>
      </c>
      <c r="AV260" s="36">
        <f>IF(Y260=1,IF(ISNUMBER(F260),F260,0),0)</f>
        <v/>
      </c>
      <c r="AW260" s="7">
        <f>IF(Y260=1,Z260,0)</f>
        <v/>
      </c>
      <c r="AX260" s="7">
        <f>IF(Y260=1,IF(ISNUMBER(AL260),AL260,0),0)</f>
        <v/>
      </c>
      <c r="AY260" s="7">
        <f>IF(Y260=1,IF(ISNUMBER(AL260),1,0),0)</f>
        <v/>
      </c>
      <c r="AZ260" s="7">
        <f>IF(Y260=1,IF(ISNUMBER(AN260),AN260,0),0)</f>
        <v/>
      </c>
      <c r="BA260" s="7">
        <f>IF(Y260=1,IF(ISNUMBER(AN260),1,0),0)</f>
        <v/>
      </c>
      <c r="BB260" s="7">
        <f>IF(Y260=1,IF(ISNUMBER(T260),T260,0),0)</f>
        <v/>
      </c>
      <c r="BC260" s="7">
        <f>IF(Y260=1,IF(ISNUMBER(T260),1,0),0)</f>
        <v/>
      </c>
      <c r="BD260" s="7">
        <f>IF(Y260=1,AQ260+ROW()/1E9,-1E9)</f>
        <v/>
      </c>
      <c r="BE260" s="7">
        <f>IF(Y260=1,AQ260+ROW()/1E9,1E9)</f>
        <v/>
      </c>
    </row>
    <row r="261">
      <c r="A261" s="16" t="n"/>
      <c r="B261" s="8">
        <f>IF($A261="","",BDP($A261,B$3))</f>
        <v/>
      </c>
      <c r="C261" s="8">
        <f>IF($A261="","",BDP($A261,C$3))</f>
        <v/>
      </c>
      <c r="D261" s="28">
        <f>IF($A261="","",BDP($A261,D$3))</f>
        <v/>
      </c>
      <c r="E261" s="29">
        <f>IF($A261="","",BDP($A261,E$3))</f>
        <v/>
      </c>
      <c r="F261" s="17">
        <f>IF($A261="","",BDP($A261,F$3))</f>
        <v/>
      </c>
      <c r="G261" s="8">
        <f>IF($A261="","",BDP($A261,G$3))</f>
        <v/>
      </c>
      <c r="H261" s="8">
        <f>IF($A261="","",BDP($A261,H$3))</f>
        <v/>
      </c>
      <c r="I261" s="8">
        <f>IF($A261="","",BDP($A261,I$3))</f>
        <v/>
      </c>
      <c r="J261" s="8">
        <f>IF($A261="","",BDP($A261,J$3))</f>
        <v/>
      </c>
      <c r="K261" s="8">
        <f>IF($A261="","",BDP($A261,K$3))</f>
        <v/>
      </c>
      <c r="L261" s="28">
        <f>IF($A261="","",BDP($A261,L$3))</f>
        <v/>
      </c>
      <c r="M261" s="28">
        <f>IF($A261="","",BDP($A261,M$3))</f>
        <v/>
      </c>
      <c r="N261" s="30">
        <f>IF($A261="","",BDP($A261,N$3))</f>
        <v/>
      </c>
      <c r="O261" s="31">
        <f>IF($A261="","",BDP($A261,O$3))</f>
        <v/>
      </c>
      <c r="P261" s="30">
        <f>IF($A261="","",BDH($A261,$N$3,'參數'!$B$5,'參數'!$B$5,"Days=A","Fill=P","Dates=H"))</f>
        <v/>
      </c>
      <c r="Q261" s="30">
        <f>IF($A261="","",BDH($A261,$N$3,'參數'!$B$6,'參數'!$B$6,"Days=A","Fill=P","Dates=H"))</f>
        <v/>
      </c>
      <c r="R261" s="30">
        <f>IF($A261="","",BDH($A261,$N$3,'參數'!$B$7,'參數'!$B$7,"Days=A","Fill=P","Dates=H"))</f>
        <v/>
      </c>
      <c r="S261" s="32">
        <f>IF($A261="","",IFERROR(INDEX('發行人'!$A$5:$A$44,MATCH(B261,'發行人'!$D$5:$D$44,0)),"未對應"))</f>
        <v/>
      </c>
      <c r="T261" s="24">
        <f>IF($A261="","",IFERROR(INDEX('發行人'!$G$5:$G$44,MATCH(B261,'發行人'!$D$5:$D$44,0))+0,""))</f>
        <v/>
      </c>
      <c r="U261" s="18">
        <f>IF(ISNUMBER(E261),YEARFRAC('參數'!$B$4,E261),"")</f>
        <v/>
      </c>
      <c r="V261" s="8">
        <f>IF(U261="","",IF(U261&lt;3,"1-3y",IF(U261&lt;5,"3-5y",IF(U261&lt;7,"5-7y",IF(U261&lt;10,"7-10y","10y+")))))</f>
        <v/>
      </c>
      <c r="W261" s="30">
        <f>IF($A261="","",IFERROR(INDEX('參數'!$B$24:$B$45,MATCH(G261,'參數'!$A$24:$A$45,0)),""))</f>
        <v/>
      </c>
      <c r="X261" s="8">
        <f>IF($A261="","",IFERROR(INDEX('參數'!$C$24:$C$45,MATCH(G261,'參數'!$A$24:$A$45,0)),""))</f>
        <v/>
      </c>
      <c r="Y261" s="30">
        <f>IF(AND(ISNUMBER(N261),ISNUMBER(O261),ISNUMBER(U261)),IF(AND(O261&gt;0,X261&lt;&gt;""),1,0),0)</f>
        <v/>
      </c>
      <c r="Z261" s="17">
        <f>IF(Y261=1,O261*N261,"")</f>
        <v/>
      </c>
      <c r="AA261" s="33">
        <f>IF(Y261=1,IF(ISNUMBER(Q261),N261-Q261,""),"")</f>
        <v/>
      </c>
      <c r="AB261" s="33">
        <f>IF(Y261=1,IF(AND(ISNUMBER(P261),ISNUMBER(R261)),R261*5/12-O261*(P261-R261),""),"")</f>
        <v/>
      </c>
      <c r="AC261" s="30">
        <f>IF(Y261=1,COUNTIFS($X$5:$X$404,X261,$V$5:$V$404,V261,$Y$5:$Y$404,1),"")</f>
        <v/>
      </c>
      <c r="AD261" s="30">
        <f>IF(Y261=1,IFERROR(IF(AC261&gt;='參數'!$B$9,INDEX('分群統計'!$G$13:$K$16,MATCH(X261,'分群統計'!$A$13:$A$16,0),MATCH(V261,'分群統計'!$G$12:$K$12,0)),INDEX('分群統計'!$I$5:$I$8,MATCH(X261,'分群統計'!$A$5:$A$8,0))),""),"")</f>
        <v/>
      </c>
      <c r="AE261" s="18">
        <f>IF(Y261=1,IFERROR(IF(AC261&gt;='參數'!$B$9,INDEX('分群統計'!$L$13:$P$16,MATCH(X261,'分群統計'!$A$13:$A$16,0),MATCH(V261,'分群統計'!$L$12:$P$12,0)),INDEX('分群統計'!$J$5:$J$8,MATCH(X261,'分群統計'!$A$5:$A$8,0))),""),"")</f>
        <v/>
      </c>
      <c r="AF261" s="31">
        <f>IF(ISNUMBER(AE261),IF(AE261&gt;0,MAX(-3,MIN(3,(N261-AD261)/AE261)),0),"")</f>
        <v/>
      </c>
      <c r="AG261" s="30">
        <f>IF(Y261=1,COUNTIFS($B$5:$B$404,B261,$Y$5:$Y$404,1),"")</f>
        <v/>
      </c>
      <c r="AH261" s="30">
        <f>IF(Y261=1,IFERROR(IF(ISNUMBER(INDEX('分群統計'!$G$20:$G$59,MATCH(B261,'分群統計'!$A$20:$A$59,0))),INDEX('分群統計'!$H$20:$H$59,MATCH(B261,'分群統計'!$A$20:$A$59,0))+INDEX('分群統計'!$G$20:$G$59,MATCH(B261,'分群統計'!$A$20:$A$59,0))*AU261,""),""),"")</f>
        <v/>
      </c>
      <c r="AI261" s="34">
        <f>IF(ISNUMBER(AH261),N261-AH261,"")</f>
        <v/>
      </c>
      <c r="AJ261" s="30">
        <f>IF(Y261=1,IFERROR(IF(ISNUMBER(INDEX('分群統計'!$G$5:$G$8,MATCH(X261,'分群統計'!$A$5:$A$8,0))),INDEX('分群統計'!$H$5:$H$8,MATCH(X261,'分群統計'!$A$5:$A$8,0))+INDEX('分群統計'!$G$5:$G$8,MATCH(X261,'分群統計'!$A$5:$A$8,0))*AU261,""),""),"")</f>
        <v/>
      </c>
      <c r="AK261" s="34">
        <f>IF(ISNUMBER(AJ261),N261-AJ261,"")</f>
        <v/>
      </c>
      <c r="AL261" s="21">
        <f>IF(ISNUMBER(AJ261),IF(AJ261&gt;0,AK261/AJ261,""),"")</f>
        <v/>
      </c>
      <c r="AM261" s="31">
        <f>IF(AY261&lt;&gt;1,"",IFERROR(IF(INDEX('分群統計'!$K$5:$K$8,MATCH(X261,'分群統計'!$A$5:$A$8,0))&lt;3,"",IF(INDEX('分群統計'!$M$5:$M$8,MATCH(X261,'分群統計'!$A$5:$A$8,0))&gt;0,MAX(-3,MIN(3,(AX261-INDEX('分群統計'!$L$5:$L$8,MATCH(X261,'分群統計'!$A$5:$A$8,0)))/INDEX('分群統計'!$M$5:$M$8,MATCH(X261,'分群統計'!$A$5:$A$8,0)))),0)),""))</f>
        <v/>
      </c>
      <c r="AN261" s="31">
        <f>IF(ISNUMBER(AB261),IF(Z261&gt;0,AB261/Z261*100,""),"")</f>
        <v/>
      </c>
      <c r="AO261" s="31">
        <f>IF(BA261&lt;&gt;1,"",IFERROR(IF(INDEX('分群統計'!$N$5:$N$8,MATCH(X261,'分群統計'!$A$5:$A$8,0))&lt;3,"",IF(INDEX('分群統計'!$P$5:$P$8,MATCH(X261,'分群統計'!$A$5:$A$8,0))&gt;0,MAX(-3,MIN(3,(AZ261-INDEX('分群統計'!$O$5:$O$8,MATCH(X261,'分群統計'!$A$5:$A$8,0)))/INDEX('分群統計'!$P$5:$P$8,MATCH(X261,'分群統計'!$A$5:$A$8,0)))),0)),""))</f>
        <v/>
      </c>
      <c r="AP261" s="31">
        <f>IF(BC261&lt;&gt;1,"",IFERROR(IF(INDEX('分群統計'!$Q$5:$Q$8,MATCH(X261,'分群統計'!$A$5:$A$8,0))&lt;3,"",IF(INDEX('分群統計'!$S$5:$S$8,MATCH(X261,'分群統計'!$A$5:$A$8,0))&gt;0,MAX(-3,MIN(3,(BB261-INDEX('分群統計'!$R$5:$R$8,MATCH(X261,'分群統計'!$A$5:$A$8,0)))/INDEX('分群統計'!$S$5:$S$8,MATCH(X261,'分群統計'!$A$5:$A$8,0)))),0)),""))</f>
        <v/>
      </c>
      <c r="AQ261" s="31">
        <f>IF(Y261=1,(IF(ISNUMBER(AF261),AF261,0)*'參數'!$B$13+IF(ISNUMBER(AM261),AM261,0)*'參數'!$B$14+IF(ISNUMBER(AO261),AO261,0)*'參數'!$B$15+IF(ISNUMBER(AP261),AP261,0)*'參數'!$B$16)/('參數'!$B$13+'參數'!$B$14+'參數'!$B$15+'參數'!$B$16),"")</f>
        <v/>
      </c>
      <c r="AR261" s="35">
        <f>IF(Y261=1,(SUMPRODUCT(($X$5:$X$404=X261)*($Y$5:$Y$404=1)*($BD$5:$BD$404&gt;BD261))+1)/COUNTIFS($X$5:$X$404,X261,$Y$5:$Y$404,1),"")</f>
        <v/>
      </c>
      <c r="AS261" s="8">
        <f>IF(ISNUMBER(AR261),IF(AR261&lt;='參數'!$B$18,"加碼候選",IF(AR261&gt;'參數'!$B$19,"減碼候選","")),"")</f>
        <v/>
      </c>
      <c r="AT261" s="7">
        <f>IF(Y261=1,N261,0)</f>
        <v/>
      </c>
      <c r="AU261" s="7">
        <f>IF(Y261=1,LN(O261),0)</f>
        <v/>
      </c>
      <c r="AV261" s="36">
        <f>IF(Y261=1,IF(ISNUMBER(F261),F261,0),0)</f>
        <v/>
      </c>
      <c r="AW261" s="7">
        <f>IF(Y261=1,Z261,0)</f>
        <v/>
      </c>
      <c r="AX261" s="7">
        <f>IF(Y261=1,IF(ISNUMBER(AL261),AL261,0),0)</f>
        <v/>
      </c>
      <c r="AY261" s="7">
        <f>IF(Y261=1,IF(ISNUMBER(AL261),1,0),0)</f>
        <v/>
      </c>
      <c r="AZ261" s="7">
        <f>IF(Y261=1,IF(ISNUMBER(AN261),AN261,0),0)</f>
        <v/>
      </c>
      <c r="BA261" s="7">
        <f>IF(Y261=1,IF(ISNUMBER(AN261),1,0),0)</f>
        <v/>
      </c>
      <c r="BB261" s="7">
        <f>IF(Y261=1,IF(ISNUMBER(T261),T261,0),0)</f>
        <v/>
      </c>
      <c r="BC261" s="7">
        <f>IF(Y261=1,IF(ISNUMBER(T261),1,0),0)</f>
        <v/>
      </c>
      <c r="BD261" s="7">
        <f>IF(Y261=1,AQ261+ROW()/1E9,-1E9)</f>
        <v/>
      </c>
      <c r="BE261" s="7">
        <f>IF(Y261=1,AQ261+ROW()/1E9,1E9)</f>
        <v/>
      </c>
    </row>
    <row r="262">
      <c r="A262" s="16" t="n"/>
      <c r="B262" s="8">
        <f>IF($A262="","",BDP($A262,B$3))</f>
        <v/>
      </c>
      <c r="C262" s="8">
        <f>IF($A262="","",BDP($A262,C$3))</f>
        <v/>
      </c>
      <c r="D262" s="28">
        <f>IF($A262="","",BDP($A262,D$3))</f>
        <v/>
      </c>
      <c r="E262" s="29">
        <f>IF($A262="","",BDP($A262,E$3))</f>
        <v/>
      </c>
      <c r="F262" s="17">
        <f>IF($A262="","",BDP($A262,F$3))</f>
        <v/>
      </c>
      <c r="G262" s="8">
        <f>IF($A262="","",BDP($A262,G$3))</f>
        <v/>
      </c>
      <c r="H262" s="8">
        <f>IF($A262="","",BDP($A262,H$3))</f>
        <v/>
      </c>
      <c r="I262" s="8">
        <f>IF($A262="","",BDP($A262,I$3))</f>
        <v/>
      </c>
      <c r="J262" s="8">
        <f>IF($A262="","",BDP($A262,J$3))</f>
        <v/>
      </c>
      <c r="K262" s="8">
        <f>IF($A262="","",BDP($A262,K$3))</f>
        <v/>
      </c>
      <c r="L262" s="28">
        <f>IF($A262="","",BDP($A262,L$3))</f>
        <v/>
      </c>
      <c r="M262" s="28">
        <f>IF($A262="","",BDP($A262,M$3))</f>
        <v/>
      </c>
      <c r="N262" s="30">
        <f>IF($A262="","",BDP($A262,N$3))</f>
        <v/>
      </c>
      <c r="O262" s="31">
        <f>IF($A262="","",BDP($A262,O$3))</f>
        <v/>
      </c>
      <c r="P262" s="30">
        <f>IF($A262="","",BDH($A262,$N$3,'參數'!$B$5,'參數'!$B$5,"Days=A","Fill=P","Dates=H"))</f>
        <v/>
      </c>
      <c r="Q262" s="30">
        <f>IF($A262="","",BDH($A262,$N$3,'參數'!$B$6,'參數'!$B$6,"Days=A","Fill=P","Dates=H"))</f>
        <v/>
      </c>
      <c r="R262" s="30">
        <f>IF($A262="","",BDH($A262,$N$3,'參數'!$B$7,'參數'!$B$7,"Days=A","Fill=P","Dates=H"))</f>
        <v/>
      </c>
      <c r="S262" s="32">
        <f>IF($A262="","",IFERROR(INDEX('發行人'!$A$5:$A$44,MATCH(B262,'發行人'!$D$5:$D$44,0)),"未對應"))</f>
        <v/>
      </c>
      <c r="T262" s="24">
        <f>IF($A262="","",IFERROR(INDEX('發行人'!$G$5:$G$44,MATCH(B262,'發行人'!$D$5:$D$44,0))+0,""))</f>
        <v/>
      </c>
      <c r="U262" s="18">
        <f>IF(ISNUMBER(E262),YEARFRAC('參數'!$B$4,E262),"")</f>
        <v/>
      </c>
      <c r="V262" s="8">
        <f>IF(U262="","",IF(U262&lt;3,"1-3y",IF(U262&lt;5,"3-5y",IF(U262&lt;7,"5-7y",IF(U262&lt;10,"7-10y","10y+")))))</f>
        <v/>
      </c>
      <c r="W262" s="30">
        <f>IF($A262="","",IFERROR(INDEX('參數'!$B$24:$B$45,MATCH(G262,'參數'!$A$24:$A$45,0)),""))</f>
        <v/>
      </c>
      <c r="X262" s="8">
        <f>IF($A262="","",IFERROR(INDEX('參數'!$C$24:$C$45,MATCH(G262,'參數'!$A$24:$A$45,0)),""))</f>
        <v/>
      </c>
      <c r="Y262" s="30">
        <f>IF(AND(ISNUMBER(N262),ISNUMBER(O262),ISNUMBER(U262)),IF(AND(O262&gt;0,X262&lt;&gt;""),1,0),0)</f>
        <v/>
      </c>
      <c r="Z262" s="17">
        <f>IF(Y262=1,O262*N262,"")</f>
        <v/>
      </c>
      <c r="AA262" s="33">
        <f>IF(Y262=1,IF(ISNUMBER(Q262),N262-Q262,""),"")</f>
        <v/>
      </c>
      <c r="AB262" s="33">
        <f>IF(Y262=1,IF(AND(ISNUMBER(P262),ISNUMBER(R262)),R262*5/12-O262*(P262-R262),""),"")</f>
        <v/>
      </c>
      <c r="AC262" s="30">
        <f>IF(Y262=1,COUNTIFS($X$5:$X$404,X262,$V$5:$V$404,V262,$Y$5:$Y$404,1),"")</f>
        <v/>
      </c>
      <c r="AD262" s="30">
        <f>IF(Y262=1,IFERROR(IF(AC262&gt;='參數'!$B$9,INDEX('分群統計'!$G$13:$K$16,MATCH(X262,'分群統計'!$A$13:$A$16,0),MATCH(V262,'分群統計'!$G$12:$K$12,0)),INDEX('分群統計'!$I$5:$I$8,MATCH(X262,'分群統計'!$A$5:$A$8,0))),""),"")</f>
        <v/>
      </c>
      <c r="AE262" s="18">
        <f>IF(Y262=1,IFERROR(IF(AC262&gt;='參數'!$B$9,INDEX('分群統計'!$L$13:$P$16,MATCH(X262,'分群統計'!$A$13:$A$16,0),MATCH(V262,'分群統計'!$L$12:$P$12,0)),INDEX('分群統計'!$J$5:$J$8,MATCH(X262,'分群統計'!$A$5:$A$8,0))),""),"")</f>
        <v/>
      </c>
      <c r="AF262" s="31">
        <f>IF(ISNUMBER(AE262),IF(AE262&gt;0,MAX(-3,MIN(3,(N262-AD262)/AE262)),0),"")</f>
        <v/>
      </c>
      <c r="AG262" s="30">
        <f>IF(Y262=1,COUNTIFS($B$5:$B$404,B262,$Y$5:$Y$404,1),"")</f>
        <v/>
      </c>
      <c r="AH262" s="30">
        <f>IF(Y262=1,IFERROR(IF(ISNUMBER(INDEX('分群統計'!$G$20:$G$59,MATCH(B262,'分群統計'!$A$20:$A$59,0))),INDEX('分群統計'!$H$20:$H$59,MATCH(B262,'分群統計'!$A$20:$A$59,0))+INDEX('分群統計'!$G$20:$G$59,MATCH(B262,'分群統計'!$A$20:$A$59,0))*AU262,""),""),"")</f>
        <v/>
      </c>
      <c r="AI262" s="34">
        <f>IF(ISNUMBER(AH262),N262-AH262,"")</f>
        <v/>
      </c>
      <c r="AJ262" s="30">
        <f>IF(Y262=1,IFERROR(IF(ISNUMBER(INDEX('分群統計'!$G$5:$G$8,MATCH(X262,'分群統計'!$A$5:$A$8,0))),INDEX('分群統計'!$H$5:$H$8,MATCH(X262,'分群統計'!$A$5:$A$8,0))+INDEX('分群統計'!$G$5:$G$8,MATCH(X262,'分群統計'!$A$5:$A$8,0))*AU262,""),""),"")</f>
        <v/>
      </c>
      <c r="AK262" s="34">
        <f>IF(ISNUMBER(AJ262),N262-AJ262,"")</f>
        <v/>
      </c>
      <c r="AL262" s="21">
        <f>IF(ISNUMBER(AJ262),IF(AJ262&gt;0,AK262/AJ262,""),"")</f>
        <v/>
      </c>
      <c r="AM262" s="31">
        <f>IF(AY262&lt;&gt;1,"",IFERROR(IF(INDEX('分群統計'!$K$5:$K$8,MATCH(X262,'分群統計'!$A$5:$A$8,0))&lt;3,"",IF(INDEX('分群統計'!$M$5:$M$8,MATCH(X262,'分群統計'!$A$5:$A$8,0))&gt;0,MAX(-3,MIN(3,(AX262-INDEX('分群統計'!$L$5:$L$8,MATCH(X262,'分群統計'!$A$5:$A$8,0)))/INDEX('分群統計'!$M$5:$M$8,MATCH(X262,'分群統計'!$A$5:$A$8,0)))),0)),""))</f>
        <v/>
      </c>
      <c r="AN262" s="31">
        <f>IF(ISNUMBER(AB262),IF(Z262&gt;0,AB262/Z262*100,""),"")</f>
        <v/>
      </c>
      <c r="AO262" s="31">
        <f>IF(BA262&lt;&gt;1,"",IFERROR(IF(INDEX('分群統計'!$N$5:$N$8,MATCH(X262,'分群統計'!$A$5:$A$8,0))&lt;3,"",IF(INDEX('分群統計'!$P$5:$P$8,MATCH(X262,'分群統計'!$A$5:$A$8,0))&gt;0,MAX(-3,MIN(3,(AZ262-INDEX('分群統計'!$O$5:$O$8,MATCH(X262,'分群統計'!$A$5:$A$8,0)))/INDEX('分群統計'!$P$5:$P$8,MATCH(X262,'分群統計'!$A$5:$A$8,0)))),0)),""))</f>
        <v/>
      </c>
      <c r="AP262" s="31">
        <f>IF(BC262&lt;&gt;1,"",IFERROR(IF(INDEX('分群統計'!$Q$5:$Q$8,MATCH(X262,'分群統計'!$A$5:$A$8,0))&lt;3,"",IF(INDEX('分群統計'!$S$5:$S$8,MATCH(X262,'分群統計'!$A$5:$A$8,0))&gt;0,MAX(-3,MIN(3,(BB262-INDEX('分群統計'!$R$5:$R$8,MATCH(X262,'分群統計'!$A$5:$A$8,0)))/INDEX('分群統計'!$S$5:$S$8,MATCH(X262,'分群統計'!$A$5:$A$8,0)))),0)),""))</f>
        <v/>
      </c>
      <c r="AQ262" s="31">
        <f>IF(Y262=1,(IF(ISNUMBER(AF262),AF262,0)*'參數'!$B$13+IF(ISNUMBER(AM262),AM262,0)*'參數'!$B$14+IF(ISNUMBER(AO262),AO262,0)*'參數'!$B$15+IF(ISNUMBER(AP262),AP262,0)*'參數'!$B$16)/('參數'!$B$13+'參數'!$B$14+'參數'!$B$15+'參數'!$B$16),"")</f>
        <v/>
      </c>
      <c r="AR262" s="35">
        <f>IF(Y262=1,(SUMPRODUCT(($X$5:$X$404=X262)*($Y$5:$Y$404=1)*($BD$5:$BD$404&gt;BD262))+1)/COUNTIFS($X$5:$X$404,X262,$Y$5:$Y$404,1),"")</f>
        <v/>
      </c>
      <c r="AS262" s="8">
        <f>IF(ISNUMBER(AR262),IF(AR262&lt;='參數'!$B$18,"加碼候選",IF(AR262&gt;'參數'!$B$19,"減碼候選","")),"")</f>
        <v/>
      </c>
      <c r="AT262" s="7">
        <f>IF(Y262=1,N262,0)</f>
        <v/>
      </c>
      <c r="AU262" s="7">
        <f>IF(Y262=1,LN(O262),0)</f>
        <v/>
      </c>
      <c r="AV262" s="36">
        <f>IF(Y262=1,IF(ISNUMBER(F262),F262,0),0)</f>
        <v/>
      </c>
      <c r="AW262" s="7">
        <f>IF(Y262=1,Z262,0)</f>
        <v/>
      </c>
      <c r="AX262" s="7">
        <f>IF(Y262=1,IF(ISNUMBER(AL262),AL262,0),0)</f>
        <v/>
      </c>
      <c r="AY262" s="7">
        <f>IF(Y262=1,IF(ISNUMBER(AL262),1,0),0)</f>
        <v/>
      </c>
      <c r="AZ262" s="7">
        <f>IF(Y262=1,IF(ISNUMBER(AN262),AN262,0),0)</f>
        <v/>
      </c>
      <c r="BA262" s="7">
        <f>IF(Y262=1,IF(ISNUMBER(AN262),1,0),0)</f>
        <v/>
      </c>
      <c r="BB262" s="7">
        <f>IF(Y262=1,IF(ISNUMBER(T262),T262,0),0)</f>
        <v/>
      </c>
      <c r="BC262" s="7">
        <f>IF(Y262=1,IF(ISNUMBER(T262),1,0),0)</f>
        <v/>
      </c>
      <c r="BD262" s="7">
        <f>IF(Y262=1,AQ262+ROW()/1E9,-1E9)</f>
        <v/>
      </c>
      <c r="BE262" s="7">
        <f>IF(Y262=1,AQ262+ROW()/1E9,1E9)</f>
        <v/>
      </c>
    </row>
    <row r="263">
      <c r="A263" s="16" t="n"/>
      <c r="B263" s="8">
        <f>IF($A263="","",BDP($A263,B$3))</f>
        <v/>
      </c>
      <c r="C263" s="8">
        <f>IF($A263="","",BDP($A263,C$3))</f>
        <v/>
      </c>
      <c r="D263" s="28">
        <f>IF($A263="","",BDP($A263,D$3))</f>
        <v/>
      </c>
      <c r="E263" s="29">
        <f>IF($A263="","",BDP($A263,E$3))</f>
        <v/>
      </c>
      <c r="F263" s="17">
        <f>IF($A263="","",BDP($A263,F$3))</f>
        <v/>
      </c>
      <c r="G263" s="8">
        <f>IF($A263="","",BDP($A263,G$3))</f>
        <v/>
      </c>
      <c r="H263" s="8">
        <f>IF($A263="","",BDP($A263,H$3))</f>
        <v/>
      </c>
      <c r="I263" s="8">
        <f>IF($A263="","",BDP($A263,I$3))</f>
        <v/>
      </c>
      <c r="J263" s="8">
        <f>IF($A263="","",BDP($A263,J$3))</f>
        <v/>
      </c>
      <c r="K263" s="8">
        <f>IF($A263="","",BDP($A263,K$3))</f>
        <v/>
      </c>
      <c r="L263" s="28">
        <f>IF($A263="","",BDP($A263,L$3))</f>
        <v/>
      </c>
      <c r="M263" s="28">
        <f>IF($A263="","",BDP($A263,M$3))</f>
        <v/>
      </c>
      <c r="N263" s="30">
        <f>IF($A263="","",BDP($A263,N$3))</f>
        <v/>
      </c>
      <c r="O263" s="31">
        <f>IF($A263="","",BDP($A263,O$3))</f>
        <v/>
      </c>
      <c r="P263" s="30">
        <f>IF($A263="","",BDH($A263,$N$3,'參數'!$B$5,'參數'!$B$5,"Days=A","Fill=P","Dates=H"))</f>
        <v/>
      </c>
      <c r="Q263" s="30">
        <f>IF($A263="","",BDH($A263,$N$3,'參數'!$B$6,'參數'!$B$6,"Days=A","Fill=P","Dates=H"))</f>
        <v/>
      </c>
      <c r="R263" s="30">
        <f>IF($A263="","",BDH($A263,$N$3,'參數'!$B$7,'參數'!$B$7,"Days=A","Fill=P","Dates=H"))</f>
        <v/>
      </c>
      <c r="S263" s="32">
        <f>IF($A263="","",IFERROR(INDEX('發行人'!$A$5:$A$44,MATCH(B263,'發行人'!$D$5:$D$44,0)),"未對應"))</f>
        <v/>
      </c>
      <c r="T263" s="24">
        <f>IF($A263="","",IFERROR(INDEX('發行人'!$G$5:$G$44,MATCH(B263,'發行人'!$D$5:$D$44,0))+0,""))</f>
        <v/>
      </c>
      <c r="U263" s="18">
        <f>IF(ISNUMBER(E263),YEARFRAC('參數'!$B$4,E263),"")</f>
        <v/>
      </c>
      <c r="V263" s="8">
        <f>IF(U263="","",IF(U263&lt;3,"1-3y",IF(U263&lt;5,"3-5y",IF(U263&lt;7,"5-7y",IF(U263&lt;10,"7-10y","10y+")))))</f>
        <v/>
      </c>
      <c r="W263" s="30">
        <f>IF($A263="","",IFERROR(INDEX('參數'!$B$24:$B$45,MATCH(G263,'參數'!$A$24:$A$45,0)),""))</f>
        <v/>
      </c>
      <c r="X263" s="8">
        <f>IF($A263="","",IFERROR(INDEX('參數'!$C$24:$C$45,MATCH(G263,'參數'!$A$24:$A$45,0)),""))</f>
        <v/>
      </c>
      <c r="Y263" s="30">
        <f>IF(AND(ISNUMBER(N263),ISNUMBER(O263),ISNUMBER(U263)),IF(AND(O263&gt;0,X263&lt;&gt;""),1,0),0)</f>
        <v/>
      </c>
      <c r="Z263" s="17">
        <f>IF(Y263=1,O263*N263,"")</f>
        <v/>
      </c>
      <c r="AA263" s="33">
        <f>IF(Y263=1,IF(ISNUMBER(Q263),N263-Q263,""),"")</f>
        <v/>
      </c>
      <c r="AB263" s="33">
        <f>IF(Y263=1,IF(AND(ISNUMBER(P263),ISNUMBER(R263)),R263*5/12-O263*(P263-R263),""),"")</f>
        <v/>
      </c>
      <c r="AC263" s="30">
        <f>IF(Y263=1,COUNTIFS($X$5:$X$404,X263,$V$5:$V$404,V263,$Y$5:$Y$404,1),"")</f>
        <v/>
      </c>
      <c r="AD263" s="30">
        <f>IF(Y263=1,IFERROR(IF(AC263&gt;='參數'!$B$9,INDEX('分群統計'!$G$13:$K$16,MATCH(X263,'分群統計'!$A$13:$A$16,0),MATCH(V263,'分群統計'!$G$12:$K$12,0)),INDEX('分群統計'!$I$5:$I$8,MATCH(X263,'分群統計'!$A$5:$A$8,0))),""),"")</f>
        <v/>
      </c>
      <c r="AE263" s="18">
        <f>IF(Y263=1,IFERROR(IF(AC263&gt;='參數'!$B$9,INDEX('分群統計'!$L$13:$P$16,MATCH(X263,'分群統計'!$A$13:$A$16,0),MATCH(V263,'分群統計'!$L$12:$P$12,0)),INDEX('分群統計'!$J$5:$J$8,MATCH(X263,'分群統計'!$A$5:$A$8,0))),""),"")</f>
        <v/>
      </c>
      <c r="AF263" s="31">
        <f>IF(ISNUMBER(AE263),IF(AE263&gt;0,MAX(-3,MIN(3,(N263-AD263)/AE263)),0),"")</f>
        <v/>
      </c>
      <c r="AG263" s="30">
        <f>IF(Y263=1,COUNTIFS($B$5:$B$404,B263,$Y$5:$Y$404,1),"")</f>
        <v/>
      </c>
      <c r="AH263" s="30">
        <f>IF(Y263=1,IFERROR(IF(ISNUMBER(INDEX('分群統計'!$G$20:$G$59,MATCH(B263,'分群統計'!$A$20:$A$59,0))),INDEX('分群統計'!$H$20:$H$59,MATCH(B263,'分群統計'!$A$20:$A$59,0))+INDEX('分群統計'!$G$20:$G$59,MATCH(B263,'分群統計'!$A$20:$A$59,0))*AU263,""),""),"")</f>
        <v/>
      </c>
      <c r="AI263" s="34">
        <f>IF(ISNUMBER(AH263),N263-AH263,"")</f>
        <v/>
      </c>
      <c r="AJ263" s="30">
        <f>IF(Y263=1,IFERROR(IF(ISNUMBER(INDEX('分群統計'!$G$5:$G$8,MATCH(X263,'分群統計'!$A$5:$A$8,0))),INDEX('分群統計'!$H$5:$H$8,MATCH(X263,'分群統計'!$A$5:$A$8,0))+INDEX('分群統計'!$G$5:$G$8,MATCH(X263,'分群統計'!$A$5:$A$8,0))*AU263,""),""),"")</f>
        <v/>
      </c>
      <c r="AK263" s="34">
        <f>IF(ISNUMBER(AJ263),N263-AJ263,"")</f>
        <v/>
      </c>
      <c r="AL263" s="21">
        <f>IF(ISNUMBER(AJ263),IF(AJ263&gt;0,AK263/AJ263,""),"")</f>
        <v/>
      </c>
      <c r="AM263" s="31">
        <f>IF(AY263&lt;&gt;1,"",IFERROR(IF(INDEX('分群統計'!$K$5:$K$8,MATCH(X263,'分群統計'!$A$5:$A$8,0))&lt;3,"",IF(INDEX('分群統計'!$M$5:$M$8,MATCH(X263,'分群統計'!$A$5:$A$8,0))&gt;0,MAX(-3,MIN(3,(AX263-INDEX('分群統計'!$L$5:$L$8,MATCH(X263,'分群統計'!$A$5:$A$8,0)))/INDEX('分群統計'!$M$5:$M$8,MATCH(X263,'分群統計'!$A$5:$A$8,0)))),0)),""))</f>
        <v/>
      </c>
      <c r="AN263" s="31">
        <f>IF(ISNUMBER(AB263),IF(Z263&gt;0,AB263/Z263*100,""),"")</f>
        <v/>
      </c>
      <c r="AO263" s="31">
        <f>IF(BA263&lt;&gt;1,"",IFERROR(IF(INDEX('分群統計'!$N$5:$N$8,MATCH(X263,'分群統計'!$A$5:$A$8,0))&lt;3,"",IF(INDEX('分群統計'!$P$5:$P$8,MATCH(X263,'分群統計'!$A$5:$A$8,0))&gt;0,MAX(-3,MIN(3,(AZ263-INDEX('分群統計'!$O$5:$O$8,MATCH(X263,'分群統計'!$A$5:$A$8,0)))/INDEX('分群統計'!$P$5:$P$8,MATCH(X263,'分群統計'!$A$5:$A$8,0)))),0)),""))</f>
        <v/>
      </c>
      <c r="AP263" s="31">
        <f>IF(BC263&lt;&gt;1,"",IFERROR(IF(INDEX('分群統計'!$Q$5:$Q$8,MATCH(X263,'分群統計'!$A$5:$A$8,0))&lt;3,"",IF(INDEX('分群統計'!$S$5:$S$8,MATCH(X263,'分群統計'!$A$5:$A$8,0))&gt;0,MAX(-3,MIN(3,(BB263-INDEX('分群統計'!$R$5:$R$8,MATCH(X263,'分群統計'!$A$5:$A$8,0)))/INDEX('分群統計'!$S$5:$S$8,MATCH(X263,'分群統計'!$A$5:$A$8,0)))),0)),""))</f>
        <v/>
      </c>
      <c r="AQ263" s="31">
        <f>IF(Y263=1,(IF(ISNUMBER(AF263),AF263,0)*'參數'!$B$13+IF(ISNUMBER(AM263),AM263,0)*'參數'!$B$14+IF(ISNUMBER(AO263),AO263,0)*'參數'!$B$15+IF(ISNUMBER(AP263),AP263,0)*'參數'!$B$16)/('參數'!$B$13+'參數'!$B$14+'參數'!$B$15+'參數'!$B$16),"")</f>
        <v/>
      </c>
      <c r="AR263" s="35">
        <f>IF(Y263=1,(SUMPRODUCT(($X$5:$X$404=X263)*($Y$5:$Y$404=1)*($BD$5:$BD$404&gt;BD263))+1)/COUNTIFS($X$5:$X$404,X263,$Y$5:$Y$404,1),"")</f>
        <v/>
      </c>
      <c r="AS263" s="8">
        <f>IF(ISNUMBER(AR263),IF(AR263&lt;='參數'!$B$18,"加碼候選",IF(AR263&gt;'參數'!$B$19,"減碼候選","")),"")</f>
        <v/>
      </c>
      <c r="AT263" s="7">
        <f>IF(Y263=1,N263,0)</f>
        <v/>
      </c>
      <c r="AU263" s="7">
        <f>IF(Y263=1,LN(O263),0)</f>
        <v/>
      </c>
      <c r="AV263" s="36">
        <f>IF(Y263=1,IF(ISNUMBER(F263),F263,0),0)</f>
        <v/>
      </c>
      <c r="AW263" s="7">
        <f>IF(Y263=1,Z263,0)</f>
        <v/>
      </c>
      <c r="AX263" s="7">
        <f>IF(Y263=1,IF(ISNUMBER(AL263),AL263,0),0)</f>
        <v/>
      </c>
      <c r="AY263" s="7">
        <f>IF(Y263=1,IF(ISNUMBER(AL263),1,0),0)</f>
        <v/>
      </c>
      <c r="AZ263" s="7">
        <f>IF(Y263=1,IF(ISNUMBER(AN263),AN263,0),0)</f>
        <v/>
      </c>
      <c r="BA263" s="7">
        <f>IF(Y263=1,IF(ISNUMBER(AN263),1,0),0)</f>
        <v/>
      </c>
      <c r="BB263" s="7">
        <f>IF(Y263=1,IF(ISNUMBER(T263),T263,0),0)</f>
        <v/>
      </c>
      <c r="BC263" s="7">
        <f>IF(Y263=1,IF(ISNUMBER(T263),1,0),0)</f>
        <v/>
      </c>
      <c r="BD263" s="7">
        <f>IF(Y263=1,AQ263+ROW()/1E9,-1E9)</f>
        <v/>
      </c>
      <c r="BE263" s="7">
        <f>IF(Y263=1,AQ263+ROW()/1E9,1E9)</f>
        <v/>
      </c>
    </row>
    <row r="264">
      <c r="A264" s="16" t="n"/>
      <c r="B264" s="8">
        <f>IF($A264="","",BDP($A264,B$3))</f>
        <v/>
      </c>
      <c r="C264" s="8">
        <f>IF($A264="","",BDP($A264,C$3))</f>
        <v/>
      </c>
      <c r="D264" s="28">
        <f>IF($A264="","",BDP($A264,D$3))</f>
        <v/>
      </c>
      <c r="E264" s="29">
        <f>IF($A264="","",BDP($A264,E$3))</f>
        <v/>
      </c>
      <c r="F264" s="17">
        <f>IF($A264="","",BDP($A264,F$3))</f>
        <v/>
      </c>
      <c r="G264" s="8">
        <f>IF($A264="","",BDP($A264,G$3))</f>
        <v/>
      </c>
      <c r="H264" s="8">
        <f>IF($A264="","",BDP($A264,H$3))</f>
        <v/>
      </c>
      <c r="I264" s="8">
        <f>IF($A264="","",BDP($A264,I$3))</f>
        <v/>
      </c>
      <c r="J264" s="8">
        <f>IF($A264="","",BDP($A264,J$3))</f>
        <v/>
      </c>
      <c r="K264" s="8">
        <f>IF($A264="","",BDP($A264,K$3))</f>
        <v/>
      </c>
      <c r="L264" s="28">
        <f>IF($A264="","",BDP($A264,L$3))</f>
        <v/>
      </c>
      <c r="M264" s="28">
        <f>IF($A264="","",BDP($A264,M$3))</f>
        <v/>
      </c>
      <c r="N264" s="30">
        <f>IF($A264="","",BDP($A264,N$3))</f>
        <v/>
      </c>
      <c r="O264" s="31">
        <f>IF($A264="","",BDP($A264,O$3))</f>
        <v/>
      </c>
      <c r="P264" s="30">
        <f>IF($A264="","",BDH($A264,$N$3,'參數'!$B$5,'參數'!$B$5,"Days=A","Fill=P","Dates=H"))</f>
        <v/>
      </c>
      <c r="Q264" s="30">
        <f>IF($A264="","",BDH($A264,$N$3,'參數'!$B$6,'參數'!$B$6,"Days=A","Fill=P","Dates=H"))</f>
        <v/>
      </c>
      <c r="R264" s="30">
        <f>IF($A264="","",BDH($A264,$N$3,'參數'!$B$7,'參數'!$B$7,"Days=A","Fill=P","Dates=H"))</f>
        <v/>
      </c>
      <c r="S264" s="32">
        <f>IF($A264="","",IFERROR(INDEX('發行人'!$A$5:$A$44,MATCH(B264,'發行人'!$D$5:$D$44,0)),"未對應"))</f>
        <v/>
      </c>
      <c r="T264" s="24">
        <f>IF($A264="","",IFERROR(INDEX('發行人'!$G$5:$G$44,MATCH(B264,'發行人'!$D$5:$D$44,0))+0,""))</f>
        <v/>
      </c>
      <c r="U264" s="18">
        <f>IF(ISNUMBER(E264),YEARFRAC('參數'!$B$4,E264),"")</f>
        <v/>
      </c>
      <c r="V264" s="8">
        <f>IF(U264="","",IF(U264&lt;3,"1-3y",IF(U264&lt;5,"3-5y",IF(U264&lt;7,"5-7y",IF(U264&lt;10,"7-10y","10y+")))))</f>
        <v/>
      </c>
      <c r="W264" s="30">
        <f>IF($A264="","",IFERROR(INDEX('參數'!$B$24:$B$45,MATCH(G264,'參數'!$A$24:$A$45,0)),""))</f>
        <v/>
      </c>
      <c r="X264" s="8">
        <f>IF($A264="","",IFERROR(INDEX('參數'!$C$24:$C$45,MATCH(G264,'參數'!$A$24:$A$45,0)),""))</f>
        <v/>
      </c>
      <c r="Y264" s="30">
        <f>IF(AND(ISNUMBER(N264),ISNUMBER(O264),ISNUMBER(U264)),IF(AND(O264&gt;0,X264&lt;&gt;""),1,0),0)</f>
        <v/>
      </c>
      <c r="Z264" s="17">
        <f>IF(Y264=1,O264*N264,"")</f>
        <v/>
      </c>
      <c r="AA264" s="33">
        <f>IF(Y264=1,IF(ISNUMBER(Q264),N264-Q264,""),"")</f>
        <v/>
      </c>
      <c r="AB264" s="33">
        <f>IF(Y264=1,IF(AND(ISNUMBER(P264),ISNUMBER(R264)),R264*5/12-O264*(P264-R264),""),"")</f>
        <v/>
      </c>
      <c r="AC264" s="30">
        <f>IF(Y264=1,COUNTIFS($X$5:$X$404,X264,$V$5:$V$404,V264,$Y$5:$Y$404,1),"")</f>
        <v/>
      </c>
      <c r="AD264" s="30">
        <f>IF(Y264=1,IFERROR(IF(AC264&gt;='參數'!$B$9,INDEX('分群統計'!$G$13:$K$16,MATCH(X264,'分群統計'!$A$13:$A$16,0),MATCH(V264,'分群統計'!$G$12:$K$12,0)),INDEX('分群統計'!$I$5:$I$8,MATCH(X264,'分群統計'!$A$5:$A$8,0))),""),"")</f>
        <v/>
      </c>
      <c r="AE264" s="18">
        <f>IF(Y264=1,IFERROR(IF(AC264&gt;='參數'!$B$9,INDEX('分群統計'!$L$13:$P$16,MATCH(X264,'分群統計'!$A$13:$A$16,0),MATCH(V264,'分群統計'!$L$12:$P$12,0)),INDEX('分群統計'!$J$5:$J$8,MATCH(X264,'分群統計'!$A$5:$A$8,0))),""),"")</f>
        <v/>
      </c>
      <c r="AF264" s="31">
        <f>IF(ISNUMBER(AE264),IF(AE264&gt;0,MAX(-3,MIN(3,(N264-AD264)/AE264)),0),"")</f>
        <v/>
      </c>
      <c r="AG264" s="30">
        <f>IF(Y264=1,COUNTIFS($B$5:$B$404,B264,$Y$5:$Y$404,1),"")</f>
        <v/>
      </c>
      <c r="AH264" s="30">
        <f>IF(Y264=1,IFERROR(IF(ISNUMBER(INDEX('分群統計'!$G$20:$G$59,MATCH(B264,'分群統計'!$A$20:$A$59,0))),INDEX('分群統計'!$H$20:$H$59,MATCH(B264,'分群統計'!$A$20:$A$59,0))+INDEX('分群統計'!$G$20:$G$59,MATCH(B264,'分群統計'!$A$20:$A$59,0))*AU264,""),""),"")</f>
        <v/>
      </c>
      <c r="AI264" s="34">
        <f>IF(ISNUMBER(AH264),N264-AH264,"")</f>
        <v/>
      </c>
      <c r="AJ264" s="30">
        <f>IF(Y264=1,IFERROR(IF(ISNUMBER(INDEX('分群統計'!$G$5:$G$8,MATCH(X264,'分群統計'!$A$5:$A$8,0))),INDEX('分群統計'!$H$5:$H$8,MATCH(X264,'分群統計'!$A$5:$A$8,0))+INDEX('分群統計'!$G$5:$G$8,MATCH(X264,'分群統計'!$A$5:$A$8,0))*AU264,""),""),"")</f>
        <v/>
      </c>
      <c r="AK264" s="34">
        <f>IF(ISNUMBER(AJ264),N264-AJ264,"")</f>
        <v/>
      </c>
      <c r="AL264" s="21">
        <f>IF(ISNUMBER(AJ264),IF(AJ264&gt;0,AK264/AJ264,""),"")</f>
        <v/>
      </c>
      <c r="AM264" s="31">
        <f>IF(AY264&lt;&gt;1,"",IFERROR(IF(INDEX('分群統計'!$K$5:$K$8,MATCH(X264,'分群統計'!$A$5:$A$8,0))&lt;3,"",IF(INDEX('分群統計'!$M$5:$M$8,MATCH(X264,'分群統計'!$A$5:$A$8,0))&gt;0,MAX(-3,MIN(3,(AX264-INDEX('分群統計'!$L$5:$L$8,MATCH(X264,'分群統計'!$A$5:$A$8,0)))/INDEX('分群統計'!$M$5:$M$8,MATCH(X264,'分群統計'!$A$5:$A$8,0)))),0)),""))</f>
        <v/>
      </c>
      <c r="AN264" s="31">
        <f>IF(ISNUMBER(AB264),IF(Z264&gt;0,AB264/Z264*100,""),"")</f>
        <v/>
      </c>
      <c r="AO264" s="31">
        <f>IF(BA264&lt;&gt;1,"",IFERROR(IF(INDEX('分群統計'!$N$5:$N$8,MATCH(X264,'分群統計'!$A$5:$A$8,0))&lt;3,"",IF(INDEX('分群統計'!$P$5:$P$8,MATCH(X264,'分群統計'!$A$5:$A$8,0))&gt;0,MAX(-3,MIN(3,(AZ264-INDEX('分群統計'!$O$5:$O$8,MATCH(X264,'分群統計'!$A$5:$A$8,0)))/INDEX('分群統計'!$P$5:$P$8,MATCH(X264,'分群統計'!$A$5:$A$8,0)))),0)),""))</f>
        <v/>
      </c>
      <c r="AP264" s="31">
        <f>IF(BC264&lt;&gt;1,"",IFERROR(IF(INDEX('分群統計'!$Q$5:$Q$8,MATCH(X264,'分群統計'!$A$5:$A$8,0))&lt;3,"",IF(INDEX('分群統計'!$S$5:$S$8,MATCH(X264,'分群統計'!$A$5:$A$8,0))&gt;0,MAX(-3,MIN(3,(BB264-INDEX('分群統計'!$R$5:$R$8,MATCH(X264,'分群統計'!$A$5:$A$8,0)))/INDEX('分群統計'!$S$5:$S$8,MATCH(X264,'分群統計'!$A$5:$A$8,0)))),0)),""))</f>
        <v/>
      </c>
      <c r="AQ264" s="31">
        <f>IF(Y264=1,(IF(ISNUMBER(AF264),AF264,0)*'參數'!$B$13+IF(ISNUMBER(AM264),AM264,0)*'參數'!$B$14+IF(ISNUMBER(AO264),AO264,0)*'參數'!$B$15+IF(ISNUMBER(AP264),AP264,0)*'參數'!$B$16)/('參數'!$B$13+'參數'!$B$14+'參數'!$B$15+'參數'!$B$16),"")</f>
        <v/>
      </c>
      <c r="AR264" s="35">
        <f>IF(Y264=1,(SUMPRODUCT(($X$5:$X$404=X264)*($Y$5:$Y$404=1)*($BD$5:$BD$404&gt;BD264))+1)/COUNTIFS($X$5:$X$404,X264,$Y$5:$Y$404,1),"")</f>
        <v/>
      </c>
      <c r="AS264" s="8">
        <f>IF(ISNUMBER(AR264),IF(AR264&lt;='參數'!$B$18,"加碼候選",IF(AR264&gt;'參數'!$B$19,"減碼候選","")),"")</f>
        <v/>
      </c>
      <c r="AT264" s="7">
        <f>IF(Y264=1,N264,0)</f>
        <v/>
      </c>
      <c r="AU264" s="7">
        <f>IF(Y264=1,LN(O264),0)</f>
        <v/>
      </c>
      <c r="AV264" s="36">
        <f>IF(Y264=1,IF(ISNUMBER(F264),F264,0),0)</f>
        <v/>
      </c>
      <c r="AW264" s="7">
        <f>IF(Y264=1,Z264,0)</f>
        <v/>
      </c>
      <c r="AX264" s="7">
        <f>IF(Y264=1,IF(ISNUMBER(AL264),AL264,0),0)</f>
        <v/>
      </c>
      <c r="AY264" s="7">
        <f>IF(Y264=1,IF(ISNUMBER(AL264),1,0),0)</f>
        <v/>
      </c>
      <c r="AZ264" s="7">
        <f>IF(Y264=1,IF(ISNUMBER(AN264),AN264,0),0)</f>
        <v/>
      </c>
      <c r="BA264" s="7">
        <f>IF(Y264=1,IF(ISNUMBER(AN264),1,0),0)</f>
        <v/>
      </c>
      <c r="BB264" s="7">
        <f>IF(Y264=1,IF(ISNUMBER(T264),T264,0),0)</f>
        <v/>
      </c>
      <c r="BC264" s="7">
        <f>IF(Y264=1,IF(ISNUMBER(T264),1,0),0)</f>
        <v/>
      </c>
      <c r="BD264" s="7">
        <f>IF(Y264=1,AQ264+ROW()/1E9,-1E9)</f>
        <v/>
      </c>
      <c r="BE264" s="7">
        <f>IF(Y264=1,AQ264+ROW()/1E9,1E9)</f>
        <v/>
      </c>
    </row>
    <row r="265">
      <c r="A265" s="16" t="n"/>
      <c r="B265" s="8">
        <f>IF($A265="","",BDP($A265,B$3))</f>
        <v/>
      </c>
      <c r="C265" s="8">
        <f>IF($A265="","",BDP($A265,C$3))</f>
        <v/>
      </c>
      <c r="D265" s="28">
        <f>IF($A265="","",BDP($A265,D$3))</f>
        <v/>
      </c>
      <c r="E265" s="29">
        <f>IF($A265="","",BDP($A265,E$3))</f>
        <v/>
      </c>
      <c r="F265" s="17">
        <f>IF($A265="","",BDP($A265,F$3))</f>
        <v/>
      </c>
      <c r="G265" s="8">
        <f>IF($A265="","",BDP($A265,G$3))</f>
        <v/>
      </c>
      <c r="H265" s="8">
        <f>IF($A265="","",BDP($A265,H$3))</f>
        <v/>
      </c>
      <c r="I265" s="8">
        <f>IF($A265="","",BDP($A265,I$3))</f>
        <v/>
      </c>
      <c r="J265" s="8">
        <f>IF($A265="","",BDP($A265,J$3))</f>
        <v/>
      </c>
      <c r="K265" s="8">
        <f>IF($A265="","",BDP($A265,K$3))</f>
        <v/>
      </c>
      <c r="L265" s="28">
        <f>IF($A265="","",BDP($A265,L$3))</f>
        <v/>
      </c>
      <c r="M265" s="28">
        <f>IF($A265="","",BDP($A265,M$3))</f>
        <v/>
      </c>
      <c r="N265" s="30">
        <f>IF($A265="","",BDP($A265,N$3))</f>
        <v/>
      </c>
      <c r="O265" s="31">
        <f>IF($A265="","",BDP($A265,O$3))</f>
        <v/>
      </c>
      <c r="P265" s="30">
        <f>IF($A265="","",BDH($A265,$N$3,'參數'!$B$5,'參數'!$B$5,"Days=A","Fill=P","Dates=H"))</f>
        <v/>
      </c>
      <c r="Q265" s="30">
        <f>IF($A265="","",BDH($A265,$N$3,'參數'!$B$6,'參數'!$B$6,"Days=A","Fill=P","Dates=H"))</f>
        <v/>
      </c>
      <c r="R265" s="30">
        <f>IF($A265="","",BDH($A265,$N$3,'參數'!$B$7,'參數'!$B$7,"Days=A","Fill=P","Dates=H"))</f>
        <v/>
      </c>
      <c r="S265" s="32">
        <f>IF($A265="","",IFERROR(INDEX('發行人'!$A$5:$A$44,MATCH(B265,'發行人'!$D$5:$D$44,0)),"未對應"))</f>
        <v/>
      </c>
      <c r="T265" s="24">
        <f>IF($A265="","",IFERROR(INDEX('發行人'!$G$5:$G$44,MATCH(B265,'發行人'!$D$5:$D$44,0))+0,""))</f>
        <v/>
      </c>
      <c r="U265" s="18">
        <f>IF(ISNUMBER(E265),YEARFRAC('參數'!$B$4,E265),"")</f>
        <v/>
      </c>
      <c r="V265" s="8">
        <f>IF(U265="","",IF(U265&lt;3,"1-3y",IF(U265&lt;5,"3-5y",IF(U265&lt;7,"5-7y",IF(U265&lt;10,"7-10y","10y+")))))</f>
        <v/>
      </c>
      <c r="W265" s="30">
        <f>IF($A265="","",IFERROR(INDEX('參數'!$B$24:$B$45,MATCH(G265,'參數'!$A$24:$A$45,0)),""))</f>
        <v/>
      </c>
      <c r="X265" s="8">
        <f>IF($A265="","",IFERROR(INDEX('參數'!$C$24:$C$45,MATCH(G265,'參數'!$A$24:$A$45,0)),""))</f>
        <v/>
      </c>
      <c r="Y265" s="30">
        <f>IF(AND(ISNUMBER(N265),ISNUMBER(O265),ISNUMBER(U265)),IF(AND(O265&gt;0,X265&lt;&gt;""),1,0),0)</f>
        <v/>
      </c>
      <c r="Z265" s="17">
        <f>IF(Y265=1,O265*N265,"")</f>
        <v/>
      </c>
      <c r="AA265" s="33">
        <f>IF(Y265=1,IF(ISNUMBER(Q265),N265-Q265,""),"")</f>
        <v/>
      </c>
      <c r="AB265" s="33">
        <f>IF(Y265=1,IF(AND(ISNUMBER(P265),ISNUMBER(R265)),R265*5/12-O265*(P265-R265),""),"")</f>
        <v/>
      </c>
      <c r="AC265" s="30">
        <f>IF(Y265=1,COUNTIFS($X$5:$X$404,X265,$V$5:$V$404,V265,$Y$5:$Y$404,1),"")</f>
        <v/>
      </c>
      <c r="AD265" s="30">
        <f>IF(Y265=1,IFERROR(IF(AC265&gt;='參數'!$B$9,INDEX('分群統計'!$G$13:$K$16,MATCH(X265,'分群統計'!$A$13:$A$16,0),MATCH(V265,'分群統計'!$G$12:$K$12,0)),INDEX('分群統計'!$I$5:$I$8,MATCH(X265,'分群統計'!$A$5:$A$8,0))),""),"")</f>
        <v/>
      </c>
      <c r="AE265" s="18">
        <f>IF(Y265=1,IFERROR(IF(AC265&gt;='參數'!$B$9,INDEX('分群統計'!$L$13:$P$16,MATCH(X265,'分群統計'!$A$13:$A$16,0),MATCH(V265,'分群統計'!$L$12:$P$12,0)),INDEX('分群統計'!$J$5:$J$8,MATCH(X265,'分群統計'!$A$5:$A$8,0))),""),"")</f>
        <v/>
      </c>
      <c r="AF265" s="31">
        <f>IF(ISNUMBER(AE265),IF(AE265&gt;0,MAX(-3,MIN(3,(N265-AD265)/AE265)),0),"")</f>
        <v/>
      </c>
      <c r="AG265" s="30">
        <f>IF(Y265=1,COUNTIFS($B$5:$B$404,B265,$Y$5:$Y$404,1),"")</f>
        <v/>
      </c>
      <c r="AH265" s="30">
        <f>IF(Y265=1,IFERROR(IF(ISNUMBER(INDEX('分群統計'!$G$20:$G$59,MATCH(B265,'分群統計'!$A$20:$A$59,0))),INDEX('分群統計'!$H$20:$H$59,MATCH(B265,'分群統計'!$A$20:$A$59,0))+INDEX('分群統計'!$G$20:$G$59,MATCH(B265,'分群統計'!$A$20:$A$59,0))*AU265,""),""),"")</f>
        <v/>
      </c>
      <c r="AI265" s="34">
        <f>IF(ISNUMBER(AH265),N265-AH265,"")</f>
        <v/>
      </c>
      <c r="AJ265" s="30">
        <f>IF(Y265=1,IFERROR(IF(ISNUMBER(INDEX('分群統計'!$G$5:$G$8,MATCH(X265,'分群統計'!$A$5:$A$8,0))),INDEX('分群統計'!$H$5:$H$8,MATCH(X265,'分群統計'!$A$5:$A$8,0))+INDEX('分群統計'!$G$5:$G$8,MATCH(X265,'分群統計'!$A$5:$A$8,0))*AU265,""),""),"")</f>
        <v/>
      </c>
      <c r="AK265" s="34">
        <f>IF(ISNUMBER(AJ265),N265-AJ265,"")</f>
        <v/>
      </c>
      <c r="AL265" s="21">
        <f>IF(ISNUMBER(AJ265),IF(AJ265&gt;0,AK265/AJ265,""),"")</f>
        <v/>
      </c>
      <c r="AM265" s="31">
        <f>IF(AY265&lt;&gt;1,"",IFERROR(IF(INDEX('分群統計'!$K$5:$K$8,MATCH(X265,'分群統計'!$A$5:$A$8,0))&lt;3,"",IF(INDEX('分群統計'!$M$5:$M$8,MATCH(X265,'分群統計'!$A$5:$A$8,0))&gt;0,MAX(-3,MIN(3,(AX265-INDEX('分群統計'!$L$5:$L$8,MATCH(X265,'分群統計'!$A$5:$A$8,0)))/INDEX('分群統計'!$M$5:$M$8,MATCH(X265,'分群統計'!$A$5:$A$8,0)))),0)),""))</f>
        <v/>
      </c>
      <c r="AN265" s="31">
        <f>IF(ISNUMBER(AB265),IF(Z265&gt;0,AB265/Z265*100,""),"")</f>
        <v/>
      </c>
      <c r="AO265" s="31">
        <f>IF(BA265&lt;&gt;1,"",IFERROR(IF(INDEX('分群統計'!$N$5:$N$8,MATCH(X265,'分群統計'!$A$5:$A$8,0))&lt;3,"",IF(INDEX('分群統計'!$P$5:$P$8,MATCH(X265,'分群統計'!$A$5:$A$8,0))&gt;0,MAX(-3,MIN(3,(AZ265-INDEX('分群統計'!$O$5:$O$8,MATCH(X265,'分群統計'!$A$5:$A$8,0)))/INDEX('分群統計'!$P$5:$P$8,MATCH(X265,'分群統計'!$A$5:$A$8,0)))),0)),""))</f>
        <v/>
      </c>
      <c r="AP265" s="31">
        <f>IF(BC265&lt;&gt;1,"",IFERROR(IF(INDEX('分群統計'!$Q$5:$Q$8,MATCH(X265,'分群統計'!$A$5:$A$8,0))&lt;3,"",IF(INDEX('分群統計'!$S$5:$S$8,MATCH(X265,'分群統計'!$A$5:$A$8,0))&gt;0,MAX(-3,MIN(3,(BB265-INDEX('分群統計'!$R$5:$R$8,MATCH(X265,'分群統計'!$A$5:$A$8,0)))/INDEX('分群統計'!$S$5:$S$8,MATCH(X265,'分群統計'!$A$5:$A$8,0)))),0)),""))</f>
        <v/>
      </c>
      <c r="AQ265" s="31">
        <f>IF(Y265=1,(IF(ISNUMBER(AF265),AF265,0)*'參數'!$B$13+IF(ISNUMBER(AM265),AM265,0)*'參數'!$B$14+IF(ISNUMBER(AO265),AO265,0)*'參數'!$B$15+IF(ISNUMBER(AP265),AP265,0)*'參數'!$B$16)/('參數'!$B$13+'參數'!$B$14+'參數'!$B$15+'參數'!$B$16),"")</f>
        <v/>
      </c>
      <c r="AR265" s="35">
        <f>IF(Y265=1,(SUMPRODUCT(($X$5:$X$404=X265)*($Y$5:$Y$404=1)*($BD$5:$BD$404&gt;BD265))+1)/COUNTIFS($X$5:$X$404,X265,$Y$5:$Y$404,1),"")</f>
        <v/>
      </c>
      <c r="AS265" s="8">
        <f>IF(ISNUMBER(AR265),IF(AR265&lt;='參數'!$B$18,"加碼候選",IF(AR265&gt;'參數'!$B$19,"減碼候選","")),"")</f>
        <v/>
      </c>
      <c r="AT265" s="7">
        <f>IF(Y265=1,N265,0)</f>
        <v/>
      </c>
      <c r="AU265" s="7">
        <f>IF(Y265=1,LN(O265),0)</f>
        <v/>
      </c>
      <c r="AV265" s="36">
        <f>IF(Y265=1,IF(ISNUMBER(F265),F265,0),0)</f>
        <v/>
      </c>
      <c r="AW265" s="7">
        <f>IF(Y265=1,Z265,0)</f>
        <v/>
      </c>
      <c r="AX265" s="7">
        <f>IF(Y265=1,IF(ISNUMBER(AL265),AL265,0),0)</f>
        <v/>
      </c>
      <c r="AY265" s="7">
        <f>IF(Y265=1,IF(ISNUMBER(AL265),1,0),0)</f>
        <v/>
      </c>
      <c r="AZ265" s="7">
        <f>IF(Y265=1,IF(ISNUMBER(AN265),AN265,0),0)</f>
        <v/>
      </c>
      <c r="BA265" s="7">
        <f>IF(Y265=1,IF(ISNUMBER(AN265),1,0),0)</f>
        <v/>
      </c>
      <c r="BB265" s="7">
        <f>IF(Y265=1,IF(ISNUMBER(T265),T265,0),0)</f>
        <v/>
      </c>
      <c r="BC265" s="7">
        <f>IF(Y265=1,IF(ISNUMBER(T265),1,0),0)</f>
        <v/>
      </c>
      <c r="BD265" s="7">
        <f>IF(Y265=1,AQ265+ROW()/1E9,-1E9)</f>
        <v/>
      </c>
      <c r="BE265" s="7">
        <f>IF(Y265=1,AQ265+ROW()/1E9,1E9)</f>
        <v/>
      </c>
    </row>
    <row r="266">
      <c r="A266" s="16" t="n"/>
      <c r="B266" s="8">
        <f>IF($A266="","",BDP($A266,B$3))</f>
        <v/>
      </c>
      <c r="C266" s="8">
        <f>IF($A266="","",BDP($A266,C$3))</f>
        <v/>
      </c>
      <c r="D266" s="28">
        <f>IF($A266="","",BDP($A266,D$3))</f>
        <v/>
      </c>
      <c r="E266" s="29">
        <f>IF($A266="","",BDP($A266,E$3))</f>
        <v/>
      </c>
      <c r="F266" s="17">
        <f>IF($A266="","",BDP($A266,F$3))</f>
        <v/>
      </c>
      <c r="G266" s="8">
        <f>IF($A266="","",BDP($A266,G$3))</f>
        <v/>
      </c>
      <c r="H266" s="8">
        <f>IF($A266="","",BDP($A266,H$3))</f>
        <v/>
      </c>
      <c r="I266" s="8">
        <f>IF($A266="","",BDP($A266,I$3))</f>
        <v/>
      </c>
      <c r="J266" s="8">
        <f>IF($A266="","",BDP($A266,J$3))</f>
        <v/>
      </c>
      <c r="K266" s="8">
        <f>IF($A266="","",BDP($A266,K$3))</f>
        <v/>
      </c>
      <c r="L266" s="28">
        <f>IF($A266="","",BDP($A266,L$3))</f>
        <v/>
      </c>
      <c r="M266" s="28">
        <f>IF($A266="","",BDP($A266,M$3))</f>
        <v/>
      </c>
      <c r="N266" s="30">
        <f>IF($A266="","",BDP($A266,N$3))</f>
        <v/>
      </c>
      <c r="O266" s="31">
        <f>IF($A266="","",BDP($A266,O$3))</f>
        <v/>
      </c>
      <c r="P266" s="30">
        <f>IF($A266="","",BDH($A266,$N$3,'參數'!$B$5,'參數'!$B$5,"Days=A","Fill=P","Dates=H"))</f>
        <v/>
      </c>
      <c r="Q266" s="30">
        <f>IF($A266="","",BDH($A266,$N$3,'參數'!$B$6,'參數'!$B$6,"Days=A","Fill=P","Dates=H"))</f>
        <v/>
      </c>
      <c r="R266" s="30">
        <f>IF($A266="","",BDH($A266,$N$3,'參數'!$B$7,'參數'!$B$7,"Days=A","Fill=P","Dates=H"))</f>
        <v/>
      </c>
      <c r="S266" s="32">
        <f>IF($A266="","",IFERROR(INDEX('發行人'!$A$5:$A$44,MATCH(B266,'發行人'!$D$5:$D$44,0)),"未對應"))</f>
        <v/>
      </c>
      <c r="T266" s="24">
        <f>IF($A266="","",IFERROR(INDEX('發行人'!$G$5:$G$44,MATCH(B266,'發行人'!$D$5:$D$44,0))+0,""))</f>
        <v/>
      </c>
      <c r="U266" s="18">
        <f>IF(ISNUMBER(E266),YEARFRAC('參數'!$B$4,E266),"")</f>
        <v/>
      </c>
      <c r="V266" s="8">
        <f>IF(U266="","",IF(U266&lt;3,"1-3y",IF(U266&lt;5,"3-5y",IF(U266&lt;7,"5-7y",IF(U266&lt;10,"7-10y","10y+")))))</f>
        <v/>
      </c>
      <c r="W266" s="30">
        <f>IF($A266="","",IFERROR(INDEX('參數'!$B$24:$B$45,MATCH(G266,'參數'!$A$24:$A$45,0)),""))</f>
        <v/>
      </c>
      <c r="X266" s="8">
        <f>IF($A266="","",IFERROR(INDEX('參數'!$C$24:$C$45,MATCH(G266,'參數'!$A$24:$A$45,0)),""))</f>
        <v/>
      </c>
      <c r="Y266" s="30">
        <f>IF(AND(ISNUMBER(N266),ISNUMBER(O266),ISNUMBER(U266)),IF(AND(O266&gt;0,X266&lt;&gt;""),1,0),0)</f>
        <v/>
      </c>
      <c r="Z266" s="17">
        <f>IF(Y266=1,O266*N266,"")</f>
        <v/>
      </c>
      <c r="AA266" s="33">
        <f>IF(Y266=1,IF(ISNUMBER(Q266),N266-Q266,""),"")</f>
        <v/>
      </c>
      <c r="AB266" s="33">
        <f>IF(Y266=1,IF(AND(ISNUMBER(P266),ISNUMBER(R266)),R266*5/12-O266*(P266-R266),""),"")</f>
        <v/>
      </c>
      <c r="AC266" s="30">
        <f>IF(Y266=1,COUNTIFS($X$5:$X$404,X266,$V$5:$V$404,V266,$Y$5:$Y$404,1),"")</f>
        <v/>
      </c>
      <c r="AD266" s="30">
        <f>IF(Y266=1,IFERROR(IF(AC266&gt;='參數'!$B$9,INDEX('分群統計'!$G$13:$K$16,MATCH(X266,'分群統計'!$A$13:$A$16,0),MATCH(V266,'分群統計'!$G$12:$K$12,0)),INDEX('分群統計'!$I$5:$I$8,MATCH(X266,'分群統計'!$A$5:$A$8,0))),""),"")</f>
        <v/>
      </c>
      <c r="AE266" s="18">
        <f>IF(Y266=1,IFERROR(IF(AC266&gt;='參數'!$B$9,INDEX('分群統計'!$L$13:$P$16,MATCH(X266,'分群統計'!$A$13:$A$16,0),MATCH(V266,'分群統計'!$L$12:$P$12,0)),INDEX('分群統計'!$J$5:$J$8,MATCH(X266,'分群統計'!$A$5:$A$8,0))),""),"")</f>
        <v/>
      </c>
      <c r="AF266" s="31">
        <f>IF(ISNUMBER(AE266),IF(AE266&gt;0,MAX(-3,MIN(3,(N266-AD266)/AE266)),0),"")</f>
        <v/>
      </c>
      <c r="AG266" s="30">
        <f>IF(Y266=1,COUNTIFS($B$5:$B$404,B266,$Y$5:$Y$404,1),"")</f>
        <v/>
      </c>
      <c r="AH266" s="30">
        <f>IF(Y266=1,IFERROR(IF(ISNUMBER(INDEX('分群統計'!$G$20:$G$59,MATCH(B266,'分群統計'!$A$20:$A$59,0))),INDEX('分群統計'!$H$20:$H$59,MATCH(B266,'分群統計'!$A$20:$A$59,0))+INDEX('分群統計'!$G$20:$G$59,MATCH(B266,'分群統計'!$A$20:$A$59,0))*AU266,""),""),"")</f>
        <v/>
      </c>
      <c r="AI266" s="34">
        <f>IF(ISNUMBER(AH266),N266-AH266,"")</f>
        <v/>
      </c>
      <c r="AJ266" s="30">
        <f>IF(Y266=1,IFERROR(IF(ISNUMBER(INDEX('分群統計'!$G$5:$G$8,MATCH(X266,'分群統計'!$A$5:$A$8,0))),INDEX('分群統計'!$H$5:$H$8,MATCH(X266,'分群統計'!$A$5:$A$8,0))+INDEX('分群統計'!$G$5:$G$8,MATCH(X266,'分群統計'!$A$5:$A$8,0))*AU266,""),""),"")</f>
        <v/>
      </c>
      <c r="AK266" s="34">
        <f>IF(ISNUMBER(AJ266),N266-AJ266,"")</f>
        <v/>
      </c>
      <c r="AL266" s="21">
        <f>IF(ISNUMBER(AJ266),IF(AJ266&gt;0,AK266/AJ266,""),"")</f>
        <v/>
      </c>
      <c r="AM266" s="31">
        <f>IF(AY266&lt;&gt;1,"",IFERROR(IF(INDEX('分群統計'!$K$5:$K$8,MATCH(X266,'分群統計'!$A$5:$A$8,0))&lt;3,"",IF(INDEX('分群統計'!$M$5:$M$8,MATCH(X266,'分群統計'!$A$5:$A$8,0))&gt;0,MAX(-3,MIN(3,(AX266-INDEX('分群統計'!$L$5:$L$8,MATCH(X266,'分群統計'!$A$5:$A$8,0)))/INDEX('分群統計'!$M$5:$M$8,MATCH(X266,'分群統計'!$A$5:$A$8,0)))),0)),""))</f>
        <v/>
      </c>
      <c r="AN266" s="31">
        <f>IF(ISNUMBER(AB266),IF(Z266&gt;0,AB266/Z266*100,""),"")</f>
        <v/>
      </c>
      <c r="AO266" s="31">
        <f>IF(BA266&lt;&gt;1,"",IFERROR(IF(INDEX('分群統計'!$N$5:$N$8,MATCH(X266,'分群統計'!$A$5:$A$8,0))&lt;3,"",IF(INDEX('分群統計'!$P$5:$P$8,MATCH(X266,'分群統計'!$A$5:$A$8,0))&gt;0,MAX(-3,MIN(3,(AZ266-INDEX('分群統計'!$O$5:$O$8,MATCH(X266,'分群統計'!$A$5:$A$8,0)))/INDEX('分群統計'!$P$5:$P$8,MATCH(X266,'分群統計'!$A$5:$A$8,0)))),0)),""))</f>
        <v/>
      </c>
      <c r="AP266" s="31">
        <f>IF(BC266&lt;&gt;1,"",IFERROR(IF(INDEX('分群統計'!$Q$5:$Q$8,MATCH(X266,'分群統計'!$A$5:$A$8,0))&lt;3,"",IF(INDEX('分群統計'!$S$5:$S$8,MATCH(X266,'分群統計'!$A$5:$A$8,0))&gt;0,MAX(-3,MIN(3,(BB266-INDEX('分群統計'!$R$5:$R$8,MATCH(X266,'分群統計'!$A$5:$A$8,0)))/INDEX('分群統計'!$S$5:$S$8,MATCH(X266,'分群統計'!$A$5:$A$8,0)))),0)),""))</f>
        <v/>
      </c>
      <c r="AQ266" s="31">
        <f>IF(Y266=1,(IF(ISNUMBER(AF266),AF266,0)*'參數'!$B$13+IF(ISNUMBER(AM266),AM266,0)*'參數'!$B$14+IF(ISNUMBER(AO266),AO266,0)*'參數'!$B$15+IF(ISNUMBER(AP266),AP266,0)*'參數'!$B$16)/('參數'!$B$13+'參數'!$B$14+'參數'!$B$15+'參數'!$B$16),"")</f>
        <v/>
      </c>
      <c r="AR266" s="35">
        <f>IF(Y266=1,(SUMPRODUCT(($X$5:$X$404=X266)*($Y$5:$Y$404=1)*($BD$5:$BD$404&gt;BD266))+1)/COUNTIFS($X$5:$X$404,X266,$Y$5:$Y$404,1),"")</f>
        <v/>
      </c>
      <c r="AS266" s="8">
        <f>IF(ISNUMBER(AR266),IF(AR266&lt;='參數'!$B$18,"加碼候選",IF(AR266&gt;'參數'!$B$19,"減碼候選","")),"")</f>
        <v/>
      </c>
      <c r="AT266" s="7">
        <f>IF(Y266=1,N266,0)</f>
        <v/>
      </c>
      <c r="AU266" s="7">
        <f>IF(Y266=1,LN(O266),0)</f>
        <v/>
      </c>
      <c r="AV266" s="36">
        <f>IF(Y266=1,IF(ISNUMBER(F266),F266,0),0)</f>
        <v/>
      </c>
      <c r="AW266" s="7">
        <f>IF(Y266=1,Z266,0)</f>
        <v/>
      </c>
      <c r="AX266" s="7">
        <f>IF(Y266=1,IF(ISNUMBER(AL266),AL266,0),0)</f>
        <v/>
      </c>
      <c r="AY266" s="7">
        <f>IF(Y266=1,IF(ISNUMBER(AL266),1,0),0)</f>
        <v/>
      </c>
      <c r="AZ266" s="7">
        <f>IF(Y266=1,IF(ISNUMBER(AN266),AN266,0),0)</f>
        <v/>
      </c>
      <c r="BA266" s="7">
        <f>IF(Y266=1,IF(ISNUMBER(AN266),1,0),0)</f>
        <v/>
      </c>
      <c r="BB266" s="7">
        <f>IF(Y266=1,IF(ISNUMBER(T266),T266,0),0)</f>
        <v/>
      </c>
      <c r="BC266" s="7">
        <f>IF(Y266=1,IF(ISNUMBER(T266),1,0),0)</f>
        <v/>
      </c>
      <c r="BD266" s="7">
        <f>IF(Y266=1,AQ266+ROW()/1E9,-1E9)</f>
        <v/>
      </c>
      <c r="BE266" s="7">
        <f>IF(Y266=1,AQ266+ROW()/1E9,1E9)</f>
        <v/>
      </c>
    </row>
    <row r="267">
      <c r="A267" s="16" t="n"/>
      <c r="B267" s="8">
        <f>IF($A267="","",BDP($A267,B$3))</f>
        <v/>
      </c>
      <c r="C267" s="8">
        <f>IF($A267="","",BDP($A267,C$3))</f>
        <v/>
      </c>
      <c r="D267" s="28">
        <f>IF($A267="","",BDP($A267,D$3))</f>
        <v/>
      </c>
      <c r="E267" s="29">
        <f>IF($A267="","",BDP($A267,E$3))</f>
        <v/>
      </c>
      <c r="F267" s="17">
        <f>IF($A267="","",BDP($A267,F$3))</f>
        <v/>
      </c>
      <c r="G267" s="8">
        <f>IF($A267="","",BDP($A267,G$3))</f>
        <v/>
      </c>
      <c r="H267" s="8">
        <f>IF($A267="","",BDP($A267,H$3))</f>
        <v/>
      </c>
      <c r="I267" s="8">
        <f>IF($A267="","",BDP($A267,I$3))</f>
        <v/>
      </c>
      <c r="J267" s="8">
        <f>IF($A267="","",BDP($A267,J$3))</f>
        <v/>
      </c>
      <c r="K267" s="8">
        <f>IF($A267="","",BDP($A267,K$3))</f>
        <v/>
      </c>
      <c r="L267" s="28">
        <f>IF($A267="","",BDP($A267,L$3))</f>
        <v/>
      </c>
      <c r="M267" s="28">
        <f>IF($A267="","",BDP($A267,M$3))</f>
        <v/>
      </c>
      <c r="N267" s="30">
        <f>IF($A267="","",BDP($A267,N$3))</f>
        <v/>
      </c>
      <c r="O267" s="31">
        <f>IF($A267="","",BDP($A267,O$3))</f>
        <v/>
      </c>
      <c r="P267" s="30">
        <f>IF($A267="","",BDH($A267,$N$3,'參數'!$B$5,'參數'!$B$5,"Days=A","Fill=P","Dates=H"))</f>
        <v/>
      </c>
      <c r="Q267" s="30">
        <f>IF($A267="","",BDH($A267,$N$3,'參數'!$B$6,'參數'!$B$6,"Days=A","Fill=P","Dates=H"))</f>
        <v/>
      </c>
      <c r="R267" s="30">
        <f>IF($A267="","",BDH($A267,$N$3,'參數'!$B$7,'參數'!$B$7,"Days=A","Fill=P","Dates=H"))</f>
        <v/>
      </c>
      <c r="S267" s="32">
        <f>IF($A267="","",IFERROR(INDEX('發行人'!$A$5:$A$44,MATCH(B267,'發行人'!$D$5:$D$44,0)),"未對應"))</f>
        <v/>
      </c>
      <c r="T267" s="24">
        <f>IF($A267="","",IFERROR(INDEX('發行人'!$G$5:$G$44,MATCH(B267,'發行人'!$D$5:$D$44,0))+0,""))</f>
        <v/>
      </c>
      <c r="U267" s="18">
        <f>IF(ISNUMBER(E267),YEARFRAC('參數'!$B$4,E267),"")</f>
        <v/>
      </c>
      <c r="V267" s="8">
        <f>IF(U267="","",IF(U267&lt;3,"1-3y",IF(U267&lt;5,"3-5y",IF(U267&lt;7,"5-7y",IF(U267&lt;10,"7-10y","10y+")))))</f>
        <v/>
      </c>
      <c r="W267" s="30">
        <f>IF($A267="","",IFERROR(INDEX('參數'!$B$24:$B$45,MATCH(G267,'參數'!$A$24:$A$45,0)),""))</f>
        <v/>
      </c>
      <c r="X267" s="8">
        <f>IF($A267="","",IFERROR(INDEX('參數'!$C$24:$C$45,MATCH(G267,'參數'!$A$24:$A$45,0)),""))</f>
        <v/>
      </c>
      <c r="Y267" s="30">
        <f>IF(AND(ISNUMBER(N267),ISNUMBER(O267),ISNUMBER(U267)),IF(AND(O267&gt;0,X267&lt;&gt;""),1,0),0)</f>
        <v/>
      </c>
      <c r="Z267" s="17">
        <f>IF(Y267=1,O267*N267,"")</f>
        <v/>
      </c>
      <c r="AA267" s="33">
        <f>IF(Y267=1,IF(ISNUMBER(Q267),N267-Q267,""),"")</f>
        <v/>
      </c>
      <c r="AB267" s="33">
        <f>IF(Y267=1,IF(AND(ISNUMBER(P267),ISNUMBER(R267)),R267*5/12-O267*(P267-R267),""),"")</f>
        <v/>
      </c>
      <c r="AC267" s="30">
        <f>IF(Y267=1,COUNTIFS($X$5:$X$404,X267,$V$5:$V$404,V267,$Y$5:$Y$404,1),"")</f>
        <v/>
      </c>
      <c r="AD267" s="30">
        <f>IF(Y267=1,IFERROR(IF(AC267&gt;='參數'!$B$9,INDEX('分群統計'!$G$13:$K$16,MATCH(X267,'分群統計'!$A$13:$A$16,0),MATCH(V267,'分群統計'!$G$12:$K$12,0)),INDEX('分群統計'!$I$5:$I$8,MATCH(X267,'分群統計'!$A$5:$A$8,0))),""),"")</f>
        <v/>
      </c>
      <c r="AE267" s="18">
        <f>IF(Y267=1,IFERROR(IF(AC267&gt;='參數'!$B$9,INDEX('分群統計'!$L$13:$P$16,MATCH(X267,'分群統計'!$A$13:$A$16,0),MATCH(V267,'分群統計'!$L$12:$P$12,0)),INDEX('分群統計'!$J$5:$J$8,MATCH(X267,'分群統計'!$A$5:$A$8,0))),""),"")</f>
        <v/>
      </c>
      <c r="AF267" s="31">
        <f>IF(ISNUMBER(AE267),IF(AE267&gt;0,MAX(-3,MIN(3,(N267-AD267)/AE267)),0),"")</f>
        <v/>
      </c>
      <c r="AG267" s="30">
        <f>IF(Y267=1,COUNTIFS($B$5:$B$404,B267,$Y$5:$Y$404,1),"")</f>
        <v/>
      </c>
      <c r="AH267" s="30">
        <f>IF(Y267=1,IFERROR(IF(ISNUMBER(INDEX('分群統計'!$G$20:$G$59,MATCH(B267,'分群統計'!$A$20:$A$59,0))),INDEX('分群統計'!$H$20:$H$59,MATCH(B267,'分群統計'!$A$20:$A$59,0))+INDEX('分群統計'!$G$20:$G$59,MATCH(B267,'分群統計'!$A$20:$A$59,0))*AU267,""),""),"")</f>
        <v/>
      </c>
      <c r="AI267" s="34">
        <f>IF(ISNUMBER(AH267),N267-AH267,"")</f>
        <v/>
      </c>
      <c r="AJ267" s="30">
        <f>IF(Y267=1,IFERROR(IF(ISNUMBER(INDEX('分群統計'!$G$5:$G$8,MATCH(X267,'分群統計'!$A$5:$A$8,0))),INDEX('分群統計'!$H$5:$H$8,MATCH(X267,'分群統計'!$A$5:$A$8,0))+INDEX('分群統計'!$G$5:$G$8,MATCH(X267,'分群統計'!$A$5:$A$8,0))*AU267,""),""),"")</f>
        <v/>
      </c>
      <c r="AK267" s="34">
        <f>IF(ISNUMBER(AJ267),N267-AJ267,"")</f>
        <v/>
      </c>
      <c r="AL267" s="21">
        <f>IF(ISNUMBER(AJ267),IF(AJ267&gt;0,AK267/AJ267,""),"")</f>
        <v/>
      </c>
      <c r="AM267" s="31">
        <f>IF(AY267&lt;&gt;1,"",IFERROR(IF(INDEX('分群統計'!$K$5:$K$8,MATCH(X267,'分群統計'!$A$5:$A$8,0))&lt;3,"",IF(INDEX('分群統計'!$M$5:$M$8,MATCH(X267,'分群統計'!$A$5:$A$8,0))&gt;0,MAX(-3,MIN(3,(AX267-INDEX('分群統計'!$L$5:$L$8,MATCH(X267,'分群統計'!$A$5:$A$8,0)))/INDEX('分群統計'!$M$5:$M$8,MATCH(X267,'分群統計'!$A$5:$A$8,0)))),0)),""))</f>
        <v/>
      </c>
      <c r="AN267" s="31">
        <f>IF(ISNUMBER(AB267),IF(Z267&gt;0,AB267/Z267*100,""),"")</f>
        <v/>
      </c>
      <c r="AO267" s="31">
        <f>IF(BA267&lt;&gt;1,"",IFERROR(IF(INDEX('分群統計'!$N$5:$N$8,MATCH(X267,'分群統計'!$A$5:$A$8,0))&lt;3,"",IF(INDEX('分群統計'!$P$5:$P$8,MATCH(X267,'分群統計'!$A$5:$A$8,0))&gt;0,MAX(-3,MIN(3,(AZ267-INDEX('分群統計'!$O$5:$O$8,MATCH(X267,'分群統計'!$A$5:$A$8,0)))/INDEX('分群統計'!$P$5:$P$8,MATCH(X267,'分群統計'!$A$5:$A$8,0)))),0)),""))</f>
        <v/>
      </c>
      <c r="AP267" s="31">
        <f>IF(BC267&lt;&gt;1,"",IFERROR(IF(INDEX('分群統計'!$Q$5:$Q$8,MATCH(X267,'分群統計'!$A$5:$A$8,0))&lt;3,"",IF(INDEX('分群統計'!$S$5:$S$8,MATCH(X267,'分群統計'!$A$5:$A$8,0))&gt;0,MAX(-3,MIN(3,(BB267-INDEX('分群統計'!$R$5:$R$8,MATCH(X267,'分群統計'!$A$5:$A$8,0)))/INDEX('分群統計'!$S$5:$S$8,MATCH(X267,'分群統計'!$A$5:$A$8,0)))),0)),""))</f>
        <v/>
      </c>
      <c r="AQ267" s="31">
        <f>IF(Y267=1,(IF(ISNUMBER(AF267),AF267,0)*'參數'!$B$13+IF(ISNUMBER(AM267),AM267,0)*'參數'!$B$14+IF(ISNUMBER(AO267),AO267,0)*'參數'!$B$15+IF(ISNUMBER(AP267),AP267,0)*'參數'!$B$16)/('參數'!$B$13+'參數'!$B$14+'參數'!$B$15+'參數'!$B$16),"")</f>
        <v/>
      </c>
      <c r="AR267" s="35">
        <f>IF(Y267=1,(SUMPRODUCT(($X$5:$X$404=X267)*($Y$5:$Y$404=1)*($BD$5:$BD$404&gt;BD267))+1)/COUNTIFS($X$5:$X$404,X267,$Y$5:$Y$404,1),"")</f>
        <v/>
      </c>
      <c r="AS267" s="8">
        <f>IF(ISNUMBER(AR267),IF(AR267&lt;='參數'!$B$18,"加碼候選",IF(AR267&gt;'參數'!$B$19,"減碼候選","")),"")</f>
        <v/>
      </c>
      <c r="AT267" s="7">
        <f>IF(Y267=1,N267,0)</f>
        <v/>
      </c>
      <c r="AU267" s="7">
        <f>IF(Y267=1,LN(O267),0)</f>
        <v/>
      </c>
      <c r="AV267" s="36">
        <f>IF(Y267=1,IF(ISNUMBER(F267),F267,0),0)</f>
        <v/>
      </c>
      <c r="AW267" s="7">
        <f>IF(Y267=1,Z267,0)</f>
        <v/>
      </c>
      <c r="AX267" s="7">
        <f>IF(Y267=1,IF(ISNUMBER(AL267),AL267,0),0)</f>
        <v/>
      </c>
      <c r="AY267" s="7">
        <f>IF(Y267=1,IF(ISNUMBER(AL267),1,0),0)</f>
        <v/>
      </c>
      <c r="AZ267" s="7">
        <f>IF(Y267=1,IF(ISNUMBER(AN267),AN267,0),0)</f>
        <v/>
      </c>
      <c r="BA267" s="7">
        <f>IF(Y267=1,IF(ISNUMBER(AN267),1,0),0)</f>
        <v/>
      </c>
      <c r="BB267" s="7">
        <f>IF(Y267=1,IF(ISNUMBER(T267),T267,0),0)</f>
        <v/>
      </c>
      <c r="BC267" s="7">
        <f>IF(Y267=1,IF(ISNUMBER(T267),1,0),0)</f>
        <v/>
      </c>
      <c r="BD267" s="7">
        <f>IF(Y267=1,AQ267+ROW()/1E9,-1E9)</f>
        <v/>
      </c>
      <c r="BE267" s="7">
        <f>IF(Y267=1,AQ267+ROW()/1E9,1E9)</f>
        <v/>
      </c>
    </row>
    <row r="268">
      <c r="A268" s="16" t="n"/>
      <c r="B268" s="8">
        <f>IF($A268="","",BDP($A268,B$3))</f>
        <v/>
      </c>
      <c r="C268" s="8">
        <f>IF($A268="","",BDP($A268,C$3))</f>
        <v/>
      </c>
      <c r="D268" s="28">
        <f>IF($A268="","",BDP($A268,D$3))</f>
        <v/>
      </c>
      <c r="E268" s="29">
        <f>IF($A268="","",BDP($A268,E$3))</f>
        <v/>
      </c>
      <c r="F268" s="17">
        <f>IF($A268="","",BDP($A268,F$3))</f>
        <v/>
      </c>
      <c r="G268" s="8">
        <f>IF($A268="","",BDP($A268,G$3))</f>
        <v/>
      </c>
      <c r="H268" s="8">
        <f>IF($A268="","",BDP($A268,H$3))</f>
        <v/>
      </c>
      <c r="I268" s="8">
        <f>IF($A268="","",BDP($A268,I$3))</f>
        <v/>
      </c>
      <c r="J268" s="8">
        <f>IF($A268="","",BDP($A268,J$3))</f>
        <v/>
      </c>
      <c r="K268" s="8">
        <f>IF($A268="","",BDP($A268,K$3))</f>
        <v/>
      </c>
      <c r="L268" s="28">
        <f>IF($A268="","",BDP($A268,L$3))</f>
        <v/>
      </c>
      <c r="M268" s="28">
        <f>IF($A268="","",BDP($A268,M$3))</f>
        <v/>
      </c>
      <c r="N268" s="30">
        <f>IF($A268="","",BDP($A268,N$3))</f>
        <v/>
      </c>
      <c r="O268" s="31">
        <f>IF($A268="","",BDP($A268,O$3))</f>
        <v/>
      </c>
      <c r="P268" s="30">
        <f>IF($A268="","",BDH($A268,$N$3,'參數'!$B$5,'參數'!$B$5,"Days=A","Fill=P","Dates=H"))</f>
        <v/>
      </c>
      <c r="Q268" s="30">
        <f>IF($A268="","",BDH($A268,$N$3,'參數'!$B$6,'參數'!$B$6,"Days=A","Fill=P","Dates=H"))</f>
        <v/>
      </c>
      <c r="R268" s="30">
        <f>IF($A268="","",BDH($A268,$N$3,'參數'!$B$7,'參數'!$B$7,"Days=A","Fill=P","Dates=H"))</f>
        <v/>
      </c>
      <c r="S268" s="32">
        <f>IF($A268="","",IFERROR(INDEX('發行人'!$A$5:$A$44,MATCH(B268,'發行人'!$D$5:$D$44,0)),"未對應"))</f>
        <v/>
      </c>
      <c r="T268" s="24">
        <f>IF($A268="","",IFERROR(INDEX('發行人'!$G$5:$G$44,MATCH(B268,'發行人'!$D$5:$D$44,0))+0,""))</f>
        <v/>
      </c>
      <c r="U268" s="18">
        <f>IF(ISNUMBER(E268),YEARFRAC('參數'!$B$4,E268),"")</f>
        <v/>
      </c>
      <c r="V268" s="8">
        <f>IF(U268="","",IF(U268&lt;3,"1-3y",IF(U268&lt;5,"3-5y",IF(U268&lt;7,"5-7y",IF(U268&lt;10,"7-10y","10y+")))))</f>
        <v/>
      </c>
      <c r="W268" s="30">
        <f>IF($A268="","",IFERROR(INDEX('參數'!$B$24:$B$45,MATCH(G268,'參數'!$A$24:$A$45,0)),""))</f>
        <v/>
      </c>
      <c r="X268" s="8">
        <f>IF($A268="","",IFERROR(INDEX('參數'!$C$24:$C$45,MATCH(G268,'參數'!$A$24:$A$45,0)),""))</f>
        <v/>
      </c>
      <c r="Y268" s="30">
        <f>IF(AND(ISNUMBER(N268),ISNUMBER(O268),ISNUMBER(U268)),IF(AND(O268&gt;0,X268&lt;&gt;""),1,0),0)</f>
        <v/>
      </c>
      <c r="Z268" s="17">
        <f>IF(Y268=1,O268*N268,"")</f>
        <v/>
      </c>
      <c r="AA268" s="33">
        <f>IF(Y268=1,IF(ISNUMBER(Q268),N268-Q268,""),"")</f>
        <v/>
      </c>
      <c r="AB268" s="33">
        <f>IF(Y268=1,IF(AND(ISNUMBER(P268),ISNUMBER(R268)),R268*5/12-O268*(P268-R268),""),"")</f>
        <v/>
      </c>
      <c r="AC268" s="30">
        <f>IF(Y268=1,COUNTIFS($X$5:$X$404,X268,$V$5:$V$404,V268,$Y$5:$Y$404,1),"")</f>
        <v/>
      </c>
      <c r="AD268" s="30">
        <f>IF(Y268=1,IFERROR(IF(AC268&gt;='參數'!$B$9,INDEX('分群統計'!$G$13:$K$16,MATCH(X268,'分群統計'!$A$13:$A$16,0),MATCH(V268,'分群統計'!$G$12:$K$12,0)),INDEX('分群統計'!$I$5:$I$8,MATCH(X268,'分群統計'!$A$5:$A$8,0))),""),"")</f>
        <v/>
      </c>
      <c r="AE268" s="18">
        <f>IF(Y268=1,IFERROR(IF(AC268&gt;='參數'!$B$9,INDEX('分群統計'!$L$13:$P$16,MATCH(X268,'分群統計'!$A$13:$A$16,0),MATCH(V268,'分群統計'!$L$12:$P$12,0)),INDEX('分群統計'!$J$5:$J$8,MATCH(X268,'分群統計'!$A$5:$A$8,0))),""),"")</f>
        <v/>
      </c>
      <c r="AF268" s="31">
        <f>IF(ISNUMBER(AE268),IF(AE268&gt;0,MAX(-3,MIN(3,(N268-AD268)/AE268)),0),"")</f>
        <v/>
      </c>
      <c r="AG268" s="30">
        <f>IF(Y268=1,COUNTIFS($B$5:$B$404,B268,$Y$5:$Y$404,1),"")</f>
        <v/>
      </c>
      <c r="AH268" s="30">
        <f>IF(Y268=1,IFERROR(IF(ISNUMBER(INDEX('分群統計'!$G$20:$G$59,MATCH(B268,'分群統計'!$A$20:$A$59,0))),INDEX('分群統計'!$H$20:$H$59,MATCH(B268,'分群統計'!$A$20:$A$59,0))+INDEX('分群統計'!$G$20:$G$59,MATCH(B268,'分群統計'!$A$20:$A$59,0))*AU268,""),""),"")</f>
        <v/>
      </c>
      <c r="AI268" s="34">
        <f>IF(ISNUMBER(AH268),N268-AH268,"")</f>
        <v/>
      </c>
      <c r="AJ268" s="30">
        <f>IF(Y268=1,IFERROR(IF(ISNUMBER(INDEX('分群統計'!$G$5:$G$8,MATCH(X268,'分群統計'!$A$5:$A$8,0))),INDEX('分群統計'!$H$5:$H$8,MATCH(X268,'分群統計'!$A$5:$A$8,0))+INDEX('分群統計'!$G$5:$G$8,MATCH(X268,'分群統計'!$A$5:$A$8,0))*AU268,""),""),"")</f>
        <v/>
      </c>
      <c r="AK268" s="34">
        <f>IF(ISNUMBER(AJ268),N268-AJ268,"")</f>
        <v/>
      </c>
      <c r="AL268" s="21">
        <f>IF(ISNUMBER(AJ268),IF(AJ268&gt;0,AK268/AJ268,""),"")</f>
        <v/>
      </c>
      <c r="AM268" s="31">
        <f>IF(AY268&lt;&gt;1,"",IFERROR(IF(INDEX('分群統計'!$K$5:$K$8,MATCH(X268,'分群統計'!$A$5:$A$8,0))&lt;3,"",IF(INDEX('分群統計'!$M$5:$M$8,MATCH(X268,'分群統計'!$A$5:$A$8,0))&gt;0,MAX(-3,MIN(3,(AX268-INDEX('分群統計'!$L$5:$L$8,MATCH(X268,'分群統計'!$A$5:$A$8,0)))/INDEX('分群統計'!$M$5:$M$8,MATCH(X268,'分群統計'!$A$5:$A$8,0)))),0)),""))</f>
        <v/>
      </c>
      <c r="AN268" s="31">
        <f>IF(ISNUMBER(AB268),IF(Z268&gt;0,AB268/Z268*100,""),"")</f>
        <v/>
      </c>
      <c r="AO268" s="31">
        <f>IF(BA268&lt;&gt;1,"",IFERROR(IF(INDEX('分群統計'!$N$5:$N$8,MATCH(X268,'分群統計'!$A$5:$A$8,0))&lt;3,"",IF(INDEX('分群統計'!$P$5:$P$8,MATCH(X268,'分群統計'!$A$5:$A$8,0))&gt;0,MAX(-3,MIN(3,(AZ268-INDEX('分群統計'!$O$5:$O$8,MATCH(X268,'分群統計'!$A$5:$A$8,0)))/INDEX('分群統計'!$P$5:$P$8,MATCH(X268,'分群統計'!$A$5:$A$8,0)))),0)),""))</f>
        <v/>
      </c>
      <c r="AP268" s="31">
        <f>IF(BC268&lt;&gt;1,"",IFERROR(IF(INDEX('分群統計'!$Q$5:$Q$8,MATCH(X268,'分群統計'!$A$5:$A$8,0))&lt;3,"",IF(INDEX('分群統計'!$S$5:$S$8,MATCH(X268,'分群統計'!$A$5:$A$8,0))&gt;0,MAX(-3,MIN(3,(BB268-INDEX('分群統計'!$R$5:$R$8,MATCH(X268,'分群統計'!$A$5:$A$8,0)))/INDEX('分群統計'!$S$5:$S$8,MATCH(X268,'分群統計'!$A$5:$A$8,0)))),0)),""))</f>
        <v/>
      </c>
      <c r="AQ268" s="31">
        <f>IF(Y268=1,(IF(ISNUMBER(AF268),AF268,0)*'參數'!$B$13+IF(ISNUMBER(AM268),AM268,0)*'參數'!$B$14+IF(ISNUMBER(AO268),AO268,0)*'參數'!$B$15+IF(ISNUMBER(AP268),AP268,0)*'參數'!$B$16)/('參數'!$B$13+'參數'!$B$14+'參數'!$B$15+'參數'!$B$16),"")</f>
        <v/>
      </c>
      <c r="AR268" s="35">
        <f>IF(Y268=1,(SUMPRODUCT(($X$5:$X$404=X268)*($Y$5:$Y$404=1)*($BD$5:$BD$404&gt;BD268))+1)/COUNTIFS($X$5:$X$404,X268,$Y$5:$Y$404,1),"")</f>
        <v/>
      </c>
      <c r="AS268" s="8">
        <f>IF(ISNUMBER(AR268),IF(AR268&lt;='參數'!$B$18,"加碼候選",IF(AR268&gt;'參數'!$B$19,"減碼候選","")),"")</f>
        <v/>
      </c>
      <c r="AT268" s="7">
        <f>IF(Y268=1,N268,0)</f>
        <v/>
      </c>
      <c r="AU268" s="7">
        <f>IF(Y268=1,LN(O268),0)</f>
        <v/>
      </c>
      <c r="AV268" s="36">
        <f>IF(Y268=1,IF(ISNUMBER(F268),F268,0),0)</f>
        <v/>
      </c>
      <c r="AW268" s="7">
        <f>IF(Y268=1,Z268,0)</f>
        <v/>
      </c>
      <c r="AX268" s="7">
        <f>IF(Y268=1,IF(ISNUMBER(AL268),AL268,0),0)</f>
        <v/>
      </c>
      <c r="AY268" s="7">
        <f>IF(Y268=1,IF(ISNUMBER(AL268),1,0),0)</f>
        <v/>
      </c>
      <c r="AZ268" s="7">
        <f>IF(Y268=1,IF(ISNUMBER(AN268),AN268,0),0)</f>
        <v/>
      </c>
      <c r="BA268" s="7">
        <f>IF(Y268=1,IF(ISNUMBER(AN268),1,0),0)</f>
        <v/>
      </c>
      <c r="BB268" s="7">
        <f>IF(Y268=1,IF(ISNUMBER(T268),T268,0),0)</f>
        <v/>
      </c>
      <c r="BC268" s="7">
        <f>IF(Y268=1,IF(ISNUMBER(T268),1,0),0)</f>
        <v/>
      </c>
      <c r="BD268" s="7">
        <f>IF(Y268=1,AQ268+ROW()/1E9,-1E9)</f>
        <v/>
      </c>
      <c r="BE268" s="7">
        <f>IF(Y268=1,AQ268+ROW()/1E9,1E9)</f>
        <v/>
      </c>
    </row>
    <row r="269">
      <c r="A269" s="16" t="n"/>
      <c r="B269" s="8">
        <f>IF($A269="","",BDP($A269,B$3))</f>
        <v/>
      </c>
      <c r="C269" s="8">
        <f>IF($A269="","",BDP($A269,C$3))</f>
        <v/>
      </c>
      <c r="D269" s="28">
        <f>IF($A269="","",BDP($A269,D$3))</f>
        <v/>
      </c>
      <c r="E269" s="29">
        <f>IF($A269="","",BDP($A269,E$3))</f>
        <v/>
      </c>
      <c r="F269" s="17">
        <f>IF($A269="","",BDP($A269,F$3))</f>
        <v/>
      </c>
      <c r="G269" s="8">
        <f>IF($A269="","",BDP($A269,G$3))</f>
        <v/>
      </c>
      <c r="H269" s="8">
        <f>IF($A269="","",BDP($A269,H$3))</f>
        <v/>
      </c>
      <c r="I269" s="8">
        <f>IF($A269="","",BDP($A269,I$3))</f>
        <v/>
      </c>
      <c r="J269" s="8">
        <f>IF($A269="","",BDP($A269,J$3))</f>
        <v/>
      </c>
      <c r="K269" s="8">
        <f>IF($A269="","",BDP($A269,K$3))</f>
        <v/>
      </c>
      <c r="L269" s="28">
        <f>IF($A269="","",BDP($A269,L$3))</f>
        <v/>
      </c>
      <c r="M269" s="28">
        <f>IF($A269="","",BDP($A269,M$3))</f>
        <v/>
      </c>
      <c r="N269" s="30">
        <f>IF($A269="","",BDP($A269,N$3))</f>
        <v/>
      </c>
      <c r="O269" s="31">
        <f>IF($A269="","",BDP($A269,O$3))</f>
        <v/>
      </c>
      <c r="P269" s="30">
        <f>IF($A269="","",BDH($A269,$N$3,'參數'!$B$5,'參數'!$B$5,"Days=A","Fill=P","Dates=H"))</f>
        <v/>
      </c>
      <c r="Q269" s="30">
        <f>IF($A269="","",BDH($A269,$N$3,'參數'!$B$6,'參數'!$B$6,"Days=A","Fill=P","Dates=H"))</f>
        <v/>
      </c>
      <c r="R269" s="30">
        <f>IF($A269="","",BDH($A269,$N$3,'參數'!$B$7,'參數'!$B$7,"Days=A","Fill=P","Dates=H"))</f>
        <v/>
      </c>
      <c r="S269" s="32">
        <f>IF($A269="","",IFERROR(INDEX('發行人'!$A$5:$A$44,MATCH(B269,'發行人'!$D$5:$D$44,0)),"未對應"))</f>
        <v/>
      </c>
      <c r="T269" s="24">
        <f>IF($A269="","",IFERROR(INDEX('發行人'!$G$5:$G$44,MATCH(B269,'發行人'!$D$5:$D$44,0))+0,""))</f>
        <v/>
      </c>
      <c r="U269" s="18">
        <f>IF(ISNUMBER(E269),YEARFRAC('參數'!$B$4,E269),"")</f>
        <v/>
      </c>
      <c r="V269" s="8">
        <f>IF(U269="","",IF(U269&lt;3,"1-3y",IF(U269&lt;5,"3-5y",IF(U269&lt;7,"5-7y",IF(U269&lt;10,"7-10y","10y+")))))</f>
        <v/>
      </c>
      <c r="W269" s="30">
        <f>IF($A269="","",IFERROR(INDEX('參數'!$B$24:$B$45,MATCH(G269,'參數'!$A$24:$A$45,0)),""))</f>
        <v/>
      </c>
      <c r="X269" s="8">
        <f>IF($A269="","",IFERROR(INDEX('參數'!$C$24:$C$45,MATCH(G269,'參數'!$A$24:$A$45,0)),""))</f>
        <v/>
      </c>
      <c r="Y269" s="30">
        <f>IF(AND(ISNUMBER(N269),ISNUMBER(O269),ISNUMBER(U269)),IF(AND(O269&gt;0,X269&lt;&gt;""),1,0),0)</f>
        <v/>
      </c>
      <c r="Z269" s="17">
        <f>IF(Y269=1,O269*N269,"")</f>
        <v/>
      </c>
      <c r="AA269" s="33">
        <f>IF(Y269=1,IF(ISNUMBER(Q269),N269-Q269,""),"")</f>
        <v/>
      </c>
      <c r="AB269" s="33">
        <f>IF(Y269=1,IF(AND(ISNUMBER(P269),ISNUMBER(R269)),R269*5/12-O269*(P269-R269),""),"")</f>
        <v/>
      </c>
      <c r="AC269" s="30">
        <f>IF(Y269=1,COUNTIFS($X$5:$X$404,X269,$V$5:$V$404,V269,$Y$5:$Y$404,1),"")</f>
        <v/>
      </c>
      <c r="AD269" s="30">
        <f>IF(Y269=1,IFERROR(IF(AC269&gt;='參數'!$B$9,INDEX('分群統計'!$G$13:$K$16,MATCH(X269,'分群統計'!$A$13:$A$16,0),MATCH(V269,'分群統計'!$G$12:$K$12,0)),INDEX('分群統計'!$I$5:$I$8,MATCH(X269,'分群統計'!$A$5:$A$8,0))),""),"")</f>
        <v/>
      </c>
      <c r="AE269" s="18">
        <f>IF(Y269=1,IFERROR(IF(AC269&gt;='參數'!$B$9,INDEX('分群統計'!$L$13:$P$16,MATCH(X269,'分群統計'!$A$13:$A$16,0),MATCH(V269,'分群統計'!$L$12:$P$12,0)),INDEX('分群統計'!$J$5:$J$8,MATCH(X269,'分群統計'!$A$5:$A$8,0))),""),"")</f>
        <v/>
      </c>
      <c r="AF269" s="31">
        <f>IF(ISNUMBER(AE269),IF(AE269&gt;0,MAX(-3,MIN(3,(N269-AD269)/AE269)),0),"")</f>
        <v/>
      </c>
      <c r="AG269" s="30">
        <f>IF(Y269=1,COUNTIFS($B$5:$B$404,B269,$Y$5:$Y$404,1),"")</f>
        <v/>
      </c>
      <c r="AH269" s="30">
        <f>IF(Y269=1,IFERROR(IF(ISNUMBER(INDEX('分群統計'!$G$20:$G$59,MATCH(B269,'分群統計'!$A$20:$A$59,0))),INDEX('分群統計'!$H$20:$H$59,MATCH(B269,'分群統計'!$A$20:$A$59,0))+INDEX('分群統計'!$G$20:$G$59,MATCH(B269,'分群統計'!$A$20:$A$59,0))*AU269,""),""),"")</f>
        <v/>
      </c>
      <c r="AI269" s="34">
        <f>IF(ISNUMBER(AH269),N269-AH269,"")</f>
        <v/>
      </c>
      <c r="AJ269" s="30">
        <f>IF(Y269=1,IFERROR(IF(ISNUMBER(INDEX('分群統計'!$G$5:$G$8,MATCH(X269,'分群統計'!$A$5:$A$8,0))),INDEX('分群統計'!$H$5:$H$8,MATCH(X269,'分群統計'!$A$5:$A$8,0))+INDEX('分群統計'!$G$5:$G$8,MATCH(X269,'分群統計'!$A$5:$A$8,0))*AU269,""),""),"")</f>
        <v/>
      </c>
      <c r="AK269" s="34">
        <f>IF(ISNUMBER(AJ269),N269-AJ269,"")</f>
        <v/>
      </c>
      <c r="AL269" s="21">
        <f>IF(ISNUMBER(AJ269),IF(AJ269&gt;0,AK269/AJ269,""),"")</f>
        <v/>
      </c>
      <c r="AM269" s="31">
        <f>IF(AY269&lt;&gt;1,"",IFERROR(IF(INDEX('分群統計'!$K$5:$K$8,MATCH(X269,'分群統計'!$A$5:$A$8,0))&lt;3,"",IF(INDEX('分群統計'!$M$5:$M$8,MATCH(X269,'分群統計'!$A$5:$A$8,0))&gt;0,MAX(-3,MIN(3,(AX269-INDEX('分群統計'!$L$5:$L$8,MATCH(X269,'分群統計'!$A$5:$A$8,0)))/INDEX('分群統計'!$M$5:$M$8,MATCH(X269,'分群統計'!$A$5:$A$8,0)))),0)),""))</f>
        <v/>
      </c>
      <c r="AN269" s="31">
        <f>IF(ISNUMBER(AB269),IF(Z269&gt;0,AB269/Z269*100,""),"")</f>
        <v/>
      </c>
      <c r="AO269" s="31">
        <f>IF(BA269&lt;&gt;1,"",IFERROR(IF(INDEX('分群統計'!$N$5:$N$8,MATCH(X269,'分群統計'!$A$5:$A$8,0))&lt;3,"",IF(INDEX('分群統計'!$P$5:$P$8,MATCH(X269,'分群統計'!$A$5:$A$8,0))&gt;0,MAX(-3,MIN(3,(AZ269-INDEX('分群統計'!$O$5:$O$8,MATCH(X269,'分群統計'!$A$5:$A$8,0)))/INDEX('分群統計'!$P$5:$P$8,MATCH(X269,'分群統計'!$A$5:$A$8,0)))),0)),""))</f>
        <v/>
      </c>
      <c r="AP269" s="31">
        <f>IF(BC269&lt;&gt;1,"",IFERROR(IF(INDEX('分群統計'!$Q$5:$Q$8,MATCH(X269,'分群統計'!$A$5:$A$8,0))&lt;3,"",IF(INDEX('分群統計'!$S$5:$S$8,MATCH(X269,'分群統計'!$A$5:$A$8,0))&gt;0,MAX(-3,MIN(3,(BB269-INDEX('分群統計'!$R$5:$R$8,MATCH(X269,'分群統計'!$A$5:$A$8,0)))/INDEX('分群統計'!$S$5:$S$8,MATCH(X269,'分群統計'!$A$5:$A$8,0)))),0)),""))</f>
        <v/>
      </c>
      <c r="AQ269" s="31">
        <f>IF(Y269=1,(IF(ISNUMBER(AF269),AF269,0)*'參數'!$B$13+IF(ISNUMBER(AM269),AM269,0)*'參數'!$B$14+IF(ISNUMBER(AO269),AO269,0)*'參數'!$B$15+IF(ISNUMBER(AP269),AP269,0)*'參數'!$B$16)/('參數'!$B$13+'參數'!$B$14+'參數'!$B$15+'參數'!$B$16),"")</f>
        <v/>
      </c>
      <c r="AR269" s="35">
        <f>IF(Y269=1,(SUMPRODUCT(($X$5:$X$404=X269)*($Y$5:$Y$404=1)*($BD$5:$BD$404&gt;BD269))+1)/COUNTIFS($X$5:$X$404,X269,$Y$5:$Y$404,1),"")</f>
        <v/>
      </c>
      <c r="AS269" s="8">
        <f>IF(ISNUMBER(AR269),IF(AR269&lt;='參數'!$B$18,"加碼候選",IF(AR269&gt;'參數'!$B$19,"減碼候選","")),"")</f>
        <v/>
      </c>
      <c r="AT269" s="7">
        <f>IF(Y269=1,N269,0)</f>
        <v/>
      </c>
      <c r="AU269" s="7">
        <f>IF(Y269=1,LN(O269),0)</f>
        <v/>
      </c>
      <c r="AV269" s="36">
        <f>IF(Y269=1,IF(ISNUMBER(F269),F269,0),0)</f>
        <v/>
      </c>
      <c r="AW269" s="7">
        <f>IF(Y269=1,Z269,0)</f>
        <v/>
      </c>
      <c r="AX269" s="7">
        <f>IF(Y269=1,IF(ISNUMBER(AL269),AL269,0),0)</f>
        <v/>
      </c>
      <c r="AY269" s="7">
        <f>IF(Y269=1,IF(ISNUMBER(AL269),1,0),0)</f>
        <v/>
      </c>
      <c r="AZ269" s="7">
        <f>IF(Y269=1,IF(ISNUMBER(AN269),AN269,0),0)</f>
        <v/>
      </c>
      <c r="BA269" s="7">
        <f>IF(Y269=1,IF(ISNUMBER(AN269),1,0),0)</f>
        <v/>
      </c>
      <c r="BB269" s="7">
        <f>IF(Y269=1,IF(ISNUMBER(T269),T269,0),0)</f>
        <v/>
      </c>
      <c r="BC269" s="7">
        <f>IF(Y269=1,IF(ISNUMBER(T269),1,0),0)</f>
        <v/>
      </c>
      <c r="BD269" s="7">
        <f>IF(Y269=1,AQ269+ROW()/1E9,-1E9)</f>
        <v/>
      </c>
      <c r="BE269" s="7">
        <f>IF(Y269=1,AQ269+ROW()/1E9,1E9)</f>
        <v/>
      </c>
    </row>
    <row r="270">
      <c r="A270" s="16" t="n"/>
      <c r="B270" s="8">
        <f>IF($A270="","",BDP($A270,B$3))</f>
        <v/>
      </c>
      <c r="C270" s="8">
        <f>IF($A270="","",BDP($A270,C$3))</f>
        <v/>
      </c>
      <c r="D270" s="28">
        <f>IF($A270="","",BDP($A270,D$3))</f>
        <v/>
      </c>
      <c r="E270" s="29">
        <f>IF($A270="","",BDP($A270,E$3))</f>
        <v/>
      </c>
      <c r="F270" s="17">
        <f>IF($A270="","",BDP($A270,F$3))</f>
        <v/>
      </c>
      <c r="G270" s="8">
        <f>IF($A270="","",BDP($A270,G$3))</f>
        <v/>
      </c>
      <c r="H270" s="8">
        <f>IF($A270="","",BDP($A270,H$3))</f>
        <v/>
      </c>
      <c r="I270" s="8">
        <f>IF($A270="","",BDP($A270,I$3))</f>
        <v/>
      </c>
      <c r="J270" s="8">
        <f>IF($A270="","",BDP($A270,J$3))</f>
        <v/>
      </c>
      <c r="K270" s="8">
        <f>IF($A270="","",BDP($A270,K$3))</f>
        <v/>
      </c>
      <c r="L270" s="28">
        <f>IF($A270="","",BDP($A270,L$3))</f>
        <v/>
      </c>
      <c r="M270" s="28">
        <f>IF($A270="","",BDP($A270,M$3))</f>
        <v/>
      </c>
      <c r="N270" s="30">
        <f>IF($A270="","",BDP($A270,N$3))</f>
        <v/>
      </c>
      <c r="O270" s="31">
        <f>IF($A270="","",BDP($A270,O$3))</f>
        <v/>
      </c>
      <c r="P270" s="30">
        <f>IF($A270="","",BDH($A270,$N$3,'參數'!$B$5,'參數'!$B$5,"Days=A","Fill=P","Dates=H"))</f>
        <v/>
      </c>
      <c r="Q270" s="30">
        <f>IF($A270="","",BDH($A270,$N$3,'參數'!$B$6,'參數'!$B$6,"Days=A","Fill=P","Dates=H"))</f>
        <v/>
      </c>
      <c r="R270" s="30">
        <f>IF($A270="","",BDH($A270,$N$3,'參數'!$B$7,'參數'!$B$7,"Days=A","Fill=P","Dates=H"))</f>
        <v/>
      </c>
      <c r="S270" s="32">
        <f>IF($A270="","",IFERROR(INDEX('發行人'!$A$5:$A$44,MATCH(B270,'發行人'!$D$5:$D$44,0)),"未對應"))</f>
        <v/>
      </c>
      <c r="T270" s="24">
        <f>IF($A270="","",IFERROR(INDEX('發行人'!$G$5:$G$44,MATCH(B270,'發行人'!$D$5:$D$44,0))+0,""))</f>
        <v/>
      </c>
      <c r="U270" s="18">
        <f>IF(ISNUMBER(E270),YEARFRAC('參數'!$B$4,E270),"")</f>
        <v/>
      </c>
      <c r="V270" s="8">
        <f>IF(U270="","",IF(U270&lt;3,"1-3y",IF(U270&lt;5,"3-5y",IF(U270&lt;7,"5-7y",IF(U270&lt;10,"7-10y","10y+")))))</f>
        <v/>
      </c>
      <c r="W270" s="30">
        <f>IF($A270="","",IFERROR(INDEX('參數'!$B$24:$B$45,MATCH(G270,'參數'!$A$24:$A$45,0)),""))</f>
        <v/>
      </c>
      <c r="X270" s="8">
        <f>IF($A270="","",IFERROR(INDEX('參數'!$C$24:$C$45,MATCH(G270,'參數'!$A$24:$A$45,0)),""))</f>
        <v/>
      </c>
      <c r="Y270" s="30">
        <f>IF(AND(ISNUMBER(N270),ISNUMBER(O270),ISNUMBER(U270)),IF(AND(O270&gt;0,X270&lt;&gt;""),1,0),0)</f>
        <v/>
      </c>
      <c r="Z270" s="17">
        <f>IF(Y270=1,O270*N270,"")</f>
        <v/>
      </c>
      <c r="AA270" s="33">
        <f>IF(Y270=1,IF(ISNUMBER(Q270),N270-Q270,""),"")</f>
        <v/>
      </c>
      <c r="AB270" s="33">
        <f>IF(Y270=1,IF(AND(ISNUMBER(P270),ISNUMBER(R270)),R270*5/12-O270*(P270-R270),""),"")</f>
        <v/>
      </c>
      <c r="AC270" s="30">
        <f>IF(Y270=1,COUNTIFS($X$5:$X$404,X270,$V$5:$V$404,V270,$Y$5:$Y$404,1),"")</f>
        <v/>
      </c>
      <c r="AD270" s="30">
        <f>IF(Y270=1,IFERROR(IF(AC270&gt;='參數'!$B$9,INDEX('分群統計'!$G$13:$K$16,MATCH(X270,'分群統計'!$A$13:$A$16,0),MATCH(V270,'分群統計'!$G$12:$K$12,0)),INDEX('分群統計'!$I$5:$I$8,MATCH(X270,'分群統計'!$A$5:$A$8,0))),""),"")</f>
        <v/>
      </c>
      <c r="AE270" s="18">
        <f>IF(Y270=1,IFERROR(IF(AC270&gt;='參數'!$B$9,INDEX('分群統計'!$L$13:$P$16,MATCH(X270,'分群統計'!$A$13:$A$16,0),MATCH(V270,'分群統計'!$L$12:$P$12,0)),INDEX('分群統計'!$J$5:$J$8,MATCH(X270,'分群統計'!$A$5:$A$8,0))),""),"")</f>
        <v/>
      </c>
      <c r="AF270" s="31">
        <f>IF(ISNUMBER(AE270),IF(AE270&gt;0,MAX(-3,MIN(3,(N270-AD270)/AE270)),0),"")</f>
        <v/>
      </c>
      <c r="AG270" s="30">
        <f>IF(Y270=1,COUNTIFS($B$5:$B$404,B270,$Y$5:$Y$404,1),"")</f>
        <v/>
      </c>
      <c r="AH270" s="30">
        <f>IF(Y270=1,IFERROR(IF(ISNUMBER(INDEX('分群統計'!$G$20:$G$59,MATCH(B270,'分群統計'!$A$20:$A$59,0))),INDEX('分群統計'!$H$20:$H$59,MATCH(B270,'分群統計'!$A$20:$A$59,0))+INDEX('分群統計'!$G$20:$G$59,MATCH(B270,'分群統計'!$A$20:$A$59,0))*AU270,""),""),"")</f>
        <v/>
      </c>
      <c r="AI270" s="34">
        <f>IF(ISNUMBER(AH270),N270-AH270,"")</f>
        <v/>
      </c>
      <c r="AJ270" s="30">
        <f>IF(Y270=1,IFERROR(IF(ISNUMBER(INDEX('分群統計'!$G$5:$G$8,MATCH(X270,'分群統計'!$A$5:$A$8,0))),INDEX('分群統計'!$H$5:$H$8,MATCH(X270,'分群統計'!$A$5:$A$8,0))+INDEX('分群統計'!$G$5:$G$8,MATCH(X270,'分群統計'!$A$5:$A$8,0))*AU270,""),""),"")</f>
        <v/>
      </c>
      <c r="AK270" s="34">
        <f>IF(ISNUMBER(AJ270),N270-AJ270,"")</f>
        <v/>
      </c>
      <c r="AL270" s="21">
        <f>IF(ISNUMBER(AJ270),IF(AJ270&gt;0,AK270/AJ270,""),"")</f>
        <v/>
      </c>
      <c r="AM270" s="31">
        <f>IF(AY270&lt;&gt;1,"",IFERROR(IF(INDEX('分群統計'!$K$5:$K$8,MATCH(X270,'分群統計'!$A$5:$A$8,0))&lt;3,"",IF(INDEX('分群統計'!$M$5:$M$8,MATCH(X270,'分群統計'!$A$5:$A$8,0))&gt;0,MAX(-3,MIN(3,(AX270-INDEX('分群統計'!$L$5:$L$8,MATCH(X270,'分群統計'!$A$5:$A$8,0)))/INDEX('分群統計'!$M$5:$M$8,MATCH(X270,'分群統計'!$A$5:$A$8,0)))),0)),""))</f>
        <v/>
      </c>
      <c r="AN270" s="31">
        <f>IF(ISNUMBER(AB270),IF(Z270&gt;0,AB270/Z270*100,""),"")</f>
        <v/>
      </c>
      <c r="AO270" s="31">
        <f>IF(BA270&lt;&gt;1,"",IFERROR(IF(INDEX('分群統計'!$N$5:$N$8,MATCH(X270,'分群統計'!$A$5:$A$8,0))&lt;3,"",IF(INDEX('分群統計'!$P$5:$P$8,MATCH(X270,'分群統計'!$A$5:$A$8,0))&gt;0,MAX(-3,MIN(3,(AZ270-INDEX('分群統計'!$O$5:$O$8,MATCH(X270,'分群統計'!$A$5:$A$8,0)))/INDEX('分群統計'!$P$5:$P$8,MATCH(X270,'分群統計'!$A$5:$A$8,0)))),0)),""))</f>
        <v/>
      </c>
      <c r="AP270" s="31">
        <f>IF(BC270&lt;&gt;1,"",IFERROR(IF(INDEX('分群統計'!$Q$5:$Q$8,MATCH(X270,'分群統計'!$A$5:$A$8,0))&lt;3,"",IF(INDEX('分群統計'!$S$5:$S$8,MATCH(X270,'分群統計'!$A$5:$A$8,0))&gt;0,MAX(-3,MIN(3,(BB270-INDEX('分群統計'!$R$5:$R$8,MATCH(X270,'分群統計'!$A$5:$A$8,0)))/INDEX('分群統計'!$S$5:$S$8,MATCH(X270,'分群統計'!$A$5:$A$8,0)))),0)),""))</f>
        <v/>
      </c>
      <c r="AQ270" s="31">
        <f>IF(Y270=1,(IF(ISNUMBER(AF270),AF270,0)*'參數'!$B$13+IF(ISNUMBER(AM270),AM270,0)*'參數'!$B$14+IF(ISNUMBER(AO270),AO270,0)*'參數'!$B$15+IF(ISNUMBER(AP270),AP270,0)*'參數'!$B$16)/('參數'!$B$13+'參數'!$B$14+'參數'!$B$15+'參數'!$B$16),"")</f>
        <v/>
      </c>
      <c r="AR270" s="35">
        <f>IF(Y270=1,(SUMPRODUCT(($X$5:$X$404=X270)*($Y$5:$Y$404=1)*($BD$5:$BD$404&gt;BD270))+1)/COUNTIFS($X$5:$X$404,X270,$Y$5:$Y$404,1),"")</f>
        <v/>
      </c>
      <c r="AS270" s="8">
        <f>IF(ISNUMBER(AR270),IF(AR270&lt;='參數'!$B$18,"加碼候選",IF(AR270&gt;'參數'!$B$19,"減碼候選","")),"")</f>
        <v/>
      </c>
      <c r="AT270" s="7">
        <f>IF(Y270=1,N270,0)</f>
        <v/>
      </c>
      <c r="AU270" s="7">
        <f>IF(Y270=1,LN(O270),0)</f>
        <v/>
      </c>
      <c r="AV270" s="36">
        <f>IF(Y270=1,IF(ISNUMBER(F270),F270,0),0)</f>
        <v/>
      </c>
      <c r="AW270" s="7">
        <f>IF(Y270=1,Z270,0)</f>
        <v/>
      </c>
      <c r="AX270" s="7">
        <f>IF(Y270=1,IF(ISNUMBER(AL270),AL270,0),0)</f>
        <v/>
      </c>
      <c r="AY270" s="7">
        <f>IF(Y270=1,IF(ISNUMBER(AL270),1,0),0)</f>
        <v/>
      </c>
      <c r="AZ270" s="7">
        <f>IF(Y270=1,IF(ISNUMBER(AN270),AN270,0),0)</f>
        <v/>
      </c>
      <c r="BA270" s="7">
        <f>IF(Y270=1,IF(ISNUMBER(AN270),1,0),0)</f>
        <v/>
      </c>
      <c r="BB270" s="7">
        <f>IF(Y270=1,IF(ISNUMBER(T270),T270,0),0)</f>
        <v/>
      </c>
      <c r="BC270" s="7">
        <f>IF(Y270=1,IF(ISNUMBER(T270),1,0),0)</f>
        <v/>
      </c>
      <c r="BD270" s="7">
        <f>IF(Y270=1,AQ270+ROW()/1E9,-1E9)</f>
        <v/>
      </c>
      <c r="BE270" s="7">
        <f>IF(Y270=1,AQ270+ROW()/1E9,1E9)</f>
        <v/>
      </c>
    </row>
    <row r="271">
      <c r="A271" s="16" t="n"/>
      <c r="B271" s="8">
        <f>IF($A271="","",BDP($A271,B$3))</f>
        <v/>
      </c>
      <c r="C271" s="8">
        <f>IF($A271="","",BDP($A271,C$3))</f>
        <v/>
      </c>
      <c r="D271" s="28">
        <f>IF($A271="","",BDP($A271,D$3))</f>
        <v/>
      </c>
      <c r="E271" s="29">
        <f>IF($A271="","",BDP($A271,E$3))</f>
        <v/>
      </c>
      <c r="F271" s="17">
        <f>IF($A271="","",BDP($A271,F$3))</f>
        <v/>
      </c>
      <c r="G271" s="8">
        <f>IF($A271="","",BDP($A271,G$3))</f>
        <v/>
      </c>
      <c r="H271" s="8">
        <f>IF($A271="","",BDP($A271,H$3))</f>
        <v/>
      </c>
      <c r="I271" s="8">
        <f>IF($A271="","",BDP($A271,I$3))</f>
        <v/>
      </c>
      <c r="J271" s="8">
        <f>IF($A271="","",BDP($A271,J$3))</f>
        <v/>
      </c>
      <c r="K271" s="8">
        <f>IF($A271="","",BDP($A271,K$3))</f>
        <v/>
      </c>
      <c r="L271" s="28">
        <f>IF($A271="","",BDP($A271,L$3))</f>
        <v/>
      </c>
      <c r="M271" s="28">
        <f>IF($A271="","",BDP($A271,M$3))</f>
        <v/>
      </c>
      <c r="N271" s="30">
        <f>IF($A271="","",BDP($A271,N$3))</f>
        <v/>
      </c>
      <c r="O271" s="31">
        <f>IF($A271="","",BDP($A271,O$3))</f>
        <v/>
      </c>
      <c r="P271" s="30">
        <f>IF($A271="","",BDH($A271,$N$3,'參數'!$B$5,'參數'!$B$5,"Days=A","Fill=P","Dates=H"))</f>
        <v/>
      </c>
      <c r="Q271" s="30">
        <f>IF($A271="","",BDH($A271,$N$3,'參數'!$B$6,'參數'!$B$6,"Days=A","Fill=P","Dates=H"))</f>
        <v/>
      </c>
      <c r="R271" s="30">
        <f>IF($A271="","",BDH($A271,$N$3,'參數'!$B$7,'參數'!$B$7,"Days=A","Fill=P","Dates=H"))</f>
        <v/>
      </c>
      <c r="S271" s="32">
        <f>IF($A271="","",IFERROR(INDEX('發行人'!$A$5:$A$44,MATCH(B271,'發行人'!$D$5:$D$44,0)),"未對應"))</f>
        <v/>
      </c>
      <c r="T271" s="24">
        <f>IF($A271="","",IFERROR(INDEX('發行人'!$G$5:$G$44,MATCH(B271,'發行人'!$D$5:$D$44,0))+0,""))</f>
        <v/>
      </c>
      <c r="U271" s="18">
        <f>IF(ISNUMBER(E271),YEARFRAC('參數'!$B$4,E271),"")</f>
        <v/>
      </c>
      <c r="V271" s="8">
        <f>IF(U271="","",IF(U271&lt;3,"1-3y",IF(U271&lt;5,"3-5y",IF(U271&lt;7,"5-7y",IF(U271&lt;10,"7-10y","10y+")))))</f>
        <v/>
      </c>
      <c r="W271" s="30">
        <f>IF($A271="","",IFERROR(INDEX('參數'!$B$24:$B$45,MATCH(G271,'參數'!$A$24:$A$45,0)),""))</f>
        <v/>
      </c>
      <c r="X271" s="8">
        <f>IF($A271="","",IFERROR(INDEX('參數'!$C$24:$C$45,MATCH(G271,'參數'!$A$24:$A$45,0)),""))</f>
        <v/>
      </c>
      <c r="Y271" s="30">
        <f>IF(AND(ISNUMBER(N271),ISNUMBER(O271),ISNUMBER(U271)),IF(AND(O271&gt;0,X271&lt;&gt;""),1,0),0)</f>
        <v/>
      </c>
      <c r="Z271" s="17">
        <f>IF(Y271=1,O271*N271,"")</f>
        <v/>
      </c>
      <c r="AA271" s="33">
        <f>IF(Y271=1,IF(ISNUMBER(Q271),N271-Q271,""),"")</f>
        <v/>
      </c>
      <c r="AB271" s="33">
        <f>IF(Y271=1,IF(AND(ISNUMBER(P271),ISNUMBER(R271)),R271*5/12-O271*(P271-R271),""),"")</f>
        <v/>
      </c>
      <c r="AC271" s="30">
        <f>IF(Y271=1,COUNTIFS($X$5:$X$404,X271,$V$5:$V$404,V271,$Y$5:$Y$404,1),"")</f>
        <v/>
      </c>
      <c r="AD271" s="30">
        <f>IF(Y271=1,IFERROR(IF(AC271&gt;='參數'!$B$9,INDEX('分群統計'!$G$13:$K$16,MATCH(X271,'分群統計'!$A$13:$A$16,0),MATCH(V271,'分群統計'!$G$12:$K$12,0)),INDEX('分群統計'!$I$5:$I$8,MATCH(X271,'分群統計'!$A$5:$A$8,0))),""),"")</f>
        <v/>
      </c>
      <c r="AE271" s="18">
        <f>IF(Y271=1,IFERROR(IF(AC271&gt;='參數'!$B$9,INDEX('分群統計'!$L$13:$P$16,MATCH(X271,'分群統計'!$A$13:$A$16,0),MATCH(V271,'分群統計'!$L$12:$P$12,0)),INDEX('分群統計'!$J$5:$J$8,MATCH(X271,'分群統計'!$A$5:$A$8,0))),""),"")</f>
        <v/>
      </c>
      <c r="AF271" s="31">
        <f>IF(ISNUMBER(AE271),IF(AE271&gt;0,MAX(-3,MIN(3,(N271-AD271)/AE271)),0),"")</f>
        <v/>
      </c>
      <c r="AG271" s="30">
        <f>IF(Y271=1,COUNTIFS($B$5:$B$404,B271,$Y$5:$Y$404,1),"")</f>
        <v/>
      </c>
      <c r="AH271" s="30">
        <f>IF(Y271=1,IFERROR(IF(ISNUMBER(INDEX('分群統計'!$G$20:$G$59,MATCH(B271,'分群統計'!$A$20:$A$59,0))),INDEX('分群統計'!$H$20:$H$59,MATCH(B271,'分群統計'!$A$20:$A$59,0))+INDEX('分群統計'!$G$20:$G$59,MATCH(B271,'分群統計'!$A$20:$A$59,0))*AU271,""),""),"")</f>
        <v/>
      </c>
      <c r="AI271" s="34">
        <f>IF(ISNUMBER(AH271),N271-AH271,"")</f>
        <v/>
      </c>
      <c r="AJ271" s="30">
        <f>IF(Y271=1,IFERROR(IF(ISNUMBER(INDEX('分群統計'!$G$5:$G$8,MATCH(X271,'分群統計'!$A$5:$A$8,0))),INDEX('分群統計'!$H$5:$H$8,MATCH(X271,'分群統計'!$A$5:$A$8,0))+INDEX('分群統計'!$G$5:$G$8,MATCH(X271,'分群統計'!$A$5:$A$8,0))*AU271,""),""),"")</f>
        <v/>
      </c>
      <c r="AK271" s="34">
        <f>IF(ISNUMBER(AJ271),N271-AJ271,"")</f>
        <v/>
      </c>
      <c r="AL271" s="21">
        <f>IF(ISNUMBER(AJ271),IF(AJ271&gt;0,AK271/AJ271,""),"")</f>
        <v/>
      </c>
      <c r="AM271" s="31">
        <f>IF(AY271&lt;&gt;1,"",IFERROR(IF(INDEX('分群統計'!$K$5:$K$8,MATCH(X271,'分群統計'!$A$5:$A$8,0))&lt;3,"",IF(INDEX('分群統計'!$M$5:$M$8,MATCH(X271,'分群統計'!$A$5:$A$8,0))&gt;0,MAX(-3,MIN(3,(AX271-INDEX('分群統計'!$L$5:$L$8,MATCH(X271,'分群統計'!$A$5:$A$8,0)))/INDEX('分群統計'!$M$5:$M$8,MATCH(X271,'分群統計'!$A$5:$A$8,0)))),0)),""))</f>
        <v/>
      </c>
      <c r="AN271" s="31">
        <f>IF(ISNUMBER(AB271),IF(Z271&gt;0,AB271/Z271*100,""),"")</f>
        <v/>
      </c>
      <c r="AO271" s="31">
        <f>IF(BA271&lt;&gt;1,"",IFERROR(IF(INDEX('分群統計'!$N$5:$N$8,MATCH(X271,'分群統計'!$A$5:$A$8,0))&lt;3,"",IF(INDEX('分群統計'!$P$5:$P$8,MATCH(X271,'分群統計'!$A$5:$A$8,0))&gt;0,MAX(-3,MIN(3,(AZ271-INDEX('分群統計'!$O$5:$O$8,MATCH(X271,'分群統計'!$A$5:$A$8,0)))/INDEX('分群統計'!$P$5:$P$8,MATCH(X271,'分群統計'!$A$5:$A$8,0)))),0)),""))</f>
        <v/>
      </c>
      <c r="AP271" s="31">
        <f>IF(BC271&lt;&gt;1,"",IFERROR(IF(INDEX('分群統計'!$Q$5:$Q$8,MATCH(X271,'分群統計'!$A$5:$A$8,0))&lt;3,"",IF(INDEX('分群統計'!$S$5:$S$8,MATCH(X271,'分群統計'!$A$5:$A$8,0))&gt;0,MAX(-3,MIN(3,(BB271-INDEX('分群統計'!$R$5:$R$8,MATCH(X271,'分群統計'!$A$5:$A$8,0)))/INDEX('分群統計'!$S$5:$S$8,MATCH(X271,'分群統計'!$A$5:$A$8,0)))),0)),""))</f>
        <v/>
      </c>
      <c r="AQ271" s="31">
        <f>IF(Y271=1,(IF(ISNUMBER(AF271),AF271,0)*'參數'!$B$13+IF(ISNUMBER(AM271),AM271,0)*'參數'!$B$14+IF(ISNUMBER(AO271),AO271,0)*'參數'!$B$15+IF(ISNUMBER(AP271),AP271,0)*'參數'!$B$16)/('參數'!$B$13+'參數'!$B$14+'參數'!$B$15+'參數'!$B$16),"")</f>
        <v/>
      </c>
      <c r="AR271" s="35">
        <f>IF(Y271=1,(SUMPRODUCT(($X$5:$X$404=X271)*($Y$5:$Y$404=1)*($BD$5:$BD$404&gt;BD271))+1)/COUNTIFS($X$5:$X$404,X271,$Y$5:$Y$404,1),"")</f>
        <v/>
      </c>
      <c r="AS271" s="8">
        <f>IF(ISNUMBER(AR271),IF(AR271&lt;='參數'!$B$18,"加碼候選",IF(AR271&gt;'參數'!$B$19,"減碼候選","")),"")</f>
        <v/>
      </c>
      <c r="AT271" s="7">
        <f>IF(Y271=1,N271,0)</f>
        <v/>
      </c>
      <c r="AU271" s="7">
        <f>IF(Y271=1,LN(O271),0)</f>
        <v/>
      </c>
      <c r="AV271" s="36">
        <f>IF(Y271=1,IF(ISNUMBER(F271),F271,0),0)</f>
        <v/>
      </c>
      <c r="AW271" s="7">
        <f>IF(Y271=1,Z271,0)</f>
        <v/>
      </c>
      <c r="AX271" s="7">
        <f>IF(Y271=1,IF(ISNUMBER(AL271),AL271,0),0)</f>
        <v/>
      </c>
      <c r="AY271" s="7">
        <f>IF(Y271=1,IF(ISNUMBER(AL271),1,0),0)</f>
        <v/>
      </c>
      <c r="AZ271" s="7">
        <f>IF(Y271=1,IF(ISNUMBER(AN271),AN271,0),0)</f>
        <v/>
      </c>
      <c r="BA271" s="7">
        <f>IF(Y271=1,IF(ISNUMBER(AN271),1,0),0)</f>
        <v/>
      </c>
      <c r="BB271" s="7">
        <f>IF(Y271=1,IF(ISNUMBER(T271),T271,0),0)</f>
        <v/>
      </c>
      <c r="BC271" s="7">
        <f>IF(Y271=1,IF(ISNUMBER(T271),1,0),0)</f>
        <v/>
      </c>
      <c r="BD271" s="7">
        <f>IF(Y271=1,AQ271+ROW()/1E9,-1E9)</f>
        <v/>
      </c>
      <c r="BE271" s="7">
        <f>IF(Y271=1,AQ271+ROW()/1E9,1E9)</f>
        <v/>
      </c>
    </row>
    <row r="272">
      <c r="A272" s="16" t="n"/>
      <c r="B272" s="8">
        <f>IF($A272="","",BDP($A272,B$3))</f>
        <v/>
      </c>
      <c r="C272" s="8">
        <f>IF($A272="","",BDP($A272,C$3))</f>
        <v/>
      </c>
      <c r="D272" s="28">
        <f>IF($A272="","",BDP($A272,D$3))</f>
        <v/>
      </c>
      <c r="E272" s="29">
        <f>IF($A272="","",BDP($A272,E$3))</f>
        <v/>
      </c>
      <c r="F272" s="17">
        <f>IF($A272="","",BDP($A272,F$3))</f>
        <v/>
      </c>
      <c r="G272" s="8">
        <f>IF($A272="","",BDP($A272,G$3))</f>
        <v/>
      </c>
      <c r="H272" s="8">
        <f>IF($A272="","",BDP($A272,H$3))</f>
        <v/>
      </c>
      <c r="I272" s="8">
        <f>IF($A272="","",BDP($A272,I$3))</f>
        <v/>
      </c>
      <c r="J272" s="8">
        <f>IF($A272="","",BDP($A272,J$3))</f>
        <v/>
      </c>
      <c r="K272" s="8">
        <f>IF($A272="","",BDP($A272,K$3))</f>
        <v/>
      </c>
      <c r="L272" s="28">
        <f>IF($A272="","",BDP($A272,L$3))</f>
        <v/>
      </c>
      <c r="M272" s="28">
        <f>IF($A272="","",BDP($A272,M$3))</f>
        <v/>
      </c>
      <c r="N272" s="30">
        <f>IF($A272="","",BDP($A272,N$3))</f>
        <v/>
      </c>
      <c r="O272" s="31">
        <f>IF($A272="","",BDP($A272,O$3))</f>
        <v/>
      </c>
      <c r="P272" s="30">
        <f>IF($A272="","",BDH($A272,$N$3,'參數'!$B$5,'參數'!$B$5,"Days=A","Fill=P","Dates=H"))</f>
        <v/>
      </c>
      <c r="Q272" s="30">
        <f>IF($A272="","",BDH($A272,$N$3,'參數'!$B$6,'參數'!$B$6,"Days=A","Fill=P","Dates=H"))</f>
        <v/>
      </c>
      <c r="R272" s="30">
        <f>IF($A272="","",BDH($A272,$N$3,'參數'!$B$7,'參數'!$B$7,"Days=A","Fill=P","Dates=H"))</f>
        <v/>
      </c>
      <c r="S272" s="32">
        <f>IF($A272="","",IFERROR(INDEX('發行人'!$A$5:$A$44,MATCH(B272,'發行人'!$D$5:$D$44,0)),"未對應"))</f>
        <v/>
      </c>
      <c r="T272" s="24">
        <f>IF($A272="","",IFERROR(INDEX('發行人'!$G$5:$G$44,MATCH(B272,'發行人'!$D$5:$D$44,0))+0,""))</f>
        <v/>
      </c>
      <c r="U272" s="18">
        <f>IF(ISNUMBER(E272),YEARFRAC('參數'!$B$4,E272),"")</f>
        <v/>
      </c>
      <c r="V272" s="8">
        <f>IF(U272="","",IF(U272&lt;3,"1-3y",IF(U272&lt;5,"3-5y",IF(U272&lt;7,"5-7y",IF(U272&lt;10,"7-10y","10y+")))))</f>
        <v/>
      </c>
      <c r="W272" s="30">
        <f>IF($A272="","",IFERROR(INDEX('參數'!$B$24:$B$45,MATCH(G272,'參數'!$A$24:$A$45,0)),""))</f>
        <v/>
      </c>
      <c r="X272" s="8">
        <f>IF($A272="","",IFERROR(INDEX('參數'!$C$24:$C$45,MATCH(G272,'參數'!$A$24:$A$45,0)),""))</f>
        <v/>
      </c>
      <c r="Y272" s="30">
        <f>IF(AND(ISNUMBER(N272),ISNUMBER(O272),ISNUMBER(U272)),IF(AND(O272&gt;0,X272&lt;&gt;""),1,0),0)</f>
        <v/>
      </c>
      <c r="Z272" s="17">
        <f>IF(Y272=1,O272*N272,"")</f>
        <v/>
      </c>
      <c r="AA272" s="33">
        <f>IF(Y272=1,IF(ISNUMBER(Q272),N272-Q272,""),"")</f>
        <v/>
      </c>
      <c r="AB272" s="33">
        <f>IF(Y272=1,IF(AND(ISNUMBER(P272),ISNUMBER(R272)),R272*5/12-O272*(P272-R272),""),"")</f>
        <v/>
      </c>
      <c r="AC272" s="30">
        <f>IF(Y272=1,COUNTIFS($X$5:$X$404,X272,$V$5:$V$404,V272,$Y$5:$Y$404,1),"")</f>
        <v/>
      </c>
      <c r="AD272" s="30">
        <f>IF(Y272=1,IFERROR(IF(AC272&gt;='參數'!$B$9,INDEX('分群統計'!$G$13:$K$16,MATCH(X272,'分群統計'!$A$13:$A$16,0),MATCH(V272,'分群統計'!$G$12:$K$12,0)),INDEX('分群統計'!$I$5:$I$8,MATCH(X272,'分群統計'!$A$5:$A$8,0))),""),"")</f>
        <v/>
      </c>
      <c r="AE272" s="18">
        <f>IF(Y272=1,IFERROR(IF(AC272&gt;='參數'!$B$9,INDEX('分群統計'!$L$13:$P$16,MATCH(X272,'分群統計'!$A$13:$A$16,0),MATCH(V272,'分群統計'!$L$12:$P$12,0)),INDEX('分群統計'!$J$5:$J$8,MATCH(X272,'分群統計'!$A$5:$A$8,0))),""),"")</f>
        <v/>
      </c>
      <c r="AF272" s="31">
        <f>IF(ISNUMBER(AE272),IF(AE272&gt;0,MAX(-3,MIN(3,(N272-AD272)/AE272)),0),"")</f>
        <v/>
      </c>
      <c r="AG272" s="30">
        <f>IF(Y272=1,COUNTIFS($B$5:$B$404,B272,$Y$5:$Y$404,1),"")</f>
        <v/>
      </c>
      <c r="AH272" s="30">
        <f>IF(Y272=1,IFERROR(IF(ISNUMBER(INDEX('分群統計'!$G$20:$G$59,MATCH(B272,'分群統計'!$A$20:$A$59,0))),INDEX('分群統計'!$H$20:$H$59,MATCH(B272,'分群統計'!$A$20:$A$59,0))+INDEX('分群統計'!$G$20:$G$59,MATCH(B272,'分群統計'!$A$20:$A$59,0))*AU272,""),""),"")</f>
        <v/>
      </c>
      <c r="AI272" s="34">
        <f>IF(ISNUMBER(AH272),N272-AH272,"")</f>
        <v/>
      </c>
      <c r="AJ272" s="30">
        <f>IF(Y272=1,IFERROR(IF(ISNUMBER(INDEX('分群統計'!$G$5:$G$8,MATCH(X272,'分群統計'!$A$5:$A$8,0))),INDEX('分群統計'!$H$5:$H$8,MATCH(X272,'分群統計'!$A$5:$A$8,0))+INDEX('分群統計'!$G$5:$G$8,MATCH(X272,'分群統計'!$A$5:$A$8,0))*AU272,""),""),"")</f>
        <v/>
      </c>
      <c r="AK272" s="34">
        <f>IF(ISNUMBER(AJ272),N272-AJ272,"")</f>
        <v/>
      </c>
      <c r="AL272" s="21">
        <f>IF(ISNUMBER(AJ272),IF(AJ272&gt;0,AK272/AJ272,""),"")</f>
        <v/>
      </c>
      <c r="AM272" s="31">
        <f>IF(AY272&lt;&gt;1,"",IFERROR(IF(INDEX('分群統計'!$K$5:$K$8,MATCH(X272,'分群統計'!$A$5:$A$8,0))&lt;3,"",IF(INDEX('分群統計'!$M$5:$M$8,MATCH(X272,'分群統計'!$A$5:$A$8,0))&gt;0,MAX(-3,MIN(3,(AX272-INDEX('分群統計'!$L$5:$L$8,MATCH(X272,'分群統計'!$A$5:$A$8,0)))/INDEX('分群統計'!$M$5:$M$8,MATCH(X272,'分群統計'!$A$5:$A$8,0)))),0)),""))</f>
        <v/>
      </c>
      <c r="AN272" s="31">
        <f>IF(ISNUMBER(AB272),IF(Z272&gt;0,AB272/Z272*100,""),"")</f>
        <v/>
      </c>
      <c r="AO272" s="31">
        <f>IF(BA272&lt;&gt;1,"",IFERROR(IF(INDEX('分群統計'!$N$5:$N$8,MATCH(X272,'分群統計'!$A$5:$A$8,0))&lt;3,"",IF(INDEX('分群統計'!$P$5:$P$8,MATCH(X272,'分群統計'!$A$5:$A$8,0))&gt;0,MAX(-3,MIN(3,(AZ272-INDEX('分群統計'!$O$5:$O$8,MATCH(X272,'分群統計'!$A$5:$A$8,0)))/INDEX('分群統計'!$P$5:$P$8,MATCH(X272,'分群統計'!$A$5:$A$8,0)))),0)),""))</f>
        <v/>
      </c>
      <c r="AP272" s="31">
        <f>IF(BC272&lt;&gt;1,"",IFERROR(IF(INDEX('分群統計'!$Q$5:$Q$8,MATCH(X272,'分群統計'!$A$5:$A$8,0))&lt;3,"",IF(INDEX('分群統計'!$S$5:$S$8,MATCH(X272,'分群統計'!$A$5:$A$8,0))&gt;0,MAX(-3,MIN(3,(BB272-INDEX('分群統計'!$R$5:$R$8,MATCH(X272,'分群統計'!$A$5:$A$8,0)))/INDEX('分群統計'!$S$5:$S$8,MATCH(X272,'分群統計'!$A$5:$A$8,0)))),0)),""))</f>
        <v/>
      </c>
      <c r="AQ272" s="31">
        <f>IF(Y272=1,(IF(ISNUMBER(AF272),AF272,0)*'參數'!$B$13+IF(ISNUMBER(AM272),AM272,0)*'參數'!$B$14+IF(ISNUMBER(AO272),AO272,0)*'參數'!$B$15+IF(ISNUMBER(AP272),AP272,0)*'參數'!$B$16)/('參數'!$B$13+'參數'!$B$14+'參數'!$B$15+'參數'!$B$16),"")</f>
        <v/>
      </c>
      <c r="AR272" s="35">
        <f>IF(Y272=1,(SUMPRODUCT(($X$5:$X$404=X272)*($Y$5:$Y$404=1)*($BD$5:$BD$404&gt;BD272))+1)/COUNTIFS($X$5:$X$404,X272,$Y$5:$Y$404,1),"")</f>
        <v/>
      </c>
      <c r="AS272" s="8">
        <f>IF(ISNUMBER(AR272),IF(AR272&lt;='參數'!$B$18,"加碼候選",IF(AR272&gt;'參數'!$B$19,"減碼候選","")),"")</f>
        <v/>
      </c>
      <c r="AT272" s="7">
        <f>IF(Y272=1,N272,0)</f>
        <v/>
      </c>
      <c r="AU272" s="7">
        <f>IF(Y272=1,LN(O272),0)</f>
        <v/>
      </c>
      <c r="AV272" s="36">
        <f>IF(Y272=1,IF(ISNUMBER(F272),F272,0),0)</f>
        <v/>
      </c>
      <c r="AW272" s="7">
        <f>IF(Y272=1,Z272,0)</f>
        <v/>
      </c>
      <c r="AX272" s="7">
        <f>IF(Y272=1,IF(ISNUMBER(AL272),AL272,0),0)</f>
        <v/>
      </c>
      <c r="AY272" s="7">
        <f>IF(Y272=1,IF(ISNUMBER(AL272),1,0),0)</f>
        <v/>
      </c>
      <c r="AZ272" s="7">
        <f>IF(Y272=1,IF(ISNUMBER(AN272),AN272,0),0)</f>
        <v/>
      </c>
      <c r="BA272" s="7">
        <f>IF(Y272=1,IF(ISNUMBER(AN272),1,0),0)</f>
        <v/>
      </c>
      <c r="BB272" s="7">
        <f>IF(Y272=1,IF(ISNUMBER(T272),T272,0),0)</f>
        <v/>
      </c>
      <c r="BC272" s="7">
        <f>IF(Y272=1,IF(ISNUMBER(T272),1,0),0)</f>
        <v/>
      </c>
      <c r="BD272" s="7">
        <f>IF(Y272=1,AQ272+ROW()/1E9,-1E9)</f>
        <v/>
      </c>
      <c r="BE272" s="7">
        <f>IF(Y272=1,AQ272+ROW()/1E9,1E9)</f>
        <v/>
      </c>
    </row>
    <row r="273">
      <c r="A273" s="16" t="n"/>
      <c r="B273" s="8">
        <f>IF($A273="","",BDP($A273,B$3))</f>
        <v/>
      </c>
      <c r="C273" s="8">
        <f>IF($A273="","",BDP($A273,C$3))</f>
        <v/>
      </c>
      <c r="D273" s="28">
        <f>IF($A273="","",BDP($A273,D$3))</f>
        <v/>
      </c>
      <c r="E273" s="29">
        <f>IF($A273="","",BDP($A273,E$3))</f>
        <v/>
      </c>
      <c r="F273" s="17">
        <f>IF($A273="","",BDP($A273,F$3))</f>
        <v/>
      </c>
      <c r="G273" s="8">
        <f>IF($A273="","",BDP($A273,G$3))</f>
        <v/>
      </c>
      <c r="H273" s="8">
        <f>IF($A273="","",BDP($A273,H$3))</f>
        <v/>
      </c>
      <c r="I273" s="8">
        <f>IF($A273="","",BDP($A273,I$3))</f>
        <v/>
      </c>
      <c r="J273" s="8">
        <f>IF($A273="","",BDP($A273,J$3))</f>
        <v/>
      </c>
      <c r="K273" s="8">
        <f>IF($A273="","",BDP($A273,K$3))</f>
        <v/>
      </c>
      <c r="L273" s="28">
        <f>IF($A273="","",BDP($A273,L$3))</f>
        <v/>
      </c>
      <c r="M273" s="28">
        <f>IF($A273="","",BDP($A273,M$3))</f>
        <v/>
      </c>
      <c r="N273" s="30">
        <f>IF($A273="","",BDP($A273,N$3))</f>
        <v/>
      </c>
      <c r="O273" s="31">
        <f>IF($A273="","",BDP($A273,O$3))</f>
        <v/>
      </c>
      <c r="P273" s="30">
        <f>IF($A273="","",BDH($A273,$N$3,'參數'!$B$5,'參數'!$B$5,"Days=A","Fill=P","Dates=H"))</f>
        <v/>
      </c>
      <c r="Q273" s="30">
        <f>IF($A273="","",BDH($A273,$N$3,'參數'!$B$6,'參數'!$B$6,"Days=A","Fill=P","Dates=H"))</f>
        <v/>
      </c>
      <c r="R273" s="30">
        <f>IF($A273="","",BDH($A273,$N$3,'參數'!$B$7,'參數'!$B$7,"Days=A","Fill=P","Dates=H"))</f>
        <v/>
      </c>
      <c r="S273" s="32">
        <f>IF($A273="","",IFERROR(INDEX('發行人'!$A$5:$A$44,MATCH(B273,'發行人'!$D$5:$D$44,0)),"未對應"))</f>
        <v/>
      </c>
      <c r="T273" s="24">
        <f>IF($A273="","",IFERROR(INDEX('發行人'!$G$5:$G$44,MATCH(B273,'發行人'!$D$5:$D$44,0))+0,""))</f>
        <v/>
      </c>
      <c r="U273" s="18">
        <f>IF(ISNUMBER(E273),YEARFRAC('參數'!$B$4,E273),"")</f>
        <v/>
      </c>
      <c r="V273" s="8">
        <f>IF(U273="","",IF(U273&lt;3,"1-3y",IF(U273&lt;5,"3-5y",IF(U273&lt;7,"5-7y",IF(U273&lt;10,"7-10y","10y+")))))</f>
        <v/>
      </c>
      <c r="W273" s="30">
        <f>IF($A273="","",IFERROR(INDEX('參數'!$B$24:$B$45,MATCH(G273,'參數'!$A$24:$A$45,0)),""))</f>
        <v/>
      </c>
      <c r="X273" s="8">
        <f>IF($A273="","",IFERROR(INDEX('參數'!$C$24:$C$45,MATCH(G273,'參數'!$A$24:$A$45,0)),""))</f>
        <v/>
      </c>
      <c r="Y273" s="30">
        <f>IF(AND(ISNUMBER(N273),ISNUMBER(O273),ISNUMBER(U273)),IF(AND(O273&gt;0,X273&lt;&gt;""),1,0),0)</f>
        <v/>
      </c>
      <c r="Z273" s="17">
        <f>IF(Y273=1,O273*N273,"")</f>
        <v/>
      </c>
      <c r="AA273" s="33">
        <f>IF(Y273=1,IF(ISNUMBER(Q273),N273-Q273,""),"")</f>
        <v/>
      </c>
      <c r="AB273" s="33">
        <f>IF(Y273=1,IF(AND(ISNUMBER(P273),ISNUMBER(R273)),R273*5/12-O273*(P273-R273),""),"")</f>
        <v/>
      </c>
      <c r="AC273" s="30">
        <f>IF(Y273=1,COUNTIFS($X$5:$X$404,X273,$V$5:$V$404,V273,$Y$5:$Y$404,1),"")</f>
        <v/>
      </c>
      <c r="AD273" s="30">
        <f>IF(Y273=1,IFERROR(IF(AC273&gt;='參數'!$B$9,INDEX('分群統計'!$G$13:$K$16,MATCH(X273,'分群統計'!$A$13:$A$16,0),MATCH(V273,'分群統計'!$G$12:$K$12,0)),INDEX('分群統計'!$I$5:$I$8,MATCH(X273,'分群統計'!$A$5:$A$8,0))),""),"")</f>
        <v/>
      </c>
      <c r="AE273" s="18">
        <f>IF(Y273=1,IFERROR(IF(AC273&gt;='參數'!$B$9,INDEX('分群統計'!$L$13:$P$16,MATCH(X273,'分群統計'!$A$13:$A$16,0),MATCH(V273,'分群統計'!$L$12:$P$12,0)),INDEX('分群統計'!$J$5:$J$8,MATCH(X273,'分群統計'!$A$5:$A$8,0))),""),"")</f>
        <v/>
      </c>
      <c r="AF273" s="31">
        <f>IF(ISNUMBER(AE273),IF(AE273&gt;0,MAX(-3,MIN(3,(N273-AD273)/AE273)),0),"")</f>
        <v/>
      </c>
      <c r="AG273" s="30">
        <f>IF(Y273=1,COUNTIFS($B$5:$B$404,B273,$Y$5:$Y$404,1),"")</f>
        <v/>
      </c>
      <c r="AH273" s="30">
        <f>IF(Y273=1,IFERROR(IF(ISNUMBER(INDEX('分群統計'!$G$20:$G$59,MATCH(B273,'分群統計'!$A$20:$A$59,0))),INDEX('分群統計'!$H$20:$H$59,MATCH(B273,'分群統計'!$A$20:$A$59,0))+INDEX('分群統計'!$G$20:$G$59,MATCH(B273,'分群統計'!$A$20:$A$59,0))*AU273,""),""),"")</f>
        <v/>
      </c>
      <c r="AI273" s="34">
        <f>IF(ISNUMBER(AH273),N273-AH273,"")</f>
        <v/>
      </c>
      <c r="AJ273" s="30">
        <f>IF(Y273=1,IFERROR(IF(ISNUMBER(INDEX('分群統計'!$G$5:$G$8,MATCH(X273,'分群統計'!$A$5:$A$8,0))),INDEX('分群統計'!$H$5:$H$8,MATCH(X273,'分群統計'!$A$5:$A$8,0))+INDEX('分群統計'!$G$5:$G$8,MATCH(X273,'分群統計'!$A$5:$A$8,0))*AU273,""),""),"")</f>
        <v/>
      </c>
      <c r="AK273" s="34">
        <f>IF(ISNUMBER(AJ273),N273-AJ273,"")</f>
        <v/>
      </c>
      <c r="AL273" s="21">
        <f>IF(ISNUMBER(AJ273),IF(AJ273&gt;0,AK273/AJ273,""),"")</f>
        <v/>
      </c>
      <c r="AM273" s="31">
        <f>IF(AY273&lt;&gt;1,"",IFERROR(IF(INDEX('分群統計'!$K$5:$K$8,MATCH(X273,'分群統計'!$A$5:$A$8,0))&lt;3,"",IF(INDEX('分群統計'!$M$5:$M$8,MATCH(X273,'分群統計'!$A$5:$A$8,0))&gt;0,MAX(-3,MIN(3,(AX273-INDEX('分群統計'!$L$5:$L$8,MATCH(X273,'分群統計'!$A$5:$A$8,0)))/INDEX('分群統計'!$M$5:$M$8,MATCH(X273,'分群統計'!$A$5:$A$8,0)))),0)),""))</f>
        <v/>
      </c>
      <c r="AN273" s="31">
        <f>IF(ISNUMBER(AB273),IF(Z273&gt;0,AB273/Z273*100,""),"")</f>
        <v/>
      </c>
      <c r="AO273" s="31">
        <f>IF(BA273&lt;&gt;1,"",IFERROR(IF(INDEX('分群統計'!$N$5:$N$8,MATCH(X273,'分群統計'!$A$5:$A$8,0))&lt;3,"",IF(INDEX('分群統計'!$P$5:$P$8,MATCH(X273,'分群統計'!$A$5:$A$8,0))&gt;0,MAX(-3,MIN(3,(AZ273-INDEX('分群統計'!$O$5:$O$8,MATCH(X273,'分群統計'!$A$5:$A$8,0)))/INDEX('分群統計'!$P$5:$P$8,MATCH(X273,'分群統計'!$A$5:$A$8,0)))),0)),""))</f>
        <v/>
      </c>
      <c r="AP273" s="31">
        <f>IF(BC273&lt;&gt;1,"",IFERROR(IF(INDEX('分群統計'!$Q$5:$Q$8,MATCH(X273,'分群統計'!$A$5:$A$8,0))&lt;3,"",IF(INDEX('分群統計'!$S$5:$S$8,MATCH(X273,'分群統計'!$A$5:$A$8,0))&gt;0,MAX(-3,MIN(3,(BB273-INDEX('分群統計'!$R$5:$R$8,MATCH(X273,'分群統計'!$A$5:$A$8,0)))/INDEX('分群統計'!$S$5:$S$8,MATCH(X273,'分群統計'!$A$5:$A$8,0)))),0)),""))</f>
        <v/>
      </c>
      <c r="AQ273" s="31">
        <f>IF(Y273=1,(IF(ISNUMBER(AF273),AF273,0)*'參數'!$B$13+IF(ISNUMBER(AM273),AM273,0)*'參數'!$B$14+IF(ISNUMBER(AO273),AO273,0)*'參數'!$B$15+IF(ISNUMBER(AP273),AP273,0)*'參數'!$B$16)/('參數'!$B$13+'參數'!$B$14+'參數'!$B$15+'參數'!$B$16),"")</f>
        <v/>
      </c>
      <c r="AR273" s="35">
        <f>IF(Y273=1,(SUMPRODUCT(($X$5:$X$404=X273)*($Y$5:$Y$404=1)*($BD$5:$BD$404&gt;BD273))+1)/COUNTIFS($X$5:$X$404,X273,$Y$5:$Y$404,1),"")</f>
        <v/>
      </c>
      <c r="AS273" s="8">
        <f>IF(ISNUMBER(AR273),IF(AR273&lt;='參數'!$B$18,"加碼候選",IF(AR273&gt;'參數'!$B$19,"減碼候選","")),"")</f>
        <v/>
      </c>
      <c r="AT273" s="7">
        <f>IF(Y273=1,N273,0)</f>
        <v/>
      </c>
      <c r="AU273" s="7">
        <f>IF(Y273=1,LN(O273),0)</f>
        <v/>
      </c>
      <c r="AV273" s="36">
        <f>IF(Y273=1,IF(ISNUMBER(F273),F273,0),0)</f>
        <v/>
      </c>
      <c r="AW273" s="7">
        <f>IF(Y273=1,Z273,0)</f>
        <v/>
      </c>
      <c r="AX273" s="7">
        <f>IF(Y273=1,IF(ISNUMBER(AL273),AL273,0),0)</f>
        <v/>
      </c>
      <c r="AY273" s="7">
        <f>IF(Y273=1,IF(ISNUMBER(AL273),1,0),0)</f>
        <v/>
      </c>
      <c r="AZ273" s="7">
        <f>IF(Y273=1,IF(ISNUMBER(AN273),AN273,0),0)</f>
        <v/>
      </c>
      <c r="BA273" s="7">
        <f>IF(Y273=1,IF(ISNUMBER(AN273),1,0),0)</f>
        <v/>
      </c>
      <c r="BB273" s="7">
        <f>IF(Y273=1,IF(ISNUMBER(T273),T273,0),0)</f>
        <v/>
      </c>
      <c r="BC273" s="7">
        <f>IF(Y273=1,IF(ISNUMBER(T273),1,0),0)</f>
        <v/>
      </c>
      <c r="BD273" s="7">
        <f>IF(Y273=1,AQ273+ROW()/1E9,-1E9)</f>
        <v/>
      </c>
      <c r="BE273" s="7">
        <f>IF(Y273=1,AQ273+ROW()/1E9,1E9)</f>
        <v/>
      </c>
    </row>
    <row r="274">
      <c r="A274" s="16" t="n"/>
      <c r="B274" s="8">
        <f>IF($A274="","",BDP($A274,B$3))</f>
        <v/>
      </c>
      <c r="C274" s="8">
        <f>IF($A274="","",BDP($A274,C$3))</f>
        <v/>
      </c>
      <c r="D274" s="28">
        <f>IF($A274="","",BDP($A274,D$3))</f>
        <v/>
      </c>
      <c r="E274" s="29">
        <f>IF($A274="","",BDP($A274,E$3))</f>
        <v/>
      </c>
      <c r="F274" s="17">
        <f>IF($A274="","",BDP($A274,F$3))</f>
        <v/>
      </c>
      <c r="G274" s="8">
        <f>IF($A274="","",BDP($A274,G$3))</f>
        <v/>
      </c>
      <c r="H274" s="8">
        <f>IF($A274="","",BDP($A274,H$3))</f>
        <v/>
      </c>
      <c r="I274" s="8">
        <f>IF($A274="","",BDP($A274,I$3))</f>
        <v/>
      </c>
      <c r="J274" s="8">
        <f>IF($A274="","",BDP($A274,J$3))</f>
        <v/>
      </c>
      <c r="K274" s="8">
        <f>IF($A274="","",BDP($A274,K$3))</f>
        <v/>
      </c>
      <c r="L274" s="28">
        <f>IF($A274="","",BDP($A274,L$3))</f>
        <v/>
      </c>
      <c r="M274" s="28">
        <f>IF($A274="","",BDP($A274,M$3))</f>
        <v/>
      </c>
      <c r="N274" s="30">
        <f>IF($A274="","",BDP($A274,N$3))</f>
        <v/>
      </c>
      <c r="O274" s="31">
        <f>IF($A274="","",BDP($A274,O$3))</f>
        <v/>
      </c>
      <c r="P274" s="30">
        <f>IF($A274="","",BDH($A274,$N$3,'參數'!$B$5,'參數'!$B$5,"Days=A","Fill=P","Dates=H"))</f>
        <v/>
      </c>
      <c r="Q274" s="30">
        <f>IF($A274="","",BDH($A274,$N$3,'參數'!$B$6,'參數'!$B$6,"Days=A","Fill=P","Dates=H"))</f>
        <v/>
      </c>
      <c r="R274" s="30">
        <f>IF($A274="","",BDH($A274,$N$3,'參數'!$B$7,'參數'!$B$7,"Days=A","Fill=P","Dates=H"))</f>
        <v/>
      </c>
      <c r="S274" s="32">
        <f>IF($A274="","",IFERROR(INDEX('發行人'!$A$5:$A$44,MATCH(B274,'發行人'!$D$5:$D$44,0)),"未對應"))</f>
        <v/>
      </c>
      <c r="T274" s="24">
        <f>IF($A274="","",IFERROR(INDEX('發行人'!$G$5:$G$44,MATCH(B274,'發行人'!$D$5:$D$44,0))+0,""))</f>
        <v/>
      </c>
      <c r="U274" s="18">
        <f>IF(ISNUMBER(E274),YEARFRAC('參數'!$B$4,E274),"")</f>
        <v/>
      </c>
      <c r="V274" s="8">
        <f>IF(U274="","",IF(U274&lt;3,"1-3y",IF(U274&lt;5,"3-5y",IF(U274&lt;7,"5-7y",IF(U274&lt;10,"7-10y","10y+")))))</f>
        <v/>
      </c>
      <c r="W274" s="30">
        <f>IF($A274="","",IFERROR(INDEX('參數'!$B$24:$B$45,MATCH(G274,'參數'!$A$24:$A$45,0)),""))</f>
        <v/>
      </c>
      <c r="X274" s="8">
        <f>IF($A274="","",IFERROR(INDEX('參數'!$C$24:$C$45,MATCH(G274,'參數'!$A$24:$A$45,0)),""))</f>
        <v/>
      </c>
      <c r="Y274" s="30">
        <f>IF(AND(ISNUMBER(N274),ISNUMBER(O274),ISNUMBER(U274)),IF(AND(O274&gt;0,X274&lt;&gt;""),1,0),0)</f>
        <v/>
      </c>
      <c r="Z274" s="17">
        <f>IF(Y274=1,O274*N274,"")</f>
        <v/>
      </c>
      <c r="AA274" s="33">
        <f>IF(Y274=1,IF(ISNUMBER(Q274),N274-Q274,""),"")</f>
        <v/>
      </c>
      <c r="AB274" s="33">
        <f>IF(Y274=1,IF(AND(ISNUMBER(P274),ISNUMBER(R274)),R274*5/12-O274*(P274-R274),""),"")</f>
        <v/>
      </c>
      <c r="AC274" s="30">
        <f>IF(Y274=1,COUNTIFS($X$5:$X$404,X274,$V$5:$V$404,V274,$Y$5:$Y$404,1),"")</f>
        <v/>
      </c>
      <c r="AD274" s="30">
        <f>IF(Y274=1,IFERROR(IF(AC274&gt;='參數'!$B$9,INDEX('分群統計'!$G$13:$K$16,MATCH(X274,'分群統計'!$A$13:$A$16,0),MATCH(V274,'分群統計'!$G$12:$K$12,0)),INDEX('分群統計'!$I$5:$I$8,MATCH(X274,'分群統計'!$A$5:$A$8,0))),""),"")</f>
        <v/>
      </c>
      <c r="AE274" s="18">
        <f>IF(Y274=1,IFERROR(IF(AC274&gt;='參數'!$B$9,INDEX('分群統計'!$L$13:$P$16,MATCH(X274,'分群統計'!$A$13:$A$16,0),MATCH(V274,'分群統計'!$L$12:$P$12,0)),INDEX('分群統計'!$J$5:$J$8,MATCH(X274,'分群統計'!$A$5:$A$8,0))),""),"")</f>
        <v/>
      </c>
      <c r="AF274" s="31">
        <f>IF(ISNUMBER(AE274),IF(AE274&gt;0,MAX(-3,MIN(3,(N274-AD274)/AE274)),0),"")</f>
        <v/>
      </c>
      <c r="AG274" s="30">
        <f>IF(Y274=1,COUNTIFS($B$5:$B$404,B274,$Y$5:$Y$404,1),"")</f>
        <v/>
      </c>
      <c r="AH274" s="30">
        <f>IF(Y274=1,IFERROR(IF(ISNUMBER(INDEX('分群統計'!$G$20:$G$59,MATCH(B274,'分群統計'!$A$20:$A$59,0))),INDEX('分群統計'!$H$20:$H$59,MATCH(B274,'分群統計'!$A$20:$A$59,0))+INDEX('分群統計'!$G$20:$G$59,MATCH(B274,'分群統計'!$A$20:$A$59,0))*AU274,""),""),"")</f>
        <v/>
      </c>
      <c r="AI274" s="34">
        <f>IF(ISNUMBER(AH274),N274-AH274,"")</f>
        <v/>
      </c>
      <c r="AJ274" s="30">
        <f>IF(Y274=1,IFERROR(IF(ISNUMBER(INDEX('分群統計'!$G$5:$G$8,MATCH(X274,'分群統計'!$A$5:$A$8,0))),INDEX('分群統計'!$H$5:$H$8,MATCH(X274,'分群統計'!$A$5:$A$8,0))+INDEX('分群統計'!$G$5:$G$8,MATCH(X274,'分群統計'!$A$5:$A$8,0))*AU274,""),""),"")</f>
        <v/>
      </c>
      <c r="AK274" s="34">
        <f>IF(ISNUMBER(AJ274),N274-AJ274,"")</f>
        <v/>
      </c>
      <c r="AL274" s="21">
        <f>IF(ISNUMBER(AJ274),IF(AJ274&gt;0,AK274/AJ274,""),"")</f>
        <v/>
      </c>
      <c r="AM274" s="31">
        <f>IF(AY274&lt;&gt;1,"",IFERROR(IF(INDEX('分群統計'!$K$5:$K$8,MATCH(X274,'分群統計'!$A$5:$A$8,0))&lt;3,"",IF(INDEX('分群統計'!$M$5:$M$8,MATCH(X274,'分群統計'!$A$5:$A$8,0))&gt;0,MAX(-3,MIN(3,(AX274-INDEX('分群統計'!$L$5:$L$8,MATCH(X274,'分群統計'!$A$5:$A$8,0)))/INDEX('分群統計'!$M$5:$M$8,MATCH(X274,'分群統計'!$A$5:$A$8,0)))),0)),""))</f>
        <v/>
      </c>
      <c r="AN274" s="31">
        <f>IF(ISNUMBER(AB274),IF(Z274&gt;0,AB274/Z274*100,""),"")</f>
        <v/>
      </c>
      <c r="AO274" s="31">
        <f>IF(BA274&lt;&gt;1,"",IFERROR(IF(INDEX('分群統計'!$N$5:$N$8,MATCH(X274,'分群統計'!$A$5:$A$8,0))&lt;3,"",IF(INDEX('分群統計'!$P$5:$P$8,MATCH(X274,'分群統計'!$A$5:$A$8,0))&gt;0,MAX(-3,MIN(3,(AZ274-INDEX('分群統計'!$O$5:$O$8,MATCH(X274,'分群統計'!$A$5:$A$8,0)))/INDEX('分群統計'!$P$5:$P$8,MATCH(X274,'分群統計'!$A$5:$A$8,0)))),0)),""))</f>
        <v/>
      </c>
      <c r="AP274" s="31">
        <f>IF(BC274&lt;&gt;1,"",IFERROR(IF(INDEX('分群統計'!$Q$5:$Q$8,MATCH(X274,'分群統計'!$A$5:$A$8,0))&lt;3,"",IF(INDEX('分群統計'!$S$5:$S$8,MATCH(X274,'分群統計'!$A$5:$A$8,0))&gt;0,MAX(-3,MIN(3,(BB274-INDEX('分群統計'!$R$5:$R$8,MATCH(X274,'分群統計'!$A$5:$A$8,0)))/INDEX('分群統計'!$S$5:$S$8,MATCH(X274,'分群統計'!$A$5:$A$8,0)))),0)),""))</f>
        <v/>
      </c>
      <c r="AQ274" s="31">
        <f>IF(Y274=1,(IF(ISNUMBER(AF274),AF274,0)*'參數'!$B$13+IF(ISNUMBER(AM274),AM274,0)*'參數'!$B$14+IF(ISNUMBER(AO274),AO274,0)*'參數'!$B$15+IF(ISNUMBER(AP274),AP274,0)*'參數'!$B$16)/('參數'!$B$13+'參數'!$B$14+'參數'!$B$15+'參數'!$B$16),"")</f>
        <v/>
      </c>
      <c r="AR274" s="35">
        <f>IF(Y274=1,(SUMPRODUCT(($X$5:$X$404=X274)*($Y$5:$Y$404=1)*($BD$5:$BD$404&gt;BD274))+1)/COUNTIFS($X$5:$X$404,X274,$Y$5:$Y$404,1),"")</f>
        <v/>
      </c>
      <c r="AS274" s="8">
        <f>IF(ISNUMBER(AR274),IF(AR274&lt;='參數'!$B$18,"加碼候選",IF(AR274&gt;'參數'!$B$19,"減碼候選","")),"")</f>
        <v/>
      </c>
      <c r="AT274" s="7">
        <f>IF(Y274=1,N274,0)</f>
        <v/>
      </c>
      <c r="AU274" s="7">
        <f>IF(Y274=1,LN(O274),0)</f>
        <v/>
      </c>
      <c r="AV274" s="36">
        <f>IF(Y274=1,IF(ISNUMBER(F274),F274,0),0)</f>
        <v/>
      </c>
      <c r="AW274" s="7">
        <f>IF(Y274=1,Z274,0)</f>
        <v/>
      </c>
      <c r="AX274" s="7">
        <f>IF(Y274=1,IF(ISNUMBER(AL274),AL274,0),0)</f>
        <v/>
      </c>
      <c r="AY274" s="7">
        <f>IF(Y274=1,IF(ISNUMBER(AL274),1,0),0)</f>
        <v/>
      </c>
      <c r="AZ274" s="7">
        <f>IF(Y274=1,IF(ISNUMBER(AN274),AN274,0),0)</f>
        <v/>
      </c>
      <c r="BA274" s="7">
        <f>IF(Y274=1,IF(ISNUMBER(AN274),1,0),0)</f>
        <v/>
      </c>
      <c r="BB274" s="7">
        <f>IF(Y274=1,IF(ISNUMBER(T274),T274,0),0)</f>
        <v/>
      </c>
      <c r="BC274" s="7">
        <f>IF(Y274=1,IF(ISNUMBER(T274),1,0),0)</f>
        <v/>
      </c>
      <c r="BD274" s="7">
        <f>IF(Y274=1,AQ274+ROW()/1E9,-1E9)</f>
        <v/>
      </c>
      <c r="BE274" s="7">
        <f>IF(Y274=1,AQ274+ROW()/1E9,1E9)</f>
        <v/>
      </c>
    </row>
    <row r="275">
      <c r="A275" s="16" t="n"/>
      <c r="B275" s="8">
        <f>IF($A275="","",BDP($A275,B$3))</f>
        <v/>
      </c>
      <c r="C275" s="8">
        <f>IF($A275="","",BDP($A275,C$3))</f>
        <v/>
      </c>
      <c r="D275" s="28">
        <f>IF($A275="","",BDP($A275,D$3))</f>
        <v/>
      </c>
      <c r="E275" s="29">
        <f>IF($A275="","",BDP($A275,E$3))</f>
        <v/>
      </c>
      <c r="F275" s="17">
        <f>IF($A275="","",BDP($A275,F$3))</f>
        <v/>
      </c>
      <c r="G275" s="8">
        <f>IF($A275="","",BDP($A275,G$3))</f>
        <v/>
      </c>
      <c r="H275" s="8">
        <f>IF($A275="","",BDP($A275,H$3))</f>
        <v/>
      </c>
      <c r="I275" s="8">
        <f>IF($A275="","",BDP($A275,I$3))</f>
        <v/>
      </c>
      <c r="J275" s="8">
        <f>IF($A275="","",BDP($A275,J$3))</f>
        <v/>
      </c>
      <c r="K275" s="8">
        <f>IF($A275="","",BDP($A275,K$3))</f>
        <v/>
      </c>
      <c r="L275" s="28">
        <f>IF($A275="","",BDP($A275,L$3))</f>
        <v/>
      </c>
      <c r="M275" s="28">
        <f>IF($A275="","",BDP($A275,M$3))</f>
        <v/>
      </c>
      <c r="N275" s="30">
        <f>IF($A275="","",BDP($A275,N$3))</f>
        <v/>
      </c>
      <c r="O275" s="31">
        <f>IF($A275="","",BDP($A275,O$3))</f>
        <v/>
      </c>
      <c r="P275" s="30">
        <f>IF($A275="","",BDH($A275,$N$3,'參數'!$B$5,'參數'!$B$5,"Days=A","Fill=P","Dates=H"))</f>
        <v/>
      </c>
      <c r="Q275" s="30">
        <f>IF($A275="","",BDH($A275,$N$3,'參數'!$B$6,'參數'!$B$6,"Days=A","Fill=P","Dates=H"))</f>
        <v/>
      </c>
      <c r="R275" s="30">
        <f>IF($A275="","",BDH($A275,$N$3,'參數'!$B$7,'參數'!$B$7,"Days=A","Fill=P","Dates=H"))</f>
        <v/>
      </c>
      <c r="S275" s="32">
        <f>IF($A275="","",IFERROR(INDEX('發行人'!$A$5:$A$44,MATCH(B275,'發行人'!$D$5:$D$44,0)),"未對應"))</f>
        <v/>
      </c>
      <c r="T275" s="24">
        <f>IF($A275="","",IFERROR(INDEX('發行人'!$G$5:$G$44,MATCH(B275,'發行人'!$D$5:$D$44,0))+0,""))</f>
        <v/>
      </c>
      <c r="U275" s="18">
        <f>IF(ISNUMBER(E275),YEARFRAC('參數'!$B$4,E275),"")</f>
        <v/>
      </c>
      <c r="V275" s="8">
        <f>IF(U275="","",IF(U275&lt;3,"1-3y",IF(U275&lt;5,"3-5y",IF(U275&lt;7,"5-7y",IF(U275&lt;10,"7-10y","10y+")))))</f>
        <v/>
      </c>
      <c r="W275" s="30">
        <f>IF($A275="","",IFERROR(INDEX('參數'!$B$24:$B$45,MATCH(G275,'參數'!$A$24:$A$45,0)),""))</f>
        <v/>
      </c>
      <c r="X275" s="8">
        <f>IF($A275="","",IFERROR(INDEX('參數'!$C$24:$C$45,MATCH(G275,'參數'!$A$24:$A$45,0)),""))</f>
        <v/>
      </c>
      <c r="Y275" s="30">
        <f>IF(AND(ISNUMBER(N275),ISNUMBER(O275),ISNUMBER(U275)),IF(AND(O275&gt;0,X275&lt;&gt;""),1,0),0)</f>
        <v/>
      </c>
      <c r="Z275" s="17">
        <f>IF(Y275=1,O275*N275,"")</f>
        <v/>
      </c>
      <c r="AA275" s="33">
        <f>IF(Y275=1,IF(ISNUMBER(Q275),N275-Q275,""),"")</f>
        <v/>
      </c>
      <c r="AB275" s="33">
        <f>IF(Y275=1,IF(AND(ISNUMBER(P275),ISNUMBER(R275)),R275*5/12-O275*(P275-R275),""),"")</f>
        <v/>
      </c>
      <c r="AC275" s="30">
        <f>IF(Y275=1,COUNTIFS($X$5:$X$404,X275,$V$5:$V$404,V275,$Y$5:$Y$404,1),"")</f>
        <v/>
      </c>
      <c r="AD275" s="30">
        <f>IF(Y275=1,IFERROR(IF(AC275&gt;='參數'!$B$9,INDEX('分群統計'!$G$13:$K$16,MATCH(X275,'分群統計'!$A$13:$A$16,0),MATCH(V275,'分群統計'!$G$12:$K$12,0)),INDEX('分群統計'!$I$5:$I$8,MATCH(X275,'分群統計'!$A$5:$A$8,0))),""),"")</f>
        <v/>
      </c>
      <c r="AE275" s="18">
        <f>IF(Y275=1,IFERROR(IF(AC275&gt;='參數'!$B$9,INDEX('分群統計'!$L$13:$P$16,MATCH(X275,'分群統計'!$A$13:$A$16,0),MATCH(V275,'分群統計'!$L$12:$P$12,0)),INDEX('分群統計'!$J$5:$J$8,MATCH(X275,'分群統計'!$A$5:$A$8,0))),""),"")</f>
        <v/>
      </c>
      <c r="AF275" s="31">
        <f>IF(ISNUMBER(AE275),IF(AE275&gt;0,MAX(-3,MIN(3,(N275-AD275)/AE275)),0),"")</f>
        <v/>
      </c>
      <c r="AG275" s="30">
        <f>IF(Y275=1,COUNTIFS($B$5:$B$404,B275,$Y$5:$Y$404,1),"")</f>
        <v/>
      </c>
      <c r="AH275" s="30">
        <f>IF(Y275=1,IFERROR(IF(ISNUMBER(INDEX('分群統計'!$G$20:$G$59,MATCH(B275,'分群統計'!$A$20:$A$59,0))),INDEX('分群統計'!$H$20:$H$59,MATCH(B275,'分群統計'!$A$20:$A$59,0))+INDEX('分群統計'!$G$20:$G$59,MATCH(B275,'分群統計'!$A$20:$A$59,0))*AU275,""),""),"")</f>
        <v/>
      </c>
      <c r="AI275" s="34">
        <f>IF(ISNUMBER(AH275),N275-AH275,"")</f>
        <v/>
      </c>
      <c r="AJ275" s="30">
        <f>IF(Y275=1,IFERROR(IF(ISNUMBER(INDEX('分群統計'!$G$5:$G$8,MATCH(X275,'分群統計'!$A$5:$A$8,0))),INDEX('分群統計'!$H$5:$H$8,MATCH(X275,'分群統計'!$A$5:$A$8,0))+INDEX('分群統計'!$G$5:$G$8,MATCH(X275,'分群統計'!$A$5:$A$8,0))*AU275,""),""),"")</f>
        <v/>
      </c>
      <c r="AK275" s="34">
        <f>IF(ISNUMBER(AJ275),N275-AJ275,"")</f>
        <v/>
      </c>
      <c r="AL275" s="21">
        <f>IF(ISNUMBER(AJ275),IF(AJ275&gt;0,AK275/AJ275,""),"")</f>
        <v/>
      </c>
      <c r="AM275" s="31">
        <f>IF(AY275&lt;&gt;1,"",IFERROR(IF(INDEX('分群統計'!$K$5:$K$8,MATCH(X275,'分群統計'!$A$5:$A$8,0))&lt;3,"",IF(INDEX('分群統計'!$M$5:$M$8,MATCH(X275,'分群統計'!$A$5:$A$8,0))&gt;0,MAX(-3,MIN(3,(AX275-INDEX('分群統計'!$L$5:$L$8,MATCH(X275,'分群統計'!$A$5:$A$8,0)))/INDEX('分群統計'!$M$5:$M$8,MATCH(X275,'分群統計'!$A$5:$A$8,0)))),0)),""))</f>
        <v/>
      </c>
      <c r="AN275" s="31">
        <f>IF(ISNUMBER(AB275),IF(Z275&gt;0,AB275/Z275*100,""),"")</f>
        <v/>
      </c>
      <c r="AO275" s="31">
        <f>IF(BA275&lt;&gt;1,"",IFERROR(IF(INDEX('分群統計'!$N$5:$N$8,MATCH(X275,'分群統計'!$A$5:$A$8,0))&lt;3,"",IF(INDEX('分群統計'!$P$5:$P$8,MATCH(X275,'分群統計'!$A$5:$A$8,0))&gt;0,MAX(-3,MIN(3,(AZ275-INDEX('分群統計'!$O$5:$O$8,MATCH(X275,'分群統計'!$A$5:$A$8,0)))/INDEX('分群統計'!$P$5:$P$8,MATCH(X275,'分群統計'!$A$5:$A$8,0)))),0)),""))</f>
        <v/>
      </c>
      <c r="AP275" s="31">
        <f>IF(BC275&lt;&gt;1,"",IFERROR(IF(INDEX('分群統計'!$Q$5:$Q$8,MATCH(X275,'分群統計'!$A$5:$A$8,0))&lt;3,"",IF(INDEX('分群統計'!$S$5:$S$8,MATCH(X275,'分群統計'!$A$5:$A$8,0))&gt;0,MAX(-3,MIN(3,(BB275-INDEX('分群統計'!$R$5:$R$8,MATCH(X275,'分群統計'!$A$5:$A$8,0)))/INDEX('分群統計'!$S$5:$S$8,MATCH(X275,'分群統計'!$A$5:$A$8,0)))),0)),""))</f>
        <v/>
      </c>
      <c r="AQ275" s="31">
        <f>IF(Y275=1,(IF(ISNUMBER(AF275),AF275,0)*'參數'!$B$13+IF(ISNUMBER(AM275),AM275,0)*'參數'!$B$14+IF(ISNUMBER(AO275),AO275,0)*'參數'!$B$15+IF(ISNUMBER(AP275),AP275,0)*'參數'!$B$16)/('參數'!$B$13+'參數'!$B$14+'參數'!$B$15+'參數'!$B$16),"")</f>
        <v/>
      </c>
      <c r="AR275" s="35">
        <f>IF(Y275=1,(SUMPRODUCT(($X$5:$X$404=X275)*($Y$5:$Y$404=1)*($BD$5:$BD$404&gt;BD275))+1)/COUNTIFS($X$5:$X$404,X275,$Y$5:$Y$404,1),"")</f>
        <v/>
      </c>
      <c r="AS275" s="8">
        <f>IF(ISNUMBER(AR275),IF(AR275&lt;='參數'!$B$18,"加碼候選",IF(AR275&gt;'參數'!$B$19,"減碼候選","")),"")</f>
        <v/>
      </c>
      <c r="AT275" s="7">
        <f>IF(Y275=1,N275,0)</f>
        <v/>
      </c>
      <c r="AU275" s="7">
        <f>IF(Y275=1,LN(O275),0)</f>
        <v/>
      </c>
      <c r="AV275" s="36">
        <f>IF(Y275=1,IF(ISNUMBER(F275),F275,0),0)</f>
        <v/>
      </c>
      <c r="AW275" s="7">
        <f>IF(Y275=1,Z275,0)</f>
        <v/>
      </c>
      <c r="AX275" s="7">
        <f>IF(Y275=1,IF(ISNUMBER(AL275),AL275,0),0)</f>
        <v/>
      </c>
      <c r="AY275" s="7">
        <f>IF(Y275=1,IF(ISNUMBER(AL275),1,0),0)</f>
        <v/>
      </c>
      <c r="AZ275" s="7">
        <f>IF(Y275=1,IF(ISNUMBER(AN275),AN275,0),0)</f>
        <v/>
      </c>
      <c r="BA275" s="7">
        <f>IF(Y275=1,IF(ISNUMBER(AN275),1,0),0)</f>
        <v/>
      </c>
      <c r="BB275" s="7">
        <f>IF(Y275=1,IF(ISNUMBER(T275),T275,0),0)</f>
        <v/>
      </c>
      <c r="BC275" s="7">
        <f>IF(Y275=1,IF(ISNUMBER(T275),1,0),0)</f>
        <v/>
      </c>
      <c r="BD275" s="7">
        <f>IF(Y275=1,AQ275+ROW()/1E9,-1E9)</f>
        <v/>
      </c>
      <c r="BE275" s="7">
        <f>IF(Y275=1,AQ275+ROW()/1E9,1E9)</f>
        <v/>
      </c>
    </row>
    <row r="276">
      <c r="A276" s="16" t="n"/>
      <c r="B276" s="8">
        <f>IF($A276="","",BDP($A276,B$3))</f>
        <v/>
      </c>
      <c r="C276" s="8">
        <f>IF($A276="","",BDP($A276,C$3))</f>
        <v/>
      </c>
      <c r="D276" s="28">
        <f>IF($A276="","",BDP($A276,D$3))</f>
        <v/>
      </c>
      <c r="E276" s="29">
        <f>IF($A276="","",BDP($A276,E$3))</f>
        <v/>
      </c>
      <c r="F276" s="17">
        <f>IF($A276="","",BDP($A276,F$3))</f>
        <v/>
      </c>
      <c r="G276" s="8">
        <f>IF($A276="","",BDP($A276,G$3))</f>
        <v/>
      </c>
      <c r="H276" s="8">
        <f>IF($A276="","",BDP($A276,H$3))</f>
        <v/>
      </c>
      <c r="I276" s="8">
        <f>IF($A276="","",BDP($A276,I$3))</f>
        <v/>
      </c>
      <c r="J276" s="8">
        <f>IF($A276="","",BDP($A276,J$3))</f>
        <v/>
      </c>
      <c r="K276" s="8">
        <f>IF($A276="","",BDP($A276,K$3))</f>
        <v/>
      </c>
      <c r="L276" s="28">
        <f>IF($A276="","",BDP($A276,L$3))</f>
        <v/>
      </c>
      <c r="M276" s="28">
        <f>IF($A276="","",BDP($A276,M$3))</f>
        <v/>
      </c>
      <c r="N276" s="30">
        <f>IF($A276="","",BDP($A276,N$3))</f>
        <v/>
      </c>
      <c r="O276" s="31">
        <f>IF($A276="","",BDP($A276,O$3))</f>
        <v/>
      </c>
      <c r="P276" s="30">
        <f>IF($A276="","",BDH($A276,$N$3,'參數'!$B$5,'參數'!$B$5,"Days=A","Fill=P","Dates=H"))</f>
        <v/>
      </c>
      <c r="Q276" s="30">
        <f>IF($A276="","",BDH($A276,$N$3,'參數'!$B$6,'參數'!$B$6,"Days=A","Fill=P","Dates=H"))</f>
        <v/>
      </c>
      <c r="R276" s="30">
        <f>IF($A276="","",BDH($A276,$N$3,'參數'!$B$7,'參數'!$B$7,"Days=A","Fill=P","Dates=H"))</f>
        <v/>
      </c>
      <c r="S276" s="32">
        <f>IF($A276="","",IFERROR(INDEX('發行人'!$A$5:$A$44,MATCH(B276,'發行人'!$D$5:$D$44,0)),"未對應"))</f>
        <v/>
      </c>
      <c r="T276" s="24">
        <f>IF($A276="","",IFERROR(INDEX('發行人'!$G$5:$G$44,MATCH(B276,'發行人'!$D$5:$D$44,0))+0,""))</f>
        <v/>
      </c>
      <c r="U276" s="18">
        <f>IF(ISNUMBER(E276),YEARFRAC('參數'!$B$4,E276),"")</f>
        <v/>
      </c>
      <c r="V276" s="8">
        <f>IF(U276="","",IF(U276&lt;3,"1-3y",IF(U276&lt;5,"3-5y",IF(U276&lt;7,"5-7y",IF(U276&lt;10,"7-10y","10y+")))))</f>
        <v/>
      </c>
      <c r="W276" s="30">
        <f>IF($A276="","",IFERROR(INDEX('參數'!$B$24:$B$45,MATCH(G276,'參數'!$A$24:$A$45,0)),""))</f>
        <v/>
      </c>
      <c r="X276" s="8">
        <f>IF($A276="","",IFERROR(INDEX('參數'!$C$24:$C$45,MATCH(G276,'參數'!$A$24:$A$45,0)),""))</f>
        <v/>
      </c>
      <c r="Y276" s="30">
        <f>IF(AND(ISNUMBER(N276),ISNUMBER(O276),ISNUMBER(U276)),IF(AND(O276&gt;0,X276&lt;&gt;""),1,0),0)</f>
        <v/>
      </c>
      <c r="Z276" s="17">
        <f>IF(Y276=1,O276*N276,"")</f>
        <v/>
      </c>
      <c r="AA276" s="33">
        <f>IF(Y276=1,IF(ISNUMBER(Q276),N276-Q276,""),"")</f>
        <v/>
      </c>
      <c r="AB276" s="33">
        <f>IF(Y276=1,IF(AND(ISNUMBER(P276),ISNUMBER(R276)),R276*5/12-O276*(P276-R276),""),"")</f>
        <v/>
      </c>
      <c r="AC276" s="30">
        <f>IF(Y276=1,COUNTIFS($X$5:$X$404,X276,$V$5:$V$404,V276,$Y$5:$Y$404,1),"")</f>
        <v/>
      </c>
      <c r="AD276" s="30">
        <f>IF(Y276=1,IFERROR(IF(AC276&gt;='參數'!$B$9,INDEX('分群統計'!$G$13:$K$16,MATCH(X276,'分群統計'!$A$13:$A$16,0),MATCH(V276,'分群統計'!$G$12:$K$12,0)),INDEX('分群統計'!$I$5:$I$8,MATCH(X276,'分群統計'!$A$5:$A$8,0))),""),"")</f>
        <v/>
      </c>
      <c r="AE276" s="18">
        <f>IF(Y276=1,IFERROR(IF(AC276&gt;='參數'!$B$9,INDEX('分群統計'!$L$13:$P$16,MATCH(X276,'分群統計'!$A$13:$A$16,0),MATCH(V276,'分群統計'!$L$12:$P$12,0)),INDEX('分群統計'!$J$5:$J$8,MATCH(X276,'分群統計'!$A$5:$A$8,0))),""),"")</f>
        <v/>
      </c>
      <c r="AF276" s="31">
        <f>IF(ISNUMBER(AE276),IF(AE276&gt;0,MAX(-3,MIN(3,(N276-AD276)/AE276)),0),"")</f>
        <v/>
      </c>
      <c r="AG276" s="30">
        <f>IF(Y276=1,COUNTIFS($B$5:$B$404,B276,$Y$5:$Y$404,1),"")</f>
        <v/>
      </c>
      <c r="AH276" s="30">
        <f>IF(Y276=1,IFERROR(IF(ISNUMBER(INDEX('分群統計'!$G$20:$G$59,MATCH(B276,'分群統計'!$A$20:$A$59,0))),INDEX('分群統計'!$H$20:$H$59,MATCH(B276,'分群統計'!$A$20:$A$59,0))+INDEX('分群統計'!$G$20:$G$59,MATCH(B276,'分群統計'!$A$20:$A$59,0))*AU276,""),""),"")</f>
        <v/>
      </c>
      <c r="AI276" s="34">
        <f>IF(ISNUMBER(AH276),N276-AH276,"")</f>
        <v/>
      </c>
      <c r="AJ276" s="30">
        <f>IF(Y276=1,IFERROR(IF(ISNUMBER(INDEX('分群統計'!$G$5:$G$8,MATCH(X276,'分群統計'!$A$5:$A$8,0))),INDEX('分群統計'!$H$5:$H$8,MATCH(X276,'分群統計'!$A$5:$A$8,0))+INDEX('分群統計'!$G$5:$G$8,MATCH(X276,'分群統計'!$A$5:$A$8,0))*AU276,""),""),"")</f>
        <v/>
      </c>
      <c r="AK276" s="34">
        <f>IF(ISNUMBER(AJ276),N276-AJ276,"")</f>
        <v/>
      </c>
      <c r="AL276" s="21">
        <f>IF(ISNUMBER(AJ276),IF(AJ276&gt;0,AK276/AJ276,""),"")</f>
        <v/>
      </c>
      <c r="AM276" s="31">
        <f>IF(AY276&lt;&gt;1,"",IFERROR(IF(INDEX('分群統計'!$K$5:$K$8,MATCH(X276,'分群統計'!$A$5:$A$8,0))&lt;3,"",IF(INDEX('分群統計'!$M$5:$M$8,MATCH(X276,'分群統計'!$A$5:$A$8,0))&gt;0,MAX(-3,MIN(3,(AX276-INDEX('分群統計'!$L$5:$L$8,MATCH(X276,'分群統計'!$A$5:$A$8,0)))/INDEX('分群統計'!$M$5:$M$8,MATCH(X276,'分群統計'!$A$5:$A$8,0)))),0)),""))</f>
        <v/>
      </c>
      <c r="AN276" s="31">
        <f>IF(ISNUMBER(AB276),IF(Z276&gt;0,AB276/Z276*100,""),"")</f>
        <v/>
      </c>
      <c r="AO276" s="31">
        <f>IF(BA276&lt;&gt;1,"",IFERROR(IF(INDEX('分群統計'!$N$5:$N$8,MATCH(X276,'分群統計'!$A$5:$A$8,0))&lt;3,"",IF(INDEX('分群統計'!$P$5:$P$8,MATCH(X276,'分群統計'!$A$5:$A$8,0))&gt;0,MAX(-3,MIN(3,(AZ276-INDEX('分群統計'!$O$5:$O$8,MATCH(X276,'分群統計'!$A$5:$A$8,0)))/INDEX('分群統計'!$P$5:$P$8,MATCH(X276,'分群統計'!$A$5:$A$8,0)))),0)),""))</f>
        <v/>
      </c>
      <c r="AP276" s="31">
        <f>IF(BC276&lt;&gt;1,"",IFERROR(IF(INDEX('分群統計'!$Q$5:$Q$8,MATCH(X276,'分群統計'!$A$5:$A$8,0))&lt;3,"",IF(INDEX('分群統計'!$S$5:$S$8,MATCH(X276,'分群統計'!$A$5:$A$8,0))&gt;0,MAX(-3,MIN(3,(BB276-INDEX('分群統計'!$R$5:$R$8,MATCH(X276,'分群統計'!$A$5:$A$8,0)))/INDEX('分群統計'!$S$5:$S$8,MATCH(X276,'分群統計'!$A$5:$A$8,0)))),0)),""))</f>
        <v/>
      </c>
      <c r="AQ276" s="31">
        <f>IF(Y276=1,(IF(ISNUMBER(AF276),AF276,0)*'參數'!$B$13+IF(ISNUMBER(AM276),AM276,0)*'參數'!$B$14+IF(ISNUMBER(AO276),AO276,0)*'參數'!$B$15+IF(ISNUMBER(AP276),AP276,0)*'參數'!$B$16)/('參數'!$B$13+'參數'!$B$14+'參數'!$B$15+'參數'!$B$16),"")</f>
        <v/>
      </c>
      <c r="AR276" s="35">
        <f>IF(Y276=1,(SUMPRODUCT(($X$5:$X$404=X276)*($Y$5:$Y$404=1)*($BD$5:$BD$404&gt;BD276))+1)/COUNTIFS($X$5:$X$404,X276,$Y$5:$Y$404,1),"")</f>
        <v/>
      </c>
      <c r="AS276" s="8">
        <f>IF(ISNUMBER(AR276),IF(AR276&lt;='參數'!$B$18,"加碼候選",IF(AR276&gt;'參數'!$B$19,"減碼候選","")),"")</f>
        <v/>
      </c>
      <c r="AT276" s="7">
        <f>IF(Y276=1,N276,0)</f>
        <v/>
      </c>
      <c r="AU276" s="7">
        <f>IF(Y276=1,LN(O276),0)</f>
        <v/>
      </c>
      <c r="AV276" s="36">
        <f>IF(Y276=1,IF(ISNUMBER(F276),F276,0),0)</f>
        <v/>
      </c>
      <c r="AW276" s="7">
        <f>IF(Y276=1,Z276,0)</f>
        <v/>
      </c>
      <c r="AX276" s="7">
        <f>IF(Y276=1,IF(ISNUMBER(AL276),AL276,0),0)</f>
        <v/>
      </c>
      <c r="AY276" s="7">
        <f>IF(Y276=1,IF(ISNUMBER(AL276),1,0),0)</f>
        <v/>
      </c>
      <c r="AZ276" s="7">
        <f>IF(Y276=1,IF(ISNUMBER(AN276),AN276,0),0)</f>
        <v/>
      </c>
      <c r="BA276" s="7">
        <f>IF(Y276=1,IF(ISNUMBER(AN276),1,0),0)</f>
        <v/>
      </c>
      <c r="BB276" s="7">
        <f>IF(Y276=1,IF(ISNUMBER(T276),T276,0),0)</f>
        <v/>
      </c>
      <c r="BC276" s="7">
        <f>IF(Y276=1,IF(ISNUMBER(T276),1,0),0)</f>
        <v/>
      </c>
      <c r="BD276" s="7">
        <f>IF(Y276=1,AQ276+ROW()/1E9,-1E9)</f>
        <v/>
      </c>
      <c r="BE276" s="7">
        <f>IF(Y276=1,AQ276+ROW()/1E9,1E9)</f>
        <v/>
      </c>
    </row>
    <row r="277">
      <c r="A277" s="16" t="n"/>
      <c r="B277" s="8">
        <f>IF($A277="","",BDP($A277,B$3))</f>
        <v/>
      </c>
      <c r="C277" s="8">
        <f>IF($A277="","",BDP($A277,C$3))</f>
        <v/>
      </c>
      <c r="D277" s="28">
        <f>IF($A277="","",BDP($A277,D$3))</f>
        <v/>
      </c>
      <c r="E277" s="29">
        <f>IF($A277="","",BDP($A277,E$3))</f>
        <v/>
      </c>
      <c r="F277" s="17">
        <f>IF($A277="","",BDP($A277,F$3))</f>
        <v/>
      </c>
      <c r="G277" s="8">
        <f>IF($A277="","",BDP($A277,G$3))</f>
        <v/>
      </c>
      <c r="H277" s="8">
        <f>IF($A277="","",BDP($A277,H$3))</f>
        <v/>
      </c>
      <c r="I277" s="8">
        <f>IF($A277="","",BDP($A277,I$3))</f>
        <v/>
      </c>
      <c r="J277" s="8">
        <f>IF($A277="","",BDP($A277,J$3))</f>
        <v/>
      </c>
      <c r="K277" s="8">
        <f>IF($A277="","",BDP($A277,K$3))</f>
        <v/>
      </c>
      <c r="L277" s="28">
        <f>IF($A277="","",BDP($A277,L$3))</f>
        <v/>
      </c>
      <c r="M277" s="28">
        <f>IF($A277="","",BDP($A277,M$3))</f>
        <v/>
      </c>
      <c r="N277" s="30">
        <f>IF($A277="","",BDP($A277,N$3))</f>
        <v/>
      </c>
      <c r="O277" s="31">
        <f>IF($A277="","",BDP($A277,O$3))</f>
        <v/>
      </c>
      <c r="P277" s="30">
        <f>IF($A277="","",BDH($A277,$N$3,'參數'!$B$5,'參數'!$B$5,"Days=A","Fill=P","Dates=H"))</f>
        <v/>
      </c>
      <c r="Q277" s="30">
        <f>IF($A277="","",BDH($A277,$N$3,'參數'!$B$6,'參數'!$B$6,"Days=A","Fill=P","Dates=H"))</f>
        <v/>
      </c>
      <c r="R277" s="30">
        <f>IF($A277="","",BDH($A277,$N$3,'參數'!$B$7,'參數'!$B$7,"Days=A","Fill=P","Dates=H"))</f>
        <v/>
      </c>
      <c r="S277" s="32">
        <f>IF($A277="","",IFERROR(INDEX('發行人'!$A$5:$A$44,MATCH(B277,'發行人'!$D$5:$D$44,0)),"未對應"))</f>
        <v/>
      </c>
      <c r="T277" s="24">
        <f>IF($A277="","",IFERROR(INDEX('發行人'!$G$5:$G$44,MATCH(B277,'發行人'!$D$5:$D$44,0))+0,""))</f>
        <v/>
      </c>
      <c r="U277" s="18">
        <f>IF(ISNUMBER(E277),YEARFRAC('參數'!$B$4,E277),"")</f>
        <v/>
      </c>
      <c r="V277" s="8">
        <f>IF(U277="","",IF(U277&lt;3,"1-3y",IF(U277&lt;5,"3-5y",IF(U277&lt;7,"5-7y",IF(U277&lt;10,"7-10y","10y+")))))</f>
        <v/>
      </c>
      <c r="W277" s="30">
        <f>IF($A277="","",IFERROR(INDEX('參數'!$B$24:$B$45,MATCH(G277,'參數'!$A$24:$A$45,0)),""))</f>
        <v/>
      </c>
      <c r="X277" s="8">
        <f>IF($A277="","",IFERROR(INDEX('參數'!$C$24:$C$45,MATCH(G277,'參數'!$A$24:$A$45,0)),""))</f>
        <v/>
      </c>
      <c r="Y277" s="30">
        <f>IF(AND(ISNUMBER(N277),ISNUMBER(O277),ISNUMBER(U277)),IF(AND(O277&gt;0,X277&lt;&gt;""),1,0),0)</f>
        <v/>
      </c>
      <c r="Z277" s="17">
        <f>IF(Y277=1,O277*N277,"")</f>
        <v/>
      </c>
      <c r="AA277" s="33">
        <f>IF(Y277=1,IF(ISNUMBER(Q277),N277-Q277,""),"")</f>
        <v/>
      </c>
      <c r="AB277" s="33">
        <f>IF(Y277=1,IF(AND(ISNUMBER(P277),ISNUMBER(R277)),R277*5/12-O277*(P277-R277),""),"")</f>
        <v/>
      </c>
      <c r="AC277" s="30">
        <f>IF(Y277=1,COUNTIFS($X$5:$X$404,X277,$V$5:$V$404,V277,$Y$5:$Y$404,1),"")</f>
        <v/>
      </c>
      <c r="AD277" s="30">
        <f>IF(Y277=1,IFERROR(IF(AC277&gt;='參數'!$B$9,INDEX('分群統計'!$G$13:$K$16,MATCH(X277,'分群統計'!$A$13:$A$16,0),MATCH(V277,'分群統計'!$G$12:$K$12,0)),INDEX('分群統計'!$I$5:$I$8,MATCH(X277,'分群統計'!$A$5:$A$8,0))),""),"")</f>
        <v/>
      </c>
      <c r="AE277" s="18">
        <f>IF(Y277=1,IFERROR(IF(AC277&gt;='參數'!$B$9,INDEX('分群統計'!$L$13:$P$16,MATCH(X277,'分群統計'!$A$13:$A$16,0),MATCH(V277,'分群統計'!$L$12:$P$12,0)),INDEX('分群統計'!$J$5:$J$8,MATCH(X277,'分群統計'!$A$5:$A$8,0))),""),"")</f>
        <v/>
      </c>
      <c r="AF277" s="31">
        <f>IF(ISNUMBER(AE277),IF(AE277&gt;0,MAX(-3,MIN(3,(N277-AD277)/AE277)),0),"")</f>
        <v/>
      </c>
      <c r="AG277" s="30">
        <f>IF(Y277=1,COUNTIFS($B$5:$B$404,B277,$Y$5:$Y$404,1),"")</f>
        <v/>
      </c>
      <c r="AH277" s="30">
        <f>IF(Y277=1,IFERROR(IF(ISNUMBER(INDEX('分群統計'!$G$20:$G$59,MATCH(B277,'分群統計'!$A$20:$A$59,0))),INDEX('分群統計'!$H$20:$H$59,MATCH(B277,'分群統計'!$A$20:$A$59,0))+INDEX('分群統計'!$G$20:$G$59,MATCH(B277,'分群統計'!$A$20:$A$59,0))*AU277,""),""),"")</f>
        <v/>
      </c>
      <c r="AI277" s="34">
        <f>IF(ISNUMBER(AH277),N277-AH277,"")</f>
        <v/>
      </c>
      <c r="AJ277" s="30">
        <f>IF(Y277=1,IFERROR(IF(ISNUMBER(INDEX('分群統計'!$G$5:$G$8,MATCH(X277,'分群統計'!$A$5:$A$8,0))),INDEX('分群統計'!$H$5:$H$8,MATCH(X277,'分群統計'!$A$5:$A$8,0))+INDEX('分群統計'!$G$5:$G$8,MATCH(X277,'分群統計'!$A$5:$A$8,0))*AU277,""),""),"")</f>
        <v/>
      </c>
      <c r="AK277" s="34">
        <f>IF(ISNUMBER(AJ277),N277-AJ277,"")</f>
        <v/>
      </c>
      <c r="AL277" s="21">
        <f>IF(ISNUMBER(AJ277),IF(AJ277&gt;0,AK277/AJ277,""),"")</f>
        <v/>
      </c>
      <c r="AM277" s="31">
        <f>IF(AY277&lt;&gt;1,"",IFERROR(IF(INDEX('分群統計'!$K$5:$K$8,MATCH(X277,'分群統計'!$A$5:$A$8,0))&lt;3,"",IF(INDEX('分群統計'!$M$5:$M$8,MATCH(X277,'分群統計'!$A$5:$A$8,0))&gt;0,MAX(-3,MIN(3,(AX277-INDEX('分群統計'!$L$5:$L$8,MATCH(X277,'分群統計'!$A$5:$A$8,0)))/INDEX('分群統計'!$M$5:$M$8,MATCH(X277,'分群統計'!$A$5:$A$8,0)))),0)),""))</f>
        <v/>
      </c>
      <c r="AN277" s="31">
        <f>IF(ISNUMBER(AB277),IF(Z277&gt;0,AB277/Z277*100,""),"")</f>
        <v/>
      </c>
      <c r="AO277" s="31">
        <f>IF(BA277&lt;&gt;1,"",IFERROR(IF(INDEX('分群統計'!$N$5:$N$8,MATCH(X277,'分群統計'!$A$5:$A$8,0))&lt;3,"",IF(INDEX('分群統計'!$P$5:$P$8,MATCH(X277,'分群統計'!$A$5:$A$8,0))&gt;0,MAX(-3,MIN(3,(AZ277-INDEX('分群統計'!$O$5:$O$8,MATCH(X277,'分群統計'!$A$5:$A$8,0)))/INDEX('分群統計'!$P$5:$P$8,MATCH(X277,'分群統計'!$A$5:$A$8,0)))),0)),""))</f>
        <v/>
      </c>
      <c r="AP277" s="31">
        <f>IF(BC277&lt;&gt;1,"",IFERROR(IF(INDEX('分群統計'!$Q$5:$Q$8,MATCH(X277,'分群統計'!$A$5:$A$8,0))&lt;3,"",IF(INDEX('分群統計'!$S$5:$S$8,MATCH(X277,'分群統計'!$A$5:$A$8,0))&gt;0,MAX(-3,MIN(3,(BB277-INDEX('分群統計'!$R$5:$R$8,MATCH(X277,'分群統計'!$A$5:$A$8,0)))/INDEX('分群統計'!$S$5:$S$8,MATCH(X277,'分群統計'!$A$5:$A$8,0)))),0)),""))</f>
        <v/>
      </c>
      <c r="AQ277" s="31">
        <f>IF(Y277=1,(IF(ISNUMBER(AF277),AF277,0)*'參數'!$B$13+IF(ISNUMBER(AM277),AM277,0)*'參數'!$B$14+IF(ISNUMBER(AO277),AO277,0)*'參數'!$B$15+IF(ISNUMBER(AP277),AP277,0)*'參數'!$B$16)/('參數'!$B$13+'參數'!$B$14+'參數'!$B$15+'參數'!$B$16),"")</f>
        <v/>
      </c>
      <c r="AR277" s="35">
        <f>IF(Y277=1,(SUMPRODUCT(($X$5:$X$404=X277)*($Y$5:$Y$404=1)*($BD$5:$BD$404&gt;BD277))+1)/COUNTIFS($X$5:$X$404,X277,$Y$5:$Y$404,1),"")</f>
        <v/>
      </c>
      <c r="AS277" s="8">
        <f>IF(ISNUMBER(AR277),IF(AR277&lt;='參數'!$B$18,"加碼候選",IF(AR277&gt;'參數'!$B$19,"減碼候選","")),"")</f>
        <v/>
      </c>
      <c r="AT277" s="7">
        <f>IF(Y277=1,N277,0)</f>
        <v/>
      </c>
      <c r="AU277" s="7">
        <f>IF(Y277=1,LN(O277),0)</f>
        <v/>
      </c>
      <c r="AV277" s="36">
        <f>IF(Y277=1,IF(ISNUMBER(F277),F277,0),0)</f>
        <v/>
      </c>
      <c r="AW277" s="7">
        <f>IF(Y277=1,Z277,0)</f>
        <v/>
      </c>
      <c r="AX277" s="7">
        <f>IF(Y277=1,IF(ISNUMBER(AL277),AL277,0),0)</f>
        <v/>
      </c>
      <c r="AY277" s="7">
        <f>IF(Y277=1,IF(ISNUMBER(AL277),1,0),0)</f>
        <v/>
      </c>
      <c r="AZ277" s="7">
        <f>IF(Y277=1,IF(ISNUMBER(AN277),AN277,0),0)</f>
        <v/>
      </c>
      <c r="BA277" s="7">
        <f>IF(Y277=1,IF(ISNUMBER(AN277),1,0),0)</f>
        <v/>
      </c>
      <c r="BB277" s="7">
        <f>IF(Y277=1,IF(ISNUMBER(T277),T277,0),0)</f>
        <v/>
      </c>
      <c r="BC277" s="7">
        <f>IF(Y277=1,IF(ISNUMBER(T277),1,0),0)</f>
        <v/>
      </c>
      <c r="BD277" s="7">
        <f>IF(Y277=1,AQ277+ROW()/1E9,-1E9)</f>
        <v/>
      </c>
      <c r="BE277" s="7">
        <f>IF(Y277=1,AQ277+ROW()/1E9,1E9)</f>
        <v/>
      </c>
    </row>
    <row r="278">
      <c r="A278" s="16" t="n"/>
      <c r="B278" s="8">
        <f>IF($A278="","",BDP($A278,B$3))</f>
        <v/>
      </c>
      <c r="C278" s="8">
        <f>IF($A278="","",BDP($A278,C$3))</f>
        <v/>
      </c>
      <c r="D278" s="28">
        <f>IF($A278="","",BDP($A278,D$3))</f>
        <v/>
      </c>
      <c r="E278" s="29">
        <f>IF($A278="","",BDP($A278,E$3))</f>
        <v/>
      </c>
      <c r="F278" s="17">
        <f>IF($A278="","",BDP($A278,F$3))</f>
        <v/>
      </c>
      <c r="G278" s="8">
        <f>IF($A278="","",BDP($A278,G$3))</f>
        <v/>
      </c>
      <c r="H278" s="8">
        <f>IF($A278="","",BDP($A278,H$3))</f>
        <v/>
      </c>
      <c r="I278" s="8">
        <f>IF($A278="","",BDP($A278,I$3))</f>
        <v/>
      </c>
      <c r="J278" s="8">
        <f>IF($A278="","",BDP($A278,J$3))</f>
        <v/>
      </c>
      <c r="K278" s="8">
        <f>IF($A278="","",BDP($A278,K$3))</f>
        <v/>
      </c>
      <c r="L278" s="28">
        <f>IF($A278="","",BDP($A278,L$3))</f>
        <v/>
      </c>
      <c r="M278" s="28">
        <f>IF($A278="","",BDP($A278,M$3))</f>
        <v/>
      </c>
      <c r="N278" s="30">
        <f>IF($A278="","",BDP($A278,N$3))</f>
        <v/>
      </c>
      <c r="O278" s="31">
        <f>IF($A278="","",BDP($A278,O$3))</f>
        <v/>
      </c>
      <c r="P278" s="30">
        <f>IF($A278="","",BDH($A278,$N$3,'參數'!$B$5,'參數'!$B$5,"Days=A","Fill=P","Dates=H"))</f>
        <v/>
      </c>
      <c r="Q278" s="30">
        <f>IF($A278="","",BDH($A278,$N$3,'參數'!$B$6,'參數'!$B$6,"Days=A","Fill=P","Dates=H"))</f>
        <v/>
      </c>
      <c r="R278" s="30">
        <f>IF($A278="","",BDH($A278,$N$3,'參數'!$B$7,'參數'!$B$7,"Days=A","Fill=P","Dates=H"))</f>
        <v/>
      </c>
      <c r="S278" s="32">
        <f>IF($A278="","",IFERROR(INDEX('發行人'!$A$5:$A$44,MATCH(B278,'發行人'!$D$5:$D$44,0)),"未對應"))</f>
        <v/>
      </c>
      <c r="T278" s="24">
        <f>IF($A278="","",IFERROR(INDEX('發行人'!$G$5:$G$44,MATCH(B278,'發行人'!$D$5:$D$44,0))+0,""))</f>
        <v/>
      </c>
      <c r="U278" s="18">
        <f>IF(ISNUMBER(E278),YEARFRAC('參數'!$B$4,E278),"")</f>
        <v/>
      </c>
      <c r="V278" s="8">
        <f>IF(U278="","",IF(U278&lt;3,"1-3y",IF(U278&lt;5,"3-5y",IF(U278&lt;7,"5-7y",IF(U278&lt;10,"7-10y","10y+")))))</f>
        <v/>
      </c>
      <c r="W278" s="30">
        <f>IF($A278="","",IFERROR(INDEX('參數'!$B$24:$B$45,MATCH(G278,'參數'!$A$24:$A$45,0)),""))</f>
        <v/>
      </c>
      <c r="X278" s="8">
        <f>IF($A278="","",IFERROR(INDEX('參數'!$C$24:$C$45,MATCH(G278,'參數'!$A$24:$A$45,0)),""))</f>
        <v/>
      </c>
      <c r="Y278" s="30">
        <f>IF(AND(ISNUMBER(N278),ISNUMBER(O278),ISNUMBER(U278)),IF(AND(O278&gt;0,X278&lt;&gt;""),1,0),0)</f>
        <v/>
      </c>
      <c r="Z278" s="17">
        <f>IF(Y278=1,O278*N278,"")</f>
        <v/>
      </c>
      <c r="AA278" s="33">
        <f>IF(Y278=1,IF(ISNUMBER(Q278),N278-Q278,""),"")</f>
        <v/>
      </c>
      <c r="AB278" s="33">
        <f>IF(Y278=1,IF(AND(ISNUMBER(P278),ISNUMBER(R278)),R278*5/12-O278*(P278-R278),""),"")</f>
        <v/>
      </c>
      <c r="AC278" s="30">
        <f>IF(Y278=1,COUNTIFS($X$5:$X$404,X278,$V$5:$V$404,V278,$Y$5:$Y$404,1),"")</f>
        <v/>
      </c>
      <c r="AD278" s="30">
        <f>IF(Y278=1,IFERROR(IF(AC278&gt;='參數'!$B$9,INDEX('分群統計'!$G$13:$K$16,MATCH(X278,'分群統計'!$A$13:$A$16,0),MATCH(V278,'分群統計'!$G$12:$K$12,0)),INDEX('分群統計'!$I$5:$I$8,MATCH(X278,'分群統計'!$A$5:$A$8,0))),""),"")</f>
        <v/>
      </c>
      <c r="AE278" s="18">
        <f>IF(Y278=1,IFERROR(IF(AC278&gt;='參數'!$B$9,INDEX('分群統計'!$L$13:$P$16,MATCH(X278,'分群統計'!$A$13:$A$16,0),MATCH(V278,'分群統計'!$L$12:$P$12,0)),INDEX('分群統計'!$J$5:$J$8,MATCH(X278,'分群統計'!$A$5:$A$8,0))),""),"")</f>
        <v/>
      </c>
      <c r="AF278" s="31">
        <f>IF(ISNUMBER(AE278),IF(AE278&gt;0,MAX(-3,MIN(3,(N278-AD278)/AE278)),0),"")</f>
        <v/>
      </c>
      <c r="AG278" s="30">
        <f>IF(Y278=1,COUNTIFS($B$5:$B$404,B278,$Y$5:$Y$404,1),"")</f>
        <v/>
      </c>
      <c r="AH278" s="30">
        <f>IF(Y278=1,IFERROR(IF(ISNUMBER(INDEX('分群統計'!$G$20:$G$59,MATCH(B278,'分群統計'!$A$20:$A$59,0))),INDEX('分群統計'!$H$20:$H$59,MATCH(B278,'分群統計'!$A$20:$A$59,0))+INDEX('分群統計'!$G$20:$G$59,MATCH(B278,'分群統計'!$A$20:$A$59,0))*AU278,""),""),"")</f>
        <v/>
      </c>
      <c r="AI278" s="34">
        <f>IF(ISNUMBER(AH278),N278-AH278,"")</f>
        <v/>
      </c>
      <c r="AJ278" s="30">
        <f>IF(Y278=1,IFERROR(IF(ISNUMBER(INDEX('分群統計'!$G$5:$G$8,MATCH(X278,'分群統計'!$A$5:$A$8,0))),INDEX('分群統計'!$H$5:$H$8,MATCH(X278,'分群統計'!$A$5:$A$8,0))+INDEX('分群統計'!$G$5:$G$8,MATCH(X278,'分群統計'!$A$5:$A$8,0))*AU278,""),""),"")</f>
        <v/>
      </c>
      <c r="AK278" s="34">
        <f>IF(ISNUMBER(AJ278),N278-AJ278,"")</f>
        <v/>
      </c>
      <c r="AL278" s="21">
        <f>IF(ISNUMBER(AJ278),IF(AJ278&gt;0,AK278/AJ278,""),"")</f>
        <v/>
      </c>
      <c r="AM278" s="31">
        <f>IF(AY278&lt;&gt;1,"",IFERROR(IF(INDEX('分群統計'!$K$5:$K$8,MATCH(X278,'分群統計'!$A$5:$A$8,0))&lt;3,"",IF(INDEX('分群統計'!$M$5:$M$8,MATCH(X278,'分群統計'!$A$5:$A$8,0))&gt;0,MAX(-3,MIN(3,(AX278-INDEX('分群統計'!$L$5:$L$8,MATCH(X278,'分群統計'!$A$5:$A$8,0)))/INDEX('分群統計'!$M$5:$M$8,MATCH(X278,'分群統計'!$A$5:$A$8,0)))),0)),""))</f>
        <v/>
      </c>
      <c r="AN278" s="31">
        <f>IF(ISNUMBER(AB278),IF(Z278&gt;0,AB278/Z278*100,""),"")</f>
        <v/>
      </c>
      <c r="AO278" s="31">
        <f>IF(BA278&lt;&gt;1,"",IFERROR(IF(INDEX('分群統計'!$N$5:$N$8,MATCH(X278,'分群統計'!$A$5:$A$8,0))&lt;3,"",IF(INDEX('分群統計'!$P$5:$P$8,MATCH(X278,'分群統計'!$A$5:$A$8,0))&gt;0,MAX(-3,MIN(3,(AZ278-INDEX('分群統計'!$O$5:$O$8,MATCH(X278,'分群統計'!$A$5:$A$8,0)))/INDEX('分群統計'!$P$5:$P$8,MATCH(X278,'分群統計'!$A$5:$A$8,0)))),0)),""))</f>
        <v/>
      </c>
      <c r="AP278" s="31">
        <f>IF(BC278&lt;&gt;1,"",IFERROR(IF(INDEX('分群統計'!$Q$5:$Q$8,MATCH(X278,'分群統計'!$A$5:$A$8,0))&lt;3,"",IF(INDEX('分群統計'!$S$5:$S$8,MATCH(X278,'分群統計'!$A$5:$A$8,0))&gt;0,MAX(-3,MIN(3,(BB278-INDEX('分群統計'!$R$5:$R$8,MATCH(X278,'分群統計'!$A$5:$A$8,0)))/INDEX('分群統計'!$S$5:$S$8,MATCH(X278,'分群統計'!$A$5:$A$8,0)))),0)),""))</f>
        <v/>
      </c>
      <c r="AQ278" s="31">
        <f>IF(Y278=1,(IF(ISNUMBER(AF278),AF278,0)*'參數'!$B$13+IF(ISNUMBER(AM278),AM278,0)*'參數'!$B$14+IF(ISNUMBER(AO278),AO278,0)*'參數'!$B$15+IF(ISNUMBER(AP278),AP278,0)*'參數'!$B$16)/('參數'!$B$13+'參數'!$B$14+'參數'!$B$15+'參數'!$B$16),"")</f>
        <v/>
      </c>
      <c r="AR278" s="35">
        <f>IF(Y278=1,(SUMPRODUCT(($X$5:$X$404=X278)*($Y$5:$Y$404=1)*($BD$5:$BD$404&gt;BD278))+1)/COUNTIFS($X$5:$X$404,X278,$Y$5:$Y$404,1),"")</f>
        <v/>
      </c>
      <c r="AS278" s="8">
        <f>IF(ISNUMBER(AR278),IF(AR278&lt;='參數'!$B$18,"加碼候選",IF(AR278&gt;'參數'!$B$19,"減碼候選","")),"")</f>
        <v/>
      </c>
      <c r="AT278" s="7">
        <f>IF(Y278=1,N278,0)</f>
        <v/>
      </c>
      <c r="AU278" s="7">
        <f>IF(Y278=1,LN(O278),0)</f>
        <v/>
      </c>
      <c r="AV278" s="36">
        <f>IF(Y278=1,IF(ISNUMBER(F278),F278,0),0)</f>
        <v/>
      </c>
      <c r="AW278" s="7">
        <f>IF(Y278=1,Z278,0)</f>
        <v/>
      </c>
      <c r="AX278" s="7">
        <f>IF(Y278=1,IF(ISNUMBER(AL278),AL278,0),0)</f>
        <v/>
      </c>
      <c r="AY278" s="7">
        <f>IF(Y278=1,IF(ISNUMBER(AL278),1,0),0)</f>
        <v/>
      </c>
      <c r="AZ278" s="7">
        <f>IF(Y278=1,IF(ISNUMBER(AN278),AN278,0),0)</f>
        <v/>
      </c>
      <c r="BA278" s="7">
        <f>IF(Y278=1,IF(ISNUMBER(AN278),1,0),0)</f>
        <v/>
      </c>
      <c r="BB278" s="7">
        <f>IF(Y278=1,IF(ISNUMBER(T278),T278,0),0)</f>
        <v/>
      </c>
      <c r="BC278" s="7">
        <f>IF(Y278=1,IF(ISNUMBER(T278),1,0),0)</f>
        <v/>
      </c>
      <c r="BD278" s="7">
        <f>IF(Y278=1,AQ278+ROW()/1E9,-1E9)</f>
        <v/>
      </c>
      <c r="BE278" s="7">
        <f>IF(Y278=1,AQ278+ROW()/1E9,1E9)</f>
        <v/>
      </c>
    </row>
    <row r="279">
      <c r="A279" s="16" t="n"/>
      <c r="B279" s="8">
        <f>IF($A279="","",BDP($A279,B$3))</f>
        <v/>
      </c>
      <c r="C279" s="8">
        <f>IF($A279="","",BDP($A279,C$3))</f>
        <v/>
      </c>
      <c r="D279" s="28">
        <f>IF($A279="","",BDP($A279,D$3))</f>
        <v/>
      </c>
      <c r="E279" s="29">
        <f>IF($A279="","",BDP($A279,E$3))</f>
        <v/>
      </c>
      <c r="F279" s="17">
        <f>IF($A279="","",BDP($A279,F$3))</f>
        <v/>
      </c>
      <c r="G279" s="8">
        <f>IF($A279="","",BDP($A279,G$3))</f>
        <v/>
      </c>
      <c r="H279" s="8">
        <f>IF($A279="","",BDP($A279,H$3))</f>
        <v/>
      </c>
      <c r="I279" s="8">
        <f>IF($A279="","",BDP($A279,I$3))</f>
        <v/>
      </c>
      <c r="J279" s="8">
        <f>IF($A279="","",BDP($A279,J$3))</f>
        <v/>
      </c>
      <c r="K279" s="8">
        <f>IF($A279="","",BDP($A279,K$3))</f>
        <v/>
      </c>
      <c r="L279" s="28">
        <f>IF($A279="","",BDP($A279,L$3))</f>
        <v/>
      </c>
      <c r="M279" s="28">
        <f>IF($A279="","",BDP($A279,M$3))</f>
        <v/>
      </c>
      <c r="N279" s="30">
        <f>IF($A279="","",BDP($A279,N$3))</f>
        <v/>
      </c>
      <c r="O279" s="31">
        <f>IF($A279="","",BDP($A279,O$3))</f>
        <v/>
      </c>
      <c r="P279" s="30">
        <f>IF($A279="","",BDH($A279,$N$3,'參數'!$B$5,'參數'!$B$5,"Days=A","Fill=P","Dates=H"))</f>
        <v/>
      </c>
      <c r="Q279" s="30">
        <f>IF($A279="","",BDH($A279,$N$3,'參數'!$B$6,'參數'!$B$6,"Days=A","Fill=P","Dates=H"))</f>
        <v/>
      </c>
      <c r="R279" s="30">
        <f>IF($A279="","",BDH($A279,$N$3,'參數'!$B$7,'參數'!$B$7,"Days=A","Fill=P","Dates=H"))</f>
        <v/>
      </c>
      <c r="S279" s="32">
        <f>IF($A279="","",IFERROR(INDEX('發行人'!$A$5:$A$44,MATCH(B279,'發行人'!$D$5:$D$44,0)),"未對應"))</f>
        <v/>
      </c>
      <c r="T279" s="24">
        <f>IF($A279="","",IFERROR(INDEX('發行人'!$G$5:$G$44,MATCH(B279,'發行人'!$D$5:$D$44,0))+0,""))</f>
        <v/>
      </c>
      <c r="U279" s="18">
        <f>IF(ISNUMBER(E279),YEARFRAC('參數'!$B$4,E279),"")</f>
        <v/>
      </c>
      <c r="V279" s="8">
        <f>IF(U279="","",IF(U279&lt;3,"1-3y",IF(U279&lt;5,"3-5y",IF(U279&lt;7,"5-7y",IF(U279&lt;10,"7-10y","10y+")))))</f>
        <v/>
      </c>
      <c r="W279" s="30">
        <f>IF($A279="","",IFERROR(INDEX('參數'!$B$24:$B$45,MATCH(G279,'參數'!$A$24:$A$45,0)),""))</f>
        <v/>
      </c>
      <c r="X279" s="8">
        <f>IF($A279="","",IFERROR(INDEX('參數'!$C$24:$C$45,MATCH(G279,'參數'!$A$24:$A$45,0)),""))</f>
        <v/>
      </c>
      <c r="Y279" s="30">
        <f>IF(AND(ISNUMBER(N279),ISNUMBER(O279),ISNUMBER(U279)),IF(AND(O279&gt;0,X279&lt;&gt;""),1,0),0)</f>
        <v/>
      </c>
      <c r="Z279" s="17">
        <f>IF(Y279=1,O279*N279,"")</f>
        <v/>
      </c>
      <c r="AA279" s="33">
        <f>IF(Y279=1,IF(ISNUMBER(Q279),N279-Q279,""),"")</f>
        <v/>
      </c>
      <c r="AB279" s="33">
        <f>IF(Y279=1,IF(AND(ISNUMBER(P279),ISNUMBER(R279)),R279*5/12-O279*(P279-R279),""),"")</f>
        <v/>
      </c>
      <c r="AC279" s="30">
        <f>IF(Y279=1,COUNTIFS($X$5:$X$404,X279,$V$5:$V$404,V279,$Y$5:$Y$404,1),"")</f>
        <v/>
      </c>
      <c r="AD279" s="30">
        <f>IF(Y279=1,IFERROR(IF(AC279&gt;='參數'!$B$9,INDEX('分群統計'!$G$13:$K$16,MATCH(X279,'分群統計'!$A$13:$A$16,0),MATCH(V279,'分群統計'!$G$12:$K$12,0)),INDEX('分群統計'!$I$5:$I$8,MATCH(X279,'分群統計'!$A$5:$A$8,0))),""),"")</f>
        <v/>
      </c>
      <c r="AE279" s="18">
        <f>IF(Y279=1,IFERROR(IF(AC279&gt;='參數'!$B$9,INDEX('分群統計'!$L$13:$P$16,MATCH(X279,'分群統計'!$A$13:$A$16,0),MATCH(V279,'分群統計'!$L$12:$P$12,0)),INDEX('分群統計'!$J$5:$J$8,MATCH(X279,'分群統計'!$A$5:$A$8,0))),""),"")</f>
        <v/>
      </c>
      <c r="AF279" s="31">
        <f>IF(ISNUMBER(AE279),IF(AE279&gt;0,MAX(-3,MIN(3,(N279-AD279)/AE279)),0),"")</f>
        <v/>
      </c>
      <c r="AG279" s="30">
        <f>IF(Y279=1,COUNTIFS($B$5:$B$404,B279,$Y$5:$Y$404,1),"")</f>
        <v/>
      </c>
      <c r="AH279" s="30">
        <f>IF(Y279=1,IFERROR(IF(ISNUMBER(INDEX('分群統計'!$G$20:$G$59,MATCH(B279,'分群統計'!$A$20:$A$59,0))),INDEX('分群統計'!$H$20:$H$59,MATCH(B279,'分群統計'!$A$20:$A$59,0))+INDEX('分群統計'!$G$20:$G$59,MATCH(B279,'分群統計'!$A$20:$A$59,0))*AU279,""),""),"")</f>
        <v/>
      </c>
      <c r="AI279" s="34">
        <f>IF(ISNUMBER(AH279),N279-AH279,"")</f>
        <v/>
      </c>
      <c r="AJ279" s="30">
        <f>IF(Y279=1,IFERROR(IF(ISNUMBER(INDEX('分群統計'!$G$5:$G$8,MATCH(X279,'分群統計'!$A$5:$A$8,0))),INDEX('分群統計'!$H$5:$H$8,MATCH(X279,'分群統計'!$A$5:$A$8,0))+INDEX('分群統計'!$G$5:$G$8,MATCH(X279,'分群統計'!$A$5:$A$8,0))*AU279,""),""),"")</f>
        <v/>
      </c>
      <c r="AK279" s="34">
        <f>IF(ISNUMBER(AJ279),N279-AJ279,"")</f>
        <v/>
      </c>
      <c r="AL279" s="21">
        <f>IF(ISNUMBER(AJ279),IF(AJ279&gt;0,AK279/AJ279,""),"")</f>
        <v/>
      </c>
      <c r="AM279" s="31">
        <f>IF(AY279&lt;&gt;1,"",IFERROR(IF(INDEX('分群統計'!$K$5:$K$8,MATCH(X279,'分群統計'!$A$5:$A$8,0))&lt;3,"",IF(INDEX('分群統計'!$M$5:$M$8,MATCH(X279,'分群統計'!$A$5:$A$8,0))&gt;0,MAX(-3,MIN(3,(AX279-INDEX('分群統計'!$L$5:$L$8,MATCH(X279,'分群統計'!$A$5:$A$8,0)))/INDEX('分群統計'!$M$5:$M$8,MATCH(X279,'分群統計'!$A$5:$A$8,0)))),0)),""))</f>
        <v/>
      </c>
      <c r="AN279" s="31">
        <f>IF(ISNUMBER(AB279),IF(Z279&gt;0,AB279/Z279*100,""),"")</f>
        <v/>
      </c>
      <c r="AO279" s="31">
        <f>IF(BA279&lt;&gt;1,"",IFERROR(IF(INDEX('分群統計'!$N$5:$N$8,MATCH(X279,'分群統計'!$A$5:$A$8,0))&lt;3,"",IF(INDEX('分群統計'!$P$5:$P$8,MATCH(X279,'分群統計'!$A$5:$A$8,0))&gt;0,MAX(-3,MIN(3,(AZ279-INDEX('分群統計'!$O$5:$O$8,MATCH(X279,'分群統計'!$A$5:$A$8,0)))/INDEX('分群統計'!$P$5:$P$8,MATCH(X279,'分群統計'!$A$5:$A$8,0)))),0)),""))</f>
        <v/>
      </c>
      <c r="AP279" s="31">
        <f>IF(BC279&lt;&gt;1,"",IFERROR(IF(INDEX('分群統計'!$Q$5:$Q$8,MATCH(X279,'分群統計'!$A$5:$A$8,0))&lt;3,"",IF(INDEX('分群統計'!$S$5:$S$8,MATCH(X279,'分群統計'!$A$5:$A$8,0))&gt;0,MAX(-3,MIN(3,(BB279-INDEX('分群統計'!$R$5:$R$8,MATCH(X279,'分群統計'!$A$5:$A$8,0)))/INDEX('分群統計'!$S$5:$S$8,MATCH(X279,'分群統計'!$A$5:$A$8,0)))),0)),""))</f>
        <v/>
      </c>
      <c r="AQ279" s="31">
        <f>IF(Y279=1,(IF(ISNUMBER(AF279),AF279,0)*'參數'!$B$13+IF(ISNUMBER(AM279),AM279,0)*'參數'!$B$14+IF(ISNUMBER(AO279),AO279,0)*'參數'!$B$15+IF(ISNUMBER(AP279),AP279,0)*'參數'!$B$16)/('參數'!$B$13+'參數'!$B$14+'參數'!$B$15+'參數'!$B$16),"")</f>
        <v/>
      </c>
      <c r="AR279" s="35">
        <f>IF(Y279=1,(SUMPRODUCT(($X$5:$X$404=X279)*($Y$5:$Y$404=1)*($BD$5:$BD$404&gt;BD279))+1)/COUNTIFS($X$5:$X$404,X279,$Y$5:$Y$404,1),"")</f>
        <v/>
      </c>
      <c r="AS279" s="8">
        <f>IF(ISNUMBER(AR279),IF(AR279&lt;='參數'!$B$18,"加碼候選",IF(AR279&gt;'參數'!$B$19,"減碼候選","")),"")</f>
        <v/>
      </c>
      <c r="AT279" s="7">
        <f>IF(Y279=1,N279,0)</f>
        <v/>
      </c>
      <c r="AU279" s="7">
        <f>IF(Y279=1,LN(O279),0)</f>
        <v/>
      </c>
      <c r="AV279" s="36">
        <f>IF(Y279=1,IF(ISNUMBER(F279),F279,0),0)</f>
        <v/>
      </c>
      <c r="AW279" s="7">
        <f>IF(Y279=1,Z279,0)</f>
        <v/>
      </c>
      <c r="AX279" s="7">
        <f>IF(Y279=1,IF(ISNUMBER(AL279),AL279,0),0)</f>
        <v/>
      </c>
      <c r="AY279" s="7">
        <f>IF(Y279=1,IF(ISNUMBER(AL279),1,0),0)</f>
        <v/>
      </c>
      <c r="AZ279" s="7">
        <f>IF(Y279=1,IF(ISNUMBER(AN279),AN279,0),0)</f>
        <v/>
      </c>
      <c r="BA279" s="7">
        <f>IF(Y279=1,IF(ISNUMBER(AN279),1,0),0)</f>
        <v/>
      </c>
      <c r="BB279" s="7">
        <f>IF(Y279=1,IF(ISNUMBER(T279),T279,0),0)</f>
        <v/>
      </c>
      <c r="BC279" s="7">
        <f>IF(Y279=1,IF(ISNUMBER(T279),1,0),0)</f>
        <v/>
      </c>
      <c r="BD279" s="7">
        <f>IF(Y279=1,AQ279+ROW()/1E9,-1E9)</f>
        <v/>
      </c>
      <c r="BE279" s="7">
        <f>IF(Y279=1,AQ279+ROW()/1E9,1E9)</f>
        <v/>
      </c>
    </row>
    <row r="280">
      <c r="A280" s="16" t="n"/>
      <c r="B280" s="8">
        <f>IF($A280="","",BDP($A280,B$3))</f>
        <v/>
      </c>
      <c r="C280" s="8">
        <f>IF($A280="","",BDP($A280,C$3))</f>
        <v/>
      </c>
      <c r="D280" s="28">
        <f>IF($A280="","",BDP($A280,D$3))</f>
        <v/>
      </c>
      <c r="E280" s="29">
        <f>IF($A280="","",BDP($A280,E$3))</f>
        <v/>
      </c>
      <c r="F280" s="17">
        <f>IF($A280="","",BDP($A280,F$3))</f>
        <v/>
      </c>
      <c r="G280" s="8">
        <f>IF($A280="","",BDP($A280,G$3))</f>
        <v/>
      </c>
      <c r="H280" s="8">
        <f>IF($A280="","",BDP($A280,H$3))</f>
        <v/>
      </c>
      <c r="I280" s="8">
        <f>IF($A280="","",BDP($A280,I$3))</f>
        <v/>
      </c>
      <c r="J280" s="8">
        <f>IF($A280="","",BDP($A280,J$3))</f>
        <v/>
      </c>
      <c r="K280" s="8">
        <f>IF($A280="","",BDP($A280,K$3))</f>
        <v/>
      </c>
      <c r="L280" s="28">
        <f>IF($A280="","",BDP($A280,L$3))</f>
        <v/>
      </c>
      <c r="M280" s="28">
        <f>IF($A280="","",BDP($A280,M$3))</f>
        <v/>
      </c>
      <c r="N280" s="30">
        <f>IF($A280="","",BDP($A280,N$3))</f>
        <v/>
      </c>
      <c r="O280" s="31">
        <f>IF($A280="","",BDP($A280,O$3))</f>
        <v/>
      </c>
      <c r="P280" s="30">
        <f>IF($A280="","",BDH($A280,$N$3,'參數'!$B$5,'參數'!$B$5,"Days=A","Fill=P","Dates=H"))</f>
        <v/>
      </c>
      <c r="Q280" s="30">
        <f>IF($A280="","",BDH($A280,$N$3,'參數'!$B$6,'參數'!$B$6,"Days=A","Fill=P","Dates=H"))</f>
        <v/>
      </c>
      <c r="R280" s="30">
        <f>IF($A280="","",BDH($A280,$N$3,'參數'!$B$7,'參數'!$B$7,"Days=A","Fill=P","Dates=H"))</f>
        <v/>
      </c>
      <c r="S280" s="32">
        <f>IF($A280="","",IFERROR(INDEX('發行人'!$A$5:$A$44,MATCH(B280,'發行人'!$D$5:$D$44,0)),"未對應"))</f>
        <v/>
      </c>
      <c r="T280" s="24">
        <f>IF($A280="","",IFERROR(INDEX('發行人'!$G$5:$G$44,MATCH(B280,'發行人'!$D$5:$D$44,0))+0,""))</f>
        <v/>
      </c>
      <c r="U280" s="18">
        <f>IF(ISNUMBER(E280),YEARFRAC('參數'!$B$4,E280),"")</f>
        <v/>
      </c>
      <c r="V280" s="8">
        <f>IF(U280="","",IF(U280&lt;3,"1-3y",IF(U280&lt;5,"3-5y",IF(U280&lt;7,"5-7y",IF(U280&lt;10,"7-10y","10y+")))))</f>
        <v/>
      </c>
      <c r="W280" s="30">
        <f>IF($A280="","",IFERROR(INDEX('參數'!$B$24:$B$45,MATCH(G280,'參數'!$A$24:$A$45,0)),""))</f>
        <v/>
      </c>
      <c r="X280" s="8">
        <f>IF($A280="","",IFERROR(INDEX('參數'!$C$24:$C$45,MATCH(G280,'參數'!$A$24:$A$45,0)),""))</f>
        <v/>
      </c>
      <c r="Y280" s="30">
        <f>IF(AND(ISNUMBER(N280),ISNUMBER(O280),ISNUMBER(U280)),IF(AND(O280&gt;0,X280&lt;&gt;""),1,0),0)</f>
        <v/>
      </c>
      <c r="Z280" s="17">
        <f>IF(Y280=1,O280*N280,"")</f>
        <v/>
      </c>
      <c r="AA280" s="33">
        <f>IF(Y280=1,IF(ISNUMBER(Q280),N280-Q280,""),"")</f>
        <v/>
      </c>
      <c r="AB280" s="33">
        <f>IF(Y280=1,IF(AND(ISNUMBER(P280),ISNUMBER(R280)),R280*5/12-O280*(P280-R280),""),"")</f>
        <v/>
      </c>
      <c r="AC280" s="30">
        <f>IF(Y280=1,COUNTIFS($X$5:$X$404,X280,$V$5:$V$404,V280,$Y$5:$Y$404,1),"")</f>
        <v/>
      </c>
      <c r="AD280" s="30">
        <f>IF(Y280=1,IFERROR(IF(AC280&gt;='參數'!$B$9,INDEX('分群統計'!$G$13:$K$16,MATCH(X280,'分群統計'!$A$13:$A$16,0),MATCH(V280,'分群統計'!$G$12:$K$12,0)),INDEX('分群統計'!$I$5:$I$8,MATCH(X280,'分群統計'!$A$5:$A$8,0))),""),"")</f>
        <v/>
      </c>
      <c r="AE280" s="18">
        <f>IF(Y280=1,IFERROR(IF(AC280&gt;='參數'!$B$9,INDEX('分群統計'!$L$13:$P$16,MATCH(X280,'分群統計'!$A$13:$A$16,0),MATCH(V280,'分群統計'!$L$12:$P$12,0)),INDEX('分群統計'!$J$5:$J$8,MATCH(X280,'分群統計'!$A$5:$A$8,0))),""),"")</f>
        <v/>
      </c>
      <c r="AF280" s="31">
        <f>IF(ISNUMBER(AE280),IF(AE280&gt;0,MAX(-3,MIN(3,(N280-AD280)/AE280)),0),"")</f>
        <v/>
      </c>
      <c r="AG280" s="30">
        <f>IF(Y280=1,COUNTIFS($B$5:$B$404,B280,$Y$5:$Y$404,1),"")</f>
        <v/>
      </c>
      <c r="AH280" s="30">
        <f>IF(Y280=1,IFERROR(IF(ISNUMBER(INDEX('分群統計'!$G$20:$G$59,MATCH(B280,'分群統計'!$A$20:$A$59,0))),INDEX('分群統計'!$H$20:$H$59,MATCH(B280,'分群統計'!$A$20:$A$59,0))+INDEX('分群統計'!$G$20:$G$59,MATCH(B280,'分群統計'!$A$20:$A$59,0))*AU280,""),""),"")</f>
        <v/>
      </c>
      <c r="AI280" s="34">
        <f>IF(ISNUMBER(AH280),N280-AH280,"")</f>
        <v/>
      </c>
      <c r="AJ280" s="30">
        <f>IF(Y280=1,IFERROR(IF(ISNUMBER(INDEX('分群統計'!$G$5:$G$8,MATCH(X280,'分群統計'!$A$5:$A$8,0))),INDEX('分群統計'!$H$5:$H$8,MATCH(X280,'分群統計'!$A$5:$A$8,0))+INDEX('分群統計'!$G$5:$G$8,MATCH(X280,'分群統計'!$A$5:$A$8,0))*AU280,""),""),"")</f>
        <v/>
      </c>
      <c r="AK280" s="34">
        <f>IF(ISNUMBER(AJ280),N280-AJ280,"")</f>
        <v/>
      </c>
      <c r="AL280" s="21">
        <f>IF(ISNUMBER(AJ280),IF(AJ280&gt;0,AK280/AJ280,""),"")</f>
        <v/>
      </c>
      <c r="AM280" s="31">
        <f>IF(AY280&lt;&gt;1,"",IFERROR(IF(INDEX('分群統計'!$K$5:$K$8,MATCH(X280,'分群統計'!$A$5:$A$8,0))&lt;3,"",IF(INDEX('分群統計'!$M$5:$M$8,MATCH(X280,'分群統計'!$A$5:$A$8,0))&gt;0,MAX(-3,MIN(3,(AX280-INDEX('分群統計'!$L$5:$L$8,MATCH(X280,'分群統計'!$A$5:$A$8,0)))/INDEX('分群統計'!$M$5:$M$8,MATCH(X280,'分群統計'!$A$5:$A$8,0)))),0)),""))</f>
        <v/>
      </c>
      <c r="AN280" s="31">
        <f>IF(ISNUMBER(AB280),IF(Z280&gt;0,AB280/Z280*100,""),"")</f>
        <v/>
      </c>
      <c r="AO280" s="31">
        <f>IF(BA280&lt;&gt;1,"",IFERROR(IF(INDEX('分群統計'!$N$5:$N$8,MATCH(X280,'分群統計'!$A$5:$A$8,0))&lt;3,"",IF(INDEX('分群統計'!$P$5:$P$8,MATCH(X280,'分群統計'!$A$5:$A$8,0))&gt;0,MAX(-3,MIN(3,(AZ280-INDEX('分群統計'!$O$5:$O$8,MATCH(X280,'分群統計'!$A$5:$A$8,0)))/INDEX('分群統計'!$P$5:$P$8,MATCH(X280,'分群統計'!$A$5:$A$8,0)))),0)),""))</f>
        <v/>
      </c>
      <c r="AP280" s="31">
        <f>IF(BC280&lt;&gt;1,"",IFERROR(IF(INDEX('分群統計'!$Q$5:$Q$8,MATCH(X280,'分群統計'!$A$5:$A$8,0))&lt;3,"",IF(INDEX('分群統計'!$S$5:$S$8,MATCH(X280,'分群統計'!$A$5:$A$8,0))&gt;0,MAX(-3,MIN(3,(BB280-INDEX('分群統計'!$R$5:$R$8,MATCH(X280,'分群統計'!$A$5:$A$8,0)))/INDEX('分群統計'!$S$5:$S$8,MATCH(X280,'分群統計'!$A$5:$A$8,0)))),0)),""))</f>
        <v/>
      </c>
      <c r="AQ280" s="31">
        <f>IF(Y280=1,(IF(ISNUMBER(AF280),AF280,0)*'參數'!$B$13+IF(ISNUMBER(AM280),AM280,0)*'參數'!$B$14+IF(ISNUMBER(AO280),AO280,0)*'參數'!$B$15+IF(ISNUMBER(AP280),AP280,0)*'參數'!$B$16)/('參數'!$B$13+'參數'!$B$14+'參數'!$B$15+'參數'!$B$16),"")</f>
        <v/>
      </c>
      <c r="AR280" s="35">
        <f>IF(Y280=1,(SUMPRODUCT(($X$5:$X$404=X280)*($Y$5:$Y$404=1)*($BD$5:$BD$404&gt;BD280))+1)/COUNTIFS($X$5:$X$404,X280,$Y$5:$Y$404,1),"")</f>
        <v/>
      </c>
      <c r="AS280" s="8">
        <f>IF(ISNUMBER(AR280),IF(AR280&lt;='參數'!$B$18,"加碼候選",IF(AR280&gt;'參數'!$B$19,"減碼候選","")),"")</f>
        <v/>
      </c>
      <c r="AT280" s="7">
        <f>IF(Y280=1,N280,0)</f>
        <v/>
      </c>
      <c r="AU280" s="7">
        <f>IF(Y280=1,LN(O280),0)</f>
        <v/>
      </c>
      <c r="AV280" s="36">
        <f>IF(Y280=1,IF(ISNUMBER(F280),F280,0),0)</f>
        <v/>
      </c>
      <c r="AW280" s="7">
        <f>IF(Y280=1,Z280,0)</f>
        <v/>
      </c>
      <c r="AX280" s="7">
        <f>IF(Y280=1,IF(ISNUMBER(AL280),AL280,0),0)</f>
        <v/>
      </c>
      <c r="AY280" s="7">
        <f>IF(Y280=1,IF(ISNUMBER(AL280),1,0),0)</f>
        <v/>
      </c>
      <c r="AZ280" s="7">
        <f>IF(Y280=1,IF(ISNUMBER(AN280),AN280,0),0)</f>
        <v/>
      </c>
      <c r="BA280" s="7">
        <f>IF(Y280=1,IF(ISNUMBER(AN280),1,0),0)</f>
        <v/>
      </c>
      <c r="BB280" s="7">
        <f>IF(Y280=1,IF(ISNUMBER(T280),T280,0),0)</f>
        <v/>
      </c>
      <c r="BC280" s="7">
        <f>IF(Y280=1,IF(ISNUMBER(T280),1,0),0)</f>
        <v/>
      </c>
      <c r="BD280" s="7">
        <f>IF(Y280=1,AQ280+ROW()/1E9,-1E9)</f>
        <v/>
      </c>
      <c r="BE280" s="7">
        <f>IF(Y280=1,AQ280+ROW()/1E9,1E9)</f>
        <v/>
      </c>
    </row>
    <row r="281">
      <c r="A281" s="16" t="n"/>
      <c r="B281" s="8">
        <f>IF($A281="","",BDP($A281,B$3))</f>
        <v/>
      </c>
      <c r="C281" s="8">
        <f>IF($A281="","",BDP($A281,C$3))</f>
        <v/>
      </c>
      <c r="D281" s="28">
        <f>IF($A281="","",BDP($A281,D$3))</f>
        <v/>
      </c>
      <c r="E281" s="29">
        <f>IF($A281="","",BDP($A281,E$3))</f>
        <v/>
      </c>
      <c r="F281" s="17">
        <f>IF($A281="","",BDP($A281,F$3))</f>
        <v/>
      </c>
      <c r="G281" s="8">
        <f>IF($A281="","",BDP($A281,G$3))</f>
        <v/>
      </c>
      <c r="H281" s="8">
        <f>IF($A281="","",BDP($A281,H$3))</f>
        <v/>
      </c>
      <c r="I281" s="8">
        <f>IF($A281="","",BDP($A281,I$3))</f>
        <v/>
      </c>
      <c r="J281" s="8">
        <f>IF($A281="","",BDP($A281,J$3))</f>
        <v/>
      </c>
      <c r="K281" s="8">
        <f>IF($A281="","",BDP($A281,K$3))</f>
        <v/>
      </c>
      <c r="L281" s="28">
        <f>IF($A281="","",BDP($A281,L$3))</f>
        <v/>
      </c>
      <c r="M281" s="28">
        <f>IF($A281="","",BDP($A281,M$3))</f>
        <v/>
      </c>
      <c r="N281" s="30">
        <f>IF($A281="","",BDP($A281,N$3))</f>
        <v/>
      </c>
      <c r="O281" s="31">
        <f>IF($A281="","",BDP($A281,O$3))</f>
        <v/>
      </c>
      <c r="P281" s="30">
        <f>IF($A281="","",BDH($A281,$N$3,'參數'!$B$5,'參數'!$B$5,"Days=A","Fill=P","Dates=H"))</f>
        <v/>
      </c>
      <c r="Q281" s="30">
        <f>IF($A281="","",BDH($A281,$N$3,'參數'!$B$6,'參數'!$B$6,"Days=A","Fill=P","Dates=H"))</f>
        <v/>
      </c>
      <c r="R281" s="30">
        <f>IF($A281="","",BDH($A281,$N$3,'參數'!$B$7,'參數'!$B$7,"Days=A","Fill=P","Dates=H"))</f>
        <v/>
      </c>
      <c r="S281" s="32">
        <f>IF($A281="","",IFERROR(INDEX('發行人'!$A$5:$A$44,MATCH(B281,'發行人'!$D$5:$D$44,0)),"未對應"))</f>
        <v/>
      </c>
      <c r="T281" s="24">
        <f>IF($A281="","",IFERROR(INDEX('發行人'!$G$5:$G$44,MATCH(B281,'發行人'!$D$5:$D$44,0))+0,""))</f>
        <v/>
      </c>
      <c r="U281" s="18">
        <f>IF(ISNUMBER(E281),YEARFRAC('參數'!$B$4,E281),"")</f>
        <v/>
      </c>
      <c r="V281" s="8">
        <f>IF(U281="","",IF(U281&lt;3,"1-3y",IF(U281&lt;5,"3-5y",IF(U281&lt;7,"5-7y",IF(U281&lt;10,"7-10y","10y+")))))</f>
        <v/>
      </c>
      <c r="W281" s="30">
        <f>IF($A281="","",IFERROR(INDEX('參數'!$B$24:$B$45,MATCH(G281,'參數'!$A$24:$A$45,0)),""))</f>
        <v/>
      </c>
      <c r="X281" s="8">
        <f>IF($A281="","",IFERROR(INDEX('參數'!$C$24:$C$45,MATCH(G281,'參數'!$A$24:$A$45,0)),""))</f>
        <v/>
      </c>
      <c r="Y281" s="30">
        <f>IF(AND(ISNUMBER(N281),ISNUMBER(O281),ISNUMBER(U281)),IF(AND(O281&gt;0,X281&lt;&gt;""),1,0),0)</f>
        <v/>
      </c>
      <c r="Z281" s="17">
        <f>IF(Y281=1,O281*N281,"")</f>
        <v/>
      </c>
      <c r="AA281" s="33">
        <f>IF(Y281=1,IF(ISNUMBER(Q281),N281-Q281,""),"")</f>
        <v/>
      </c>
      <c r="AB281" s="33">
        <f>IF(Y281=1,IF(AND(ISNUMBER(P281),ISNUMBER(R281)),R281*5/12-O281*(P281-R281),""),"")</f>
        <v/>
      </c>
      <c r="AC281" s="30">
        <f>IF(Y281=1,COUNTIFS($X$5:$X$404,X281,$V$5:$V$404,V281,$Y$5:$Y$404,1),"")</f>
        <v/>
      </c>
      <c r="AD281" s="30">
        <f>IF(Y281=1,IFERROR(IF(AC281&gt;='參數'!$B$9,INDEX('分群統計'!$G$13:$K$16,MATCH(X281,'分群統計'!$A$13:$A$16,0),MATCH(V281,'分群統計'!$G$12:$K$12,0)),INDEX('分群統計'!$I$5:$I$8,MATCH(X281,'分群統計'!$A$5:$A$8,0))),""),"")</f>
        <v/>
      </c>
      <c r="AE281" s="18">
        <f>IF(Y281=1,IFERROR(IF(AC281&gt;='參數'!$B$9,INDEX('分群統計'!$L$13:$P$16,MATCH(X281,'分群統計'!$A$13:$A$16,0),MATCH(V281,'分群統計'!$L$12:$P$12,0)),INDEX('分群統計'!$J$5:$J$8,MATCH(X281,'分群統計'!$A$5:$A$8,0))),""),"")</f>
        <v/>
      </c>
      <c r="AF281" s="31">
        <f>IF(ISNUMBER(AE281),IF(AE281&gt;0,MAX(-3,MIN(3,(N281-AD281)/AE281)),0),"")</f>
        <v/>
      </c>
      <c r="AG281" s="30">
        <f>IF(Y281=1,COUNTIFS($B$5:$B$404,B281,$Y$5:$Y$404,1),"")</f>
        <v/>
      </c>
      <c r="AH281" s="30">
        <f>IF(Y281=1,IFERROR(IF(ISNUMBER(INDEX('分群統計'!$G$20:$G$59,MATCH(B281,'分群統計'!$A$20:$A$59,0))),INDEX('分群統計'!$H$20:$H$59,MATCH(B281,'分群統計'!$A$20:$A$59,0))+INDEX('分群統計'!$G$20:$G$59,MATCH(B281,'分群統計'!$A$20:$A$59,0))*AU281,""),""),"")</f>
        <v/>
      </c>
      <c r="AI281" s="34">
        <f>IF(ISNUMBER(AH281),N281-AH281,"")</f>
        <v/>
      </c>
      <c r="AJ281" s="30">
        <f>IF(Y281=1,IFERROR(IF(ISNUMBER(INDEX('分群統計'!$G$5:$G$8,MATCH(X281,'分群統計'!$A$5:$A$8,0))),INDEX('分群統計'!$H$5:$H$8,MATCH(X281,'分群統計'!$A$5:$A$8,0))+INDEX('分群統計'!$G$5:$G$8,MATCH(X281,'分群統計'!$A$5:$A$8,0))*AU281,""),""),"")</f>
        <v/>
      </c>
      <c r="AK281" s="34">
        <f>IF(ISNUMBER(AJ281),N281-AJ281,"")</f>
        <v/>
      </c>
      <c r="AL281" s="21">
        <f>IF(ISNUMBER(AJ281),IF(AJ281&gt;0,AK281/AJ281,""),"")</f>
        <v/>
      </c>
      <c r="AM281" s="31">
        <f>IF(AY281&lt;&gt;1,"",IFERROR(IF(INDEX('分群統計'!$K$5:$K$8,MATCH(X281,'分群統計'!$A$5:$A$8,0))&lt;3,"",IF(INDEX('分群統計'!$M$5:$M$8,MATCH(X281,'分群統計'!$A$5:$A$8,0))&gt;0,MAX(-3,MIN(3,(AX281-INDEX('分群統計'!$L$5:$L$8,MATCH(X281,'分群統計'!$A$5:$A$8,0)))/INDEX('分群統計'!$M$5:$M$8,MATCH(X281,'分群統計'!$A$5:$A$8,0)))),0)),""))</f>
        <v/>
      </c>
      <c r="AN281" s="31">
        <f>IF(ISNUMBER(AB281),IF(Z281&gt;0,AB281/Z281*100,""),"")</f>
        <v/>
      </c>
      <c r="AO281" s="31">
        <f>IF(BA281&lt;&gt;1,"",IFERROR(IF(INDEX('分群統計'!$N$5:$N$8,MATCH(X281,'分群統計'!$A$5:$A$8,0))&lt;3,"",IF(INDEX('分群統計'!$P$5:$P$8,MATCH(X281,'分群統計'!$A$5:$A$8,0))&gt;0,MAX(-3,MIN(3,(AZ281-INDEX('分群統計'!$O$5:$O$8,MATCH(X281,'分群統計'!$A$5:$A$8,0)))/INDEX('分群統計'!$P$5:$P$8,MATCH(X281,'分群統計'!$A$5:$A$8,0)))),0)),""))</f>
        <v/>
      </c>
      <c r="AP281" s="31">
        <f>IF(BC281&lt;&gt;1,"",IFERROR(IF(INDEX('分群統計'!$Q$5:$Q$8,MATCH(X281,'分群統計'!$A$5:$A$8,0))&lt;3,"",IF(INDEX('分群統計'!$S$5:$S$8,MATCH(X281,'分群統計'!$A$5:$A$8,0))&gt;0,MAX(-3,MIN(3,(BB281-INDEX('分群統計'!$R$5:$R$8,MATCH(X281,'分群統計'!$A$5:$A$8,0)))/INDEX('分群統計'!$S$5:$S$8,MATCH(X281,'分群統計'!$A$5:$A$8,0)))),0)),""))</f>
        <v/>
      </c>
      <c r="AQ281" s="31">
        <f>IF(Y281=1,(IF(ISNUMBER(AF281),AF281,0)*'參數'!$B$13+IF(ISNUMBER(AM281),AM281,0)*'參數'!$B$14+IF(ISNUMBER(AO281),AO281,0)*'參數'!$B$15+IF(ISNUMBER(AP281),AP281,0)*'參數'!$B$16)/('參數'!$B$13+'參數'!$B$14+'參數'!$B$15+'參數'!$B$16),"")</f>
        <v/>
      </c>
      <c r="AR281" s="35">
        <f>IF(Y281=1,(SUMPRODUCT(($X$5:$X$404=X281)*($Y$5:$Y$404=1)*($BD$5:$BD$404&gt;BD281))+1)/COUNTIFS($X$5:$X$404,X281,$Y$5:$Y$404,1),"")</f>
        <v/>
      </c>
      <c r="AS281" s="8">
        <f>IF(ISNUMBER(AR281),IF(AR281&lt;='參數'!$B$18,"加碼候選",IF(AR281&gt;'參數'!$B$19,"減碼候選","")),"")</f>
        <v/>
      </c>
      <c r="AT281" s="7">
        <f>IF(Y281=1,N281,0)</f>
        <v/>
      </c>
      <c r="AU281" s="7">
        <f>IF(Y281=1,LN(O281),0)</f>
        <v/>
      </c>
      <c r="AV281" s="36">
        <f>IF(Y281=1,IF(ISNUMBER(F281),F281,0),0)</f>
        <v/>
      </c>
      <c r="AW281" s="7">
        <f>IF(Y281=1,Z281,0)</f>
        <v/>
      </c>
      <c r="AX281" s="7">
        <f>IF(Y281=1,IF(ISNUMBER(AL281),AL281,0),0)</f>
        <v/>
      </c>
      <c r="AY281" s="7">
        <f>IF(Y281=1,IF(ISNUMBER(AL281),1,0),0)</f>
        <v/>
      </c>
      <c r="AZ281" s="7">
        <f>IF(Y281=1,IF(ISNUMBER(AN281),AN281,0),0)</f>
        <v/>
      </c>
      <c r="BA281" s="7">
        <f>IF(Y281=1,IF(ISNUMBER(AN281),1,0),0)</f>
        <v/>
      </c>
      <c r="BB281" s="7">
        <f>IF(Y281=1,IF(ISNUMBER(T281),T281,0),0)</f>
        <v/>
      </c>
      <c r="BC281" s="7">
        <f>IF(Y281=1,IF(ISNUMBER(T281),1,0),0)</f>
        <v/>
      </c>
      <c r="BD281" s="7">
        <f>IF(Y281=1,AQ281+ROW()/1E9,-1E9)</f>
        <v/>
      </c>
      <c r="BE281" s="7">
        <f>IF(Y281=1,AQ281+ROW()/1E9,1E9)</f>
        <v/>
      </c>
    </row>
    <row r="282">
      <c r="A282" s="16" t="n"/>
      <c r="B282" s="8">
        <f>IF($A282="","",BDP($A282,B$3))</f>
        <v/>
      </c>
      <c r="C282" s="8">
        <f>IF($A282="","",BDP($A282,C$3))</f>
        <v/>
      </c>
      <c r="D282" s="28">
        <f>IF($A282="","",BDP($A282,D$3))</f>
        <v/>
      </c>
      <c r="E282" s="29">
        <f>IF($A282="","",BDP($A282,E$3))</f>
        <v/>
      </c>
      <c r="F282" s="17">
        <f>IF($A282="","",BDP($A282,F$3))</f>
        <v/>
      </c>
      <c r="G282" s="8">
        <f>IF($A282="","",BDP($A282,G$3))</f>
        <v/>
      </c>
      <c r="H282" s="8">
        <f>IF($A282="","",BDP($A282,H$3))</f>
        <v/>
      </c>
      <c r="I282" s="8">
        <f>IF($A282="","",BDP($A282,I$3))</f>
        <v/>
      </c>
      <c r="J282" s="8">
        <f>IF($A282="","",BDP($A282,J$3))</f>
        <v/>
      </c>
      <c r="K282" s="8">
        <f>IF($A282="","",BDP($A282,K$3))</f>
        <v/>
      </c>
      <c r="L282" s="28">
        <f>IF($A282="","",BDP($A282,L$3))</f>
        <v/>
      </c>
      <c r="M282" s="28">
        <f>IF($A282="","",BDP($A282,M$3))</f>
        <v/>
      </c>
      <c r="N282" s="30">
        <f>IF($A282="","",BDP($A282,N$3))</f>
        <v/>
      </c>
      <c r="O282" s="31">
        <f>IF($A282="","",BDP($A282,O$3))</f>
        <v/>
      </c>
      <c r="P282" s="30">
        <f>IF($A282="","",BDH($A282,$N$3,'參數'!$B$5,'參數'!$B$5,"Days=A","Fill=P","Dates=H"))</f>
        <v/>
      </c>
      <c r="Q282" s="30">
        <f>IF($A282="","",BDH($A282,$N$3,'參數'!$B$6,'參數'!$B$6,"Days=A","Fill=P","Dates=H"))</f>
        <v/>
      </c>
      <c r="R282" s="30">
        <f>IF($A282="","",BDH($A282,$N$3,'參數'!$B$7,'參數'!$B$7,"Days=A","Fill=P","Dates=H"))</f>
        <v/>
      </c>
      <c r="S282" s="32">
        <f>IF($A282="","",IFERROR(INDEX('發行人'!$A$5:$A$44,MATCH(B282,'發行人'!$D$5:$D$44,0)),"未對應"))</f>
        <v/>
      </c>
      <c r="T282" s="24">
        <f>IF($A282="","",IFERROR(INDEX('發行人'!$G$5:$G$44,MATCH(B282,'發行人'!$D$5:$D$44,0))+0,""))</f>
        <v/>
      </c>
      <c r="U282" s="18">
        <f>IF(ISNUMBER(E282),YEARFRAC('參數'!$B$4,E282),"")</f>
        <v/>
      </c>
      <c r="V282" s="8">
        <f>IF(U282="","",IF(U282&lt;3,"1-3y",IF(U282&lt;5,"3-5y",IF(U282&lt;7,"5-7y",IF(U282&lt;10,"7-10y","10y+")))))</f>
        <v/>
      </c>
      <c r="W282" s="30">
        <f>IF($A282="","",IFERROR(INDEX('參數'!$B$24:$B$45,MATCH(G282,'參數'!$A$24:$A$45,0)),""))</f>
        <v/>
      </c>
      <c r="X282" s="8">
        <f>IF($A282="","",IFERROR(INDEX('參數'!$C$24:$C$45,MATCH(G282,'參數'!$A$24:$A$45,0)),""))</f>
        <v/>
      </c>
      <c r="Y282" s="30">
        <f>IF(AND(ISNUMBER(N282),ISNUMBER(O282),ISNUMBER(U282)),IF(AND(O282&gt;0,X282&lt;&gt;""),1,0),0)</f>
        <v/>
      </c>
      <c r="Z282" s="17">
        <f>IF(Y282=1,O282*N282,"")</f>
        <v/>
      </c>
      <c r="AA282" s="33">
        <f>IF(Y282=1,IF(ISNUMBER(Q282),N282-Q282,""),"")</f>
        <v/>
      </c>
      <c r="AB282" s="33">
        <f>IF(Y282=1,IF(AND(ISNUMBER(P282),ISNUMBER(R282)),R282*5/12-O282*(P282-R282),""),"")</f>
        <v/>
      </c>
      <c r="AC282" s="30">
        <f>IF(Y282=1,COUNTIFS($X$5:$X$404,X282,$V$5:$V$404,V282,$Y$5:$Y$404,1),"")</f>
        <v/>
      </c>
      <c r="AD282" s="30">
        <f>IF(Y282=1,IFERROR(IF(AC282&gt;='參數'!$B$9,INDEX('分群統計'!$G$13:$K$16,MATCH(X282,'分群統計'!$A$13:$A$16,0),MATCH(V282,'分群統計'!$G$12:$K$12,0)),INDEX('分群統計'!$I$5:$I$8,MATCH(X282,'分群統計'!$A$5:$A$8,0))),""),"")</f>
        <v/>
      </c>
      <c r="AE282" s="18">
        <f>IF(Y282=1,IFERROR(IF(AC282&gt;='參數'!$B$9,INDEX('分群統計'!$L$13:$P$16,MATCH(X282,'分群統計'!$A$13:$A$16,0),MATCH(V282,'分群統計'!$L$12:$P$12,0)),INDEX('分群統計'!$J$5:$J$8,MATCH(X282,'分群統計'!$A$5:$A$8,0))),""),"")</f>
        <v/>
      </c>
      <c r="AF282" s="31">
        <f>IF(ISNUMBER(AE282),IF(AE282&gt;0,MAX(-3,MIN(3,(N282-AD282)/AE282)),0),"")</f>
        <v/>
      </c>
      <c r="AG282" s="30">
        <f>IF(Y282=1,COUNTIFS($B$5:$B$404,B282,$Y$5:$Y$404,1),"")</f>
        <v/>
      </c>
      <c r="AH282" s="30">
        <f>IF(Y282=1,IFERROR(IF(ISNUMBER(INDEX('分群統計'!$G$20:$G$59,MATCH(B282,'分群統計'!$A$20:$A$59,0))),INDEX('分群統計'!$H$20:$H$59,MATCH(B282,'分群統計'!$A$20:$A$59,0))+INDEX('分群統計'!$G$20:$G$59,MATCH(B282,'分群統計'!$A$20:$A$59,0))*AU282,""),""),"")</f>
        <v/>
      </c>
      <c r="AI282" s="34">
        <f>IF(ISNUMBER(AH282),N282-AH282,"")</f>
        <v/>
      </c>
      <c r="AJ282" s="30">
        <f>IF(Y282=1,IFERROR(IF(ISNUMBER(INDEX('分群統計'!$G$5:$G$8,MATCH(X282,'分群統計'!$A$5:$A$8,0))),INDEX('分群統計'!$H$5:$H$8,MATCH(X282,'分群統計'!$A$5:$A$8,0))+INDEX('分群統計'!$G$5:$G$8,MATCH(X282,'分群統計'!$A$5:$A$8,0))*AU282,""),""),"")</f>
        <v/>
      </c>
      <c r="AK282" s="34">
        <f>IF(ISNUMBER(AJ282),N282-AJ282,"")</f>
        <v/>
      </c>
      <c r="AL282" s="21">
        <f>IF(ISNUMBER(AJ282),IF(AJ282&gt;0,AK282/AJ282,""),"")</f>
        <v/>
      </c>
      <c r="AM282" s="31">
        <f>IF(AY282&lt;&gt;1,"",IFERROR(IF(INDEX('分群統計'!$K$5:$K$8,MATCH(X282,'分群統計'!$A$5:$A$8,0))&lt;3,"",IF(INDEX('分群統計'!$M$5:$M$8,MATCH(X282,'分群統計'!$A$5:$A$8,0))&gt;0,MAX(-3,MIN(3,(AX282-INDEX('分群統計'!$L$5:$L$8,MATCH(X282,'分群統計'!$A$5:$A$8,0)))/INDEX('分群統計'!$M$5:$M$8,MATCH(X282,'分群統計'!$A$5:$A$8,0)))),0)),""))</f>
        <v/>
      </c>
      <c r="AN282" s="31">
        <f>IF(ISNUMBER(AB282),IF(Z282&gt;0,AB282/Z282*100,""),"")</f>
        <v/>
      </c>
      <c r="AO282" s="31">
        <f>IF(BA282&lt;&gt;1,"",IFERROR(IF(INDEX('分群統計'!$N$5:$N$8,MATCH(X282,'分群統計'!$A$5:$A$8,0))&lt;3,"",IF(INDEX('分群統計'!$P$5:$P$8,MATCH(X282,'分群統計'!$A$5:$A$8,0))&gt;0,MAX(-3,MIN(3,(AZ282-INDEX('分群統計'!$O$5:$O$8,MATCH(X282,'分群統計'!$A$5:$A$8,0)))/INDEX('分群統計'!$P$5:$P$8,MATCH(X282,'分群統計'!$A$5:$A$8,0)))),0)),""))</f>
        <v/>
      </c>
      <c r="AP282" s="31">
        <f>IF(BC282&lt;&gt;1,"",IFERROR(IF(INDEX('分群統計'!$Q$5:$Q$8,MATCH(X282,'分群統計'!$A$5:$A$8,0))&lt;3,"",IF(INDEX('分群統計'!$S$5:$S$8,MATCH(X282,'分群統計'!$A$5:$A$8,0))&gt;0,MAX(-3,MIN(3,(BB282-INDEX('分群統計'!$R$5:$R$8,MATCH(X282,'分群統計'!$A$5:$A$8,0)))/INDEX('分群統計'!$S$5:$S$8,MATCH(X282,'分群統計'!$A$5:$A$8,0)))),0)),""))</f>
        <v/>
      </c>
      <c r="AQ282" s="31">
        <f>IF(Y282=1,(IF(ISNUMBER(AF282),AF282,0)*'參數'!$B$13+IF(ISNUMBER(AM282),AM282,0)*'參數'!$B$14+IF(ISNUMBER(AO282),AO282,0)*'參數'!$B$15+IF(ISNUMBER(AP282),AP282,0)*'參數'!$B$16)/('參數'!$B$13+'參數'!$B$14+'參數'!$B$15+'參數'!$B$16),"")</f>
        <v/>
      </c>
      <c r="AR282" s="35">
        <f>IF(Y282=1,(SUMPRODUCT(($X$5:$X$404=X282)*($Y$5:$Y$404=1)*($BD$5:$BD$404&gt;BD282))+1)/COUNTIFS($X$5:$X$404,X282,$Y$5:$Y$404,1),"")</f>
        <v/>
      </c>
      <c r="AS282" s="8">
        <f>IF(ISNUMBER(AR282),IF(AR282&lt;='參數'!$B$18,"加碼候選",IF(AR282&gt;'參數'!$B$19,"減碼候選","")),"")</f>
        <v/>
      </c>
      <c r="AT282" s="7">
        <f>IF(Y282=1,N282,0)</f>
        <v/>
      </c>
      <c r="AU282" s="7">
        <f>IF(Y282=1,LN(O282),0)</f>
        <v/>
      </c>
      <c r="AV282" s="36">
        <f>IF(Y282=1,IF(ISNUMBER(F282),F282,0),0)</f>
        <v/>
      </c>
      <c r="AW282" s="7">
        <f>IF(Y282=1,Z282,0)</f>
        <v/>
      </c>
      <c r="AX282" s="7">
        <f>IF(Y282=1,IF(ISNUMBER(AL282),AL282,0),0)</f>
        <v/>
      </c>
      <c r="AY282" s="7">
        <f>IF(Y282=1,IF(ISNUMBER(AL282),1,0),0)</f>
        <v/>
      </c>
      <c r="AZ282" s="7">
        <f>IF(Y282=1,IF(ISNUMBER(AN282),AN282,0),0)</f>
        <v/>
      </c>
      <c r="BA282" s="7">
        <f>IF(Y282=1,IF(ISNUMBER(AN282),1,0),0)</f>
        <v/>
      </c>
      <c r="BB282" s="7">
        <f>IF(Y282=1,IF(ISNUMBER(T282),T282,0),0)</f>
        <v/>
      </c>
      <c r="BC282" s="7">
        <f>IF(Y282=1,IF(ISNUMBER(T282),1,0),0)</f>
        <v/>
      </c>
      <c r="BD282" s="7">
        <f>IF(Y282=1,AQ282+ROW()/1E9,-1E9)</f>
        <v/>
      </c>
      <c r="BE282" s="7">
        <f>IF(Y282=1,AQ282+ROW()/1E9,1E9)</f>
        <v/>
      </c>
    </row>
    <row r="283">
      <c r="A283" s="16" t="n"/>
      <c r="B283" s="8">
        <f>IF($A283="","",BDP($A283,B$3))</f>
        <v/>
      </c>
      <c r="C283" s="8">
        <f>IF($A283="","",BDP($A283,C$3))</f>
        <v/>
      </c>
      <c r="D283" s="28">
        <f>IF($A283="","",BDP($A283,D$3))</f>
        <v/>
      </c>
      <c r="E283" s="29">
        <f>IF($A283="","",BDP($A283,E$3))</f>
        <v/>
      </c>
      <c r="F283" s="17">
        <f>IF($A283="","",BDP($A283,F$3))</f>
        <v/>
      </c>
      <c r="G283" s="8">
        <f>IF($A283="","",BDP($A283,G$3))</f>
        <v/>
      </c>
      <c r="H283" s="8">
        <f>IF($A283="","",BDP($A283,H$3))</f>
        <v/>
      </c>
      <c r="I283" s="8">
        <f>IF($A283="","",BDP($A283,I$3))</f>
        <v/>
      </c>
      <c r="J283" s="8">
        <f>IF($A283="","",BDP($A283,J$3))</f>
        <v/>
      </c>
      <c r="K283" s="8">
        <f>IF($A283="","",BDP($A283,K$3))</f>
        <v/>
      </c>
      <c r="L283" s="28">
        <f>IF($A283="","",BDP($A283,L$3))</f>
        <v/>
      </c>
      <c r="M283" s="28">
        <f>IF($A283="","",BDP($A283,M$3))</f>
        <v/>
      </c>
      <c r="N283" s="30">
        <f>IF($A283="","",BDP($A283,N$3))</f>
        <v/>
      </c>
      <c r="O283" s="31">
        <f>IF($A283="","",BDP($A283,O$3))</f>
        <v/>
      </c>
      <c r="P283" s="30">
        <f>IF($A283="","",BDH($A283,$N$3,'參數'!$B$5,'參數'!$B$5,"Days=A","Fill=P","Dates=H"))</f>
        <v/>
      </c>
      <c r="Q283" s="30">
        <f>IF($A283="","",BDH($A283,$N$3,'參數'!$B$6,'參數'!$B$6,"Days=A","Fill=P","Dates=H"))</f>
        <v/>
      </c>
      <c r="R283" s="30">
        <f>IF($A283="","",BDH($A283,$N$3,'參數'!$B$7,'參數'!$B$7,"Days=A","Fill=P","Dates=H"))</f>
        <v/>
      </c>
      <c r="S283" s="32">
        <f>IF($A283="","",IFERROR(INDEX('發行人'!$A$5:$A$44,MATCH(B283,'發行人'!$D$5:$D$44,0)),"未對應"))</f>
        <v/>
      </c>
      <c r="T283" s="24">
        <f>IF($A283="","",IFERROR(INDEX('發行人'!$G$5:$G$44,MATCH(B283,'發行人'!$D$5:$D$44,0))+0,""))</f>
        <v/>
      </c>
      <c r="U283" s="18">
        <f>IF(ISNUMBER(E283),YEARFRAC('參數'!$B$4,E283),"")</f>
        <v/>
      </c>
      <c r="V283" s="8">
        <f>IF(U283="","",IF(U283&lt;3,"1-3y",IF(U283&lt;5,"3-5y",IF(U283&lt;7,"5-7y",IF(U283&lt;10,"7-10y","10y+")))))</f>
        <v/>
      </c>
      <c r="W283" s="30">
        <f>IF($A283="","",IFERROR(INDEX('參數'!$B$24:$B$45,MATCH(G283,'參數'!$A$24:$A$45,0)),""))</f>
        <v/>
      </c>
      <c r="X283" s="8">
        <f>IF($A283="","",IFERROR(INDEX('參數'!$C$24:$C$45,MATCH(G283,'參數'!$A$24:$A$45,0)),""))</f>
        <v/>
      </c>
      <c r="Y283" s="30">
        <f>IF(AND(ISNUMBER(N283),ISNUMBER(O283),ISNUMBER(U283)),IF(AND(O283&gt;0,X283&lt;&gt;""),1,0),0)</f>
        <v/>
      </c>
      <c r="Z283" s="17">
        <f>IF(Y283=1,O283*N283,"")</f>
        <v/>
      </c>
      <c r="AA283" s="33">
        <f>IF(Y283=1,IF(ISNUMBER(Q283),N283-Q283,""),"")</f>
        <v/>
      </c>
      <c r="AB283" s="33">
        <f>IF(Y283=1,IF(AND(ISNUMBER(P283),ISNUMBER(R283)),R283*5/12-O283*(P283-R283),""),"")</f>
        <v/>
      </c>
      <c r="AC283" s="30">
        <f>IF(Y283=1,COUNTIFS($X$5:$X$404,X283,$V$5:$V$404,V283,$Y$5:$Y$404,1),"")</f>
        <v/>
      </c>
      <c r="AD283" s="30">
        <f>IF(Y283=1,IFERROR(IF(AC283&gt;='參數'!$B$9,INDEX('分群統計'!$G$13:$K$16,MATCH(X283,'分群統計'!$A$13:$A$16,0),MATCH(V283,'分群統計'!$G$12:$K$12,0)),INDEX('分群統計'!$I$5:$I$8,MATCH(X283,'分群統計'!$A$5:$A$8,0))),""),"")</f>
        <v/>
      </c>
      <c r="AE283" s="18">
        <f>IF(Y283=1,IFERROR(IF(AC283&gt;='參數'!$B$9,INDEX('分群統計'!$L$13:$P$16,MATCH(X283,'分群統計'!$A$13:$A$16,0),MATCH(V283,'分群統計'!$L$12:$P$12,0)),INDEX('分群統計'!$J$5:$J$8,MATCH(X283,'分群統計'!$A$5:$A$8,0))),""),"")</f>
        <v/>
      </c>
      <c r="AF283" s="31">
        <f>IF(ISNUMBER(AE283),IF(AE283&gt;0,MAX(-3,MIN(3,(N283-AD283)/AE283)),0),"")</f>
        <v/>
      </c>
      <c r="AG283" s="30">
        <f>IF(Y283=1,COUNTIFS($B$5:$B$404,B283,$Y$5:$Y$404,1),"")</f>
        <v/>
      </c>
      <c r="AH283" s="30">
        <f>IF(Y283=1,IFERROR(IF(ISNUMBER(INDEX('分群統計'!$G$20:$G$59,MATCH(B283,'分群統計'!$A$20:$A$59,0))),INDEX('分群統計'!$H$20:$H$59,MATCH(B283,'分群統計'!$A$20:$A$59,0))+INDEX('分群統計'!$G$20:$G$59,MATCH(B283,'分群統計'!$A$20:$A$59,0))*AU283,""),""),"")</f>
        <v/>
      </c>
      <c r="AI283" s="34">
        <f>IF(ISNUMBER(AH283),N283-AH283,"")</f>
        <v/>
      </c>
      <c r="AJ283" s="30">
        <f>IF(Y283=1,IFERROR(IF(ISNUMBER(INDEX('分群統計'!$G$5:$G$8,MATCH(X283,'分群統計'!$A$5:$A$8,0))),INDEX('分群統計'!$H$5:$H$8,MATCH(X283,'分群統計'!$A$5:$A$8,0))+INDEX('分群統計'!$G$5:$G$8,MATCH(X283,'分群統計'!$A$5:$A$8,0))*AU283,""),""),"")</f>
        <v/>
      </c>
      <c r="AK283" s="34">
        <f>IF(ISNUMBER(AJ283),N283-AJ283,"")</f>
        <v/>
      </c>
      <c r="AL283" s="21">
        <f>IF(ISNUMBER(AJ283),IF(AJ283&gt;0,AK283/AJ283,""),"")</f>
        <v/>
      </c>
      <c r="AM283" s="31">
        <f>IF(AY283&lt;&gt;1,"",IFERROR(IF(INDEX('分群統計'!$K$5:$K$8,MATCH(X283,'分群統計'!$A$5:$A$8,0))&lt;3,"",IF(INDEX('分群統計'!$M$5:$M$8,MATCH(X283,'分群統計'!$A$5:$A$8,0))&gt;0,MAX(-3,MIN(3,(AX283-INDEX('分群統計'!$L$5:$L$8,MATCH(X283,'分群統計'!$A$5:$A$8,0)))/INDEX('分群統計'!$M$5:$M$8,MATCH(X283,'分群統計'!$A$5:$A$8,0)))),0)),""))</f>
        <v/>
      </c>
      <c r="AN283" s="31">
        <f>IF(ISNUMBER(AB283),IF(Z283&gt;0,AB283/Z283*100,""),"")</f>
        <v/>
      </c>
      <c r="AO283" s="31">
        <f>IF(BA283&lt;&gt;1,"",IFERROR(IF(INDEX('分群統計'!$N$5:$N$8,MATCH(X283,'分群統計'!$A$5:$A$8,0))&lt;3,"",IF(INDEX('分群統計'!$P$5:$P$8,MATCH(X283,'分群統計'!$A$5:$A$8,0))&gt;0,MAX(-3,MIN(3,(AZ283-INDEX('分群統計'!$O$5:$O$8,MATCH(X283,'分群統計'!$A$5:$A$8,0)))/INDEX('分群統計'!$P$5:$P$8,MATCH(X283,'分群統計'!$A$5:$A$8,0)))),0)),""))</f>
        <v/>
      </c>
      <c r="AP283" s="31">
        <f>IF(BC283&lt;&gt;1,"",IFERROR(IF(INDEX('分群統計'!$Q$5:$Q$8,MATCH(X283,'分群統計'!$A$5:$A$8,0))&lt;3,"",IF(INDEX('分群統計'!$S$5:$S$8,MATCH(X283,'分群統計'!$A$5:$A$8,0))&gt;0,MAX(-3,MIN(3,(BB283-INDEX('分群統計'!$R$5:$R$8,MATCH(X283,'分群統計'!$A$5:$A$8,0)))/INDEX('分群統計'!$S$5:$S$8,MATCH(X283,'分群統計'!$A$5:$A$8,0)))),0)),""))</f>
        <v/>
      </c>
      <c r="AQ283" s="31">
        <f>IF(Y283=1,(IF(ISNUMBER(AF283),AF283,0)*'參數'!$B$13+IF(ISNUMBER(AM283),AM283,0)*'參數'!$B$14+IF(ISNUMBER(AO283),AO283,0)*'參數'!$B$15+IF(ISNUMBER(AP283),AP283,0)*'參數'!$B$16)/('參數'!$B$13+'參數'!$B$14+'參數'!$B$15+'參數'!$B$16),"")</f>
        <v/>
      </c>
      <c r="AR283" s="35">
        <f>IF(Y283=1,(SUMPRODUCT(($X$5:$X$404=X283)*($Y$5:$Y$404=1)*($BD$5:$BD$404&gt;BD283))+1)/COUNTIFS($X$5:$X$404,X283,$Y$5:$Y$404,1),"")</f>
        <v/>
      </c>
      <c r="AS283" s="8">
        <f>IF(ISNUMBER(AR283),IF(AR283&lt;='參數'!$B$18,"加碼候選",IF(AR283&gt;'參數'!$B$19,"減碼候選","")),"")</f>
        <v/>
      </c>
      <c r="AT283" s="7">
        <f>IF(Y283=1,N283,0)</f>
        <v/>
      </c>
      <c r="AU283" s="7">
        <f>IF(Y283=1,LN(O283),0)</f>
        <v/>
      </c>
      <c r="AV283" s="36">
        <f>IF(Y283=1,IF(ISNUMBER(F283),F283,0),0)</f>
        <v/>
      </c>
      <c r="AW283" s="7">
        <f>IF(Y283=1,Z283,0)</f>
        <v/>
      </c>
      <c r="AX283" s="7">
        <f>IF(Y283=1,IF(ISNUMBER(AL283),AL283,0),0)</f>
        <v/>
      </c>
      <c r="AY283" s="7">
        <f>IF(Y283=1,IF(ISNUMBER(AL283),1,0),0)</f>
        <v/>
      </c>
      <c r="AZ283" s="7">
        <f>IF(Y283=1,IF(ISNUMBER(AN283),AN283,0),0)</f>
        <v/>
      </c>
      <c r="BA283" s="7">
        <f>IF(Y283=1,IF(ISNUMBER(AN283),1,0),0)</f>
        <v/>
      </c>
      <c r="BB283" s="7">
        <f>IF(Y283=1,IF(ISNUMBER(T283),T283,0),0)</f>
        <v/>
      </c>
      <c r="BC283" s="7">
        <f>IF(Y283=1,IF(ISNUMBER(T283),1,0),0)</f>
        <v/>
      </c>
      <c r="BD283" s="7">
        <f>IF(Y283=1,AQ283+ROW()/1E9,-1E9)</f>
        <v/>
      </c>
      <c r="BE283" s="7">
        <f>IF(Y283=1,AQ283+ROW()/1E9,1E9)</f>
        <v/>
      </c>
    </row>
    <row r="284">
      <c r="A284" s="16" t="n"/>
      <c r="B284" s="8">
        <f>IF($A284="","",BDP($A284,B$3))</f>
        <v/>
      </c>
      <c r="C284" s="8">
        <f>IF($A284="","",BDP($A284,C$3))</f>
        <v/>
      </c>
      <c r="D284" s="28">
        <f>IF($A284="","",BDP($A284,D$3))</f>
        <v/>
      </c>
      <c r="E284" s="29">
        <f>IF($A284="","",BDP($A284,E$3))</f>
        <v/>
      </c>
      <c r="F284" s="17">
        <f>IF($A284="","",BDP($A284,F$3))</f>
        <v/>
      </c>
      <c r="G284" s="8">
        <f>IF($A284="","",BDP($A284,G$3))</f>
        <v/>
      </c>
      <c r="H284" s="8">
        <f>IF($A284="","",BDP($A284,H$3))</f>
        <v/>
      </c>
      <c r="I284" s="8">
        <f>IF($A284="","",BDP($A284,I$3))</f>
        <v/>
      </c>
      <c r="J284" s="8">
        <f>IF($A284="","",BDP($A284,J$3))</f>
        <v/>
      </c>
      <c r="K284" s="8">
        <f>IF($A284="","",BDP($A284,K$3))</f>
        <v/>
      </c>
      <c r="L284" s="28">
        <f>IF($A284="","",BDP($A284,L$3))</f>
        <v/>
      </c>
      <c r="M284" s="28">
        <f>IF($A284="","",BDP($A284,M$3))</f>
        <v/>
      </c>
      <c r="N284" s="30">
        <f>IF($A284="","",BDP($A284,N$3))</f>
        <v/>
      </c>
      <c r="O284" s="31">
        <f>IF($A284="","",BDP($A284,O$3))</f>
        <v/>
      </c>
      <c r="P284" s="30">
        <f>IF($A284="","",BDH($A284,$N$3,'參數'!$B$5,'參數'!$B$5,"Days=A","Fill=P","Dates=H"))</f>
        <v/>
      </c>
      <c r="Q284" s="30">
        <f>IF($A284="","",BDH($A284,$N$3,'參數'!$B$6,'參數'!$B$6,"Days=A","Fill=P","Dates=H"))</f>
        <v/>
      </c>
      <c r="R284" s="30">
        <f>IF($A284="","",BDH($A284,$N$3,'參數'!$B$7,'參數'!$B$7,"Days=A","Fill=P","Dates=H"))</f>
        <v/>
      </c>
      <c r="S284" s="32">
        <f>IF($A284="","",IFERROR(INDEX('發行人'!$A$5:$A$44,MATCH(B284,'發行人'!$D$5:$D$44,0)),"未對應"))</f>
        <v/>
      </c>
      <c r="T284" s="24">
        <f>IF($A284="","",IFERROR(INDEX('發行人'!$G$5:$G$44,MATCH(B284,'發行人'!$D$5:$D$44,0))+0,""))</f>
        <v/>
      </c>
      <c r="U284" s="18">
        <f>IF(ISNUMBER(E284),YEARFRAC('參數'!$B$4,E284),"")</f>
        <v/>
      </c>
      <c r="V284" s="8">
        <f>IF(U284="","",IF(U284&lt;3,"1-3y",IF(U284&lt;5,"3-5y",IF(U284&lt;7,"5-7y",IF(U284&lt;10,"7-10y","10y+")))))</f>
        <v/>
      </c>
      <c r="W284" s="30">
        <f>IF($A284="","",IFERROR(INDEX('參數'!$B$24:$B$45,MATCH(G284,'參數'!$A$24:$A$45,0)),""))</f>
        <v/>
      </c>
      <c r="X284" s="8">
        <f>IF($A284="","",IFERROR(INDEX('參數'!$C$24:$C$45,MATCH(G284,'參數'!$A$24:$A$45,0)),""))</f>
        <v/>
      </c>
      <c r="Y284" s="30">
        <f>IF(AND(ISNUMBER(N284),ISNUMBER(O284),ISNUMBER(U284)),IF(AND(O284&gt;0,X284&lt;&gt;""),1,0),0)</f>
        <v/>
      </c>
      <c r="Z284" s="17">
        <f>IF(Y284=1,O284*N284,"")</f>
        <v/>
      </c>
      <c r="AA284" s="33">
        <f>IF(Y284=1,IF(ISNUMBER(Q284),N284-Q284,""),"")</f>
        <v/>
      </c>
      <c r="AB284" s="33">
        <f>IF(Y284=1,IF(AND(ISNUMBER(P284),ISNUMBER(R284)),R284*5/12-O284*(P284-R284),""),"")</f>
        <v/>
      </c>
      <c r="AC284" s="30">
        <f>IF(Y284=1,COUNTIFS($X$5:$X$404,X284,$V$5:$V$404,V284,$Y$5:$Y$404,1),"")</f>
        <v/>
      </c>
      <c r="AD284" s="30">
        <f>IF(Y284=1,IFERROR(IF(AC284&gt;='參數'!$B$9,INDEX('分群統計'!$G$13:$K$16,MATCH(X284,'分群統計'!$A$13:$A$16,0),MATCH(V284,'分群統計'!$G$12:$K$12,0)),INDEX('分群統計'!$I$5:$I$8,MATCH(X284,'分群統計'!$A$5:$A$8,0))),""),"")</f>
        <v/>
      </c>
      <c r="AE284" s="18">
        <f>IF(Y284=1,IFERROR(IF(AC284&gt;='參數'!$B$9,INDEX('分群統計'!$L$13:$P$16,MATCH(X284,'分群統計'!$A$13:$A$16,0),MATCH(V284,'分群統計'!$L$12:$P$12,0)),INDEX('分群統計'!$J$5:$J$8,MATCH(X284,'分群統計'!$A$5:$A$8,0))),""),"")</f>
        <v/>
      </c>
      <c r="AF284" s="31">
        <f>IF(ISNUMBER(AE284),IF(AE284&gt;0,MAX(-3,MIN(3,(N284-AD284)/AE284)),0),"")</f>
        <v/>
      </c>
      <c r="AG284" s="30">
        <f>IF(Y284=1,COUNTIFS($B$5:$B$404,B284,$Y$5:$Y$404,1),"")</f>
        <v/>
      </c>
      <c r="AH284" s="30">
        <f>IF(Y284=1,IFERROR(IF(ISNUMBER(INDEX('分群統計'!$G$20:$G$59,MATCH(B284,'分群統計'!$A$20:$A$59,0))),INDEX('分群統計'!$H$20:$H$59,MATCH(B284,'分群統計'!$A$20:$A$59,0))+INDEX('分群統計'!$G$20:$G$59,MATCH(B284,'分群統計'!$A$20:$A$59,0))*AU284,""),""),"")</f>
        <v/>
      </c>
      <c r="AI284" s="34">
        <f>IF(ISNUMBER(AH284),N284-AH284,"")</f>
        <v/>
      </c>
      <c r="AJ284" s="30">
        <f>IF(Y284=1,IFERROR(IF(ISNUMBER(INDEX('分群統計'!$G$5:$G$8,MATCH(X284,'分群統計'!$A$5:$A$8,0))),INDEX('分群統計'!$H$5:$H$8,MATCH(X284,'分群統計'!$A$5:$A$8,0))+INDEX('分群統計'!$G$5:$G$8,MATCH(X284,'分群統計'!$A$5:$A$8,0))*AU284,""),""),"")</f>
        <v/>
      </c>
      <c r="AK284" s="34">
        <f>IF(ISNUMBER(AJ284),N284-AJ284,"")</f>
        <v/>
      </c>
      <c r="AL284" s="21">
        <f>IF(ISNUMBER(AJ284),IF(AJ284&gt;0,AK284/AJ284,""),"")</f>
        <v/>
      </c>
      <c r="AM284" s="31">
        <f>IF(AY284&lt;&gt;1,"",IFERROR(IF(INDEX('分群統計'!$K$5:$K$8,MATCH(X284,'分群統計'!$A$5:$A$8,0))&lt;3,"",IF(INDEX('分群統計'!$M$5:$M$8,MATCH(X284,'分群統計'!$A$5:$A$8,0))&gt;0,MAX(-3,MIN(3,(AX284-INDEX('分群統計'!$L$5:$L$8,MATCH(X284,'分群統計'!$A$5:$A$8,0)))/INDEX('分群統計'!$M$5:$M$8,MATCH(X284,'分群統計'!$A$5:$A$8,0)))),0)),""))</f>
        <v/>
      </c>
      <c r="AN284" s="31">
        <f>IF(ISNUMBER(AB284),IF(Z284&gt;0,AB284/Z284*100,""),"")</f>
        <v/>
      </c>
      <c r="AO284" s="31">
        <f>IF(BA284&lt;&gt;1,"",IFERROR(IF(INDEX('分群統計'!$N$5:$N$8,MATCH(X284,'分群統計'!$A$5:$A$8,0))&lt;3,"",IF(INDEX('分群統計'!$P$5:$P$8,MATCH(X284,'分群統計'!$A$5:$A$8,0))&gt;0,MAX(-3,MIN(3,(AZ284-INDEX('分群統計'!$O$5:$O$8,MATCH(X284,'分群統計'!$A$5:$A$8,0)))/INDEX('分群統計'!$P$5:$P$8,MATCH(X284,'分群統計'!$A$5:$A$8,0)))),0)),""))</f>
        <v/>
      </c>
      <c r="AP284" s="31">
        <f>IF(BC284&lt;&gt;1,"",IFERROR(IF(INDEX('分群統計'!$Q$5:$Q$8,MATCH(X284,'分群統計'!$A$5:$A$8,0))&lt;3,"",IF(INDEX('分群統計'!$S$5:$S$8,MATCH(X284,'分群統計'!$A$5:$A$8,0))&gt;0,MAX(-3,MIN(3,(BB284-INDEX('分群統計'!$R$5:$R$8,MATCH(X284,'分群統計'!$A$5:$A$8,0)))/INDEX('分群統計'!$S$5:$S$8,MATCH(X284,'分群統計'!$A$5:$A$8,0)))),0)),""))</f>
        <v/>
      </c>
      <c r="AQ284" s="31">
        <f>IF(Y284=1,(IF(ISNUMBER(AF284),AF284,0)*'參數'!$B$13+IF(ISNUMBER(AM284),AM284,0)*'參數'!$B$14+IF(ISNUMBER(AO284),AO284,0)*'參數'!$B$15+IF(ISNUMBER(AP284),AP284,0)*'參數'!$B$16)/('參數'!$B$13+'參數'!$B$14+'參數'!$B$15+'參數'!$B$16),"")</f>
        <v/>
      </c>
      <c r="AR284" s="35">
        <f>IF(Y284=1,(SUMPRODUCT(($X$5:$X$404=X284)*($Y$5:$Y$404=1)*($BD$5:$BD$404&gt;BD284))+1)/COUNTIFS($X$5:$X$404,X284,$Y$5:$Y$404,1),"")</f>
        <v/>
      </c>
      <c r="AS284" s="8">
        <f>IF(ISNUMBER(AR284),IF(AR284&lt;='參數'!$B$18,"加碼候選",IF(AR284&gt;'參數'!$B$19,"減碼候選","")),"")</f>
        <v/>
      </c>
      <c r="AT284" s="7">
        <f>IF(Y284=1,N284,0)</f>
        <v/>
      </c>
      <c r="AU284" s="7">
        <f>IF(Y284=1,LN(O284),0)</f>
        <v/>
      </c>
      <c r="AV284" s="36">
        <f>IF(Y284=1,IF(ISNUMBER(F284),F284,0),0)</f>
        <v/>
      </c>
      <c r="AW284" s="7">
        <f>IF(Y284=1,Z284,0)</f>
        <v/>
      </c>
      <c r="AX284" s="7">
        <f>IF(Y284=1,IF(ISNUMBER(AL284),AL284,0),0)</f>
        <v/>
      </c>
      <c r="AY284" s="7">
        <f>IF(Y284=1,IF(ISNUMBER(AL284),1,0),0)</f>
        <v/>
      </c>
      <c r="AZ284" s="7">
        <f>IF(Y284=1,IF(ISNUMBER(AN284),AN284,0),0)</f>
        <v/>
      </c>
      <c r="BA284" s="7">
        <f>IF(Y284=1,IF(ISNUMBER(AN284),1,0),0)</f>
        <v/>
      </c>
      <c r="BB284" s="7">
        <f>IF(Y284=1,IF(ISNUMBER(T284),T284,0),0)</f>
        <v/>
      </c>
      <c r="BC284" s="7">
        <f>IF(Y284=1,IF(ISNUMBER(T284),1,0),0)</f>
        <v/>
      </c>
      <c r="BD284" s="7">
        <f>IF(Y284=1,AQ284+ROW()/1E9,-1E9)</f>
        <v/>
      </c>
      <c r="BE284" s="7">
        <f>IF(Y284=1,AQ284+ROW()/1E9,1E9)</f>
        <v/>
      </c>
    </row>
    <row r="285">
      <c r="A285" s="16" t="n"/>
      <c r="B285" s="8">
        <f>IF($A285="","",BDP($A285,B$3))</f>
        <v/>
      </c>
      <c r="C285" s="8">
        <f>IF($A285="","",BDP($A285,C$3))</f>
        <v/>
      </c>
      <c r="D285" s="28">
        <f>IF($A285="","",BDP($A285,D$3))</f>
        <v/>
      </c>
      <c r="E285" s="29">
        <f>IF($A285="","",BDP($A285,E$3))</f>
        <v/>
      </c>
      <c r="F285" s="17">
        <f>IF($A285="","",BDP($A285,F$3))</f>
        <v/>
      </c>
      <c r="G285" s="8">
        <f>IF($A285="","",BDP($A285,G$3))</f>
        <v/>
      </c>
      <c r="H285" s="8">
        <f>IF($A285="","",BDP($A285,H$3))</f>
        <v/>
      </c>
      <c r="I285" s="8">
        <f>IF($A285="","",BDP($A285,I$3))</f>
        <v/>
      </c>
      <c r="J285" s="8">
        <f>IF($A285="","",BDP($A285,J$3))</f>
        <v/>
      </c>
      <c r="K285" s="8">
        <f>IF($A285="","",BDP($A285,K$3))</f>
        <v/>
      </c>
      <c r="L285" s="28">
        <f>IF($A285="","",BDP($A285,L$3))</f>
        <v/>
      </c>
      <c r="M285" s="28">
        <f>IF($A285="","",BDP($A285,M$3))</f>
        <v/>
      </c>
      <c r="N285" s="30">
        <f>IF($A285="","",BDP($A285,N$3))</f>
        <v/>
      </c>
      <c r="O285" s="31">
        <f>IF($A285="","",BDP($A285,O$3))</f>
        <v/>
      </c>
      <c r="P285" s="30">
        <f>IF($A285="","",BDH($A285,$N$3,'參數'!$B$5,'參數'!$B$5,"Days=A","Fill=P","Dates=H"))</f>
        <v/>
      </c>
      <c r="Q285" s="30">
        <f>IF($A285="","",BDH($A285,$N$3,'參數'!$B$6,'參數'!$B$6,"Days=A","Fill=P","Dates=H"))</f>
        <v/>
      </c>
      <c r="R285" s="30">
        <f>IF($A285="","",BDH($A285,$N$3,'參數'!$B$7,'參數'!$B$7,"Days=A","Fill=P","Dates=H"))</f>
        <v/>
      </c>
      <c r="S285" s="32">
        <f>IF($A285="","",IFERROR(INDEX('發行人'!$A$5:$A$44,MATCH(B285,'發行人'!$D$5:$D$44,0)),"未對應"))</f>
        <v/>
      </c>
      <c r="T285" s="24">
        <f>IF($A285="","",IFERROR(INDEX('發行人'!$G$5:$G$44,MATCH(B285,'發行人'!$D$5:$D$44,0))+0,""))</f>
        <v/>
      </c>
      <c r="U285" s="18">
        <f>IF(ISNUMBER(E285),YEARFRAC('參數'!$B$4,E285),"")</f>
        <v/>
      </c>
      <c r="V285" s="8">
        <f>IF(U285="","",IF(U285&lt;3,"1-3y",IF(U285&lt;5,"3-5y",IF(U285&lt;7,"5-7y",IF(U285&lt;10,"7-10y","10y+")))))</f>
        <v/>
      </c>
      <c r="W285" s="30">
        <f>IF($A285="","",IFERROR(INDEX('參數'!$B$24:$B$45,MATCH(G285,'參數'!$A$24:$A$45,0)),""))</f>
        <v/>
      </c>
      <c r="X285" s="8">
        <f>IF($A285="","",IFERROR(INDEX('參數'!$C$24:$C$45,MATCH(G285,'參數'!$A$24:$A$45,0)),""))</f>
        <v/>
      </c>
      <c r="Y285" s="30">
        <f>IF(AND(ISNUMBER(N285),ISNUMBER(O285),ISNUMBER(U285)),IF(AND(O285&gt;0,X285&lt;&gt;""),1,0),0)</f>
        <v/>
      </c>
      <c r="Z285" s="17">
        <f>IF(Y285=1,O285*N285,"")</f>
        <v/>
      </c>
      <c r="AA285" s="33">
        <f>IF(Y285=1,IF(ISNUMBER(Q285),N285-Q285,""),"")</f>
        <v/>
      </c>
      <c r="AB285" s="33">
        <f>IF(Y285=1,IF(AND(ISNUMBER(P285),ISNUMBER(R285)),R285*5/12-O285*(P285-R285),""),"")</f>
        <v/>
      </c>
      <c r="AC285" s="30">
        <f>IF(Y285=1,COUNTIFS($X$5:$X$404,X285,$V$5:$V$404,V285,$Y$5:$Y$404,1),"")</f>
        <v/>
      </c>
      <c r="AD285" s="30">
        <f>IF(Y285=1,IFERROR(IF(AC285&gt;='參數'!$B$9,INDEX('分群統計'!$G$13:$K$16,MATCH(X285,'分群統計'!$A$13:$A$16,0),MATCH(V285,'分群統計'!$G$12:$K$12,0)),INDEX('分群統計'!$I$5:$I$8,MATCH(X285,'分群統計'!$A$5:$A$8,0))),""),"")</f>
        <v/>
      </c>
      <c r="AE285" s="18">
        <f>IF(Y285=1,IFERROR(IF(AC285&gt;='參數'!$B$9,INDEX('分群統計'!$L$13:$P$16,MATCH(X285,'分群統計'!$A$13:$A$16,0),MATCH(V285,'分群統計'!$L$12:$P$12,0)),INDEX('分群統計'!$J$5:$J$8,MATCH(X285,'分群統計'!$A$5:$A$8,0))),""),"")</f>
        <v/>
      </c>
      <c r="AF285" s="31">
        <f>IF(ISNUMBER(AE285),IF(AE285&gt;0,MAX(-3,MIN(3,(N285-AD285)/AE285)),0),"")</f>
        <v/>
      </c>
      <c r="AG285" s="30">
        <f>IF(Y285=1,COUNTIFS($B$5:$B$404,B285,$Y$5:$Y$404,1),"")</f>
        <v/>
      </c>
      <c r="AH285" s="30">
        <f>IF(Y285=1,IFERROR(IF(ISNUMBER(INDEX('分群統計'!$G$20:$G$59,MATCH(B285,'分群統計'!$A$20:$A$59,0))),INDEX('分群統計'!$H$20:$H$59,MATCH(B285,'分群統計'!$A$20:$A$59,0))+INDEX('分群統計'!$G$20:$G$59,MATCH(B285,'分群統計'!$A$20:$A$59,0))*AU285,""),""),"")</f>
        <v/>
      </c>
      <c r="AI285" s="34">
        <f>IF(ISNUMBER(AH285),N285-AH285,"")</f>
        <v/>
      </c>
      <c r="AJ285" s="30">
        <f>IF(Y285=1,IFERROR(IF(ISNUMBER(INDEX('分群統計'!$G$5:$G$8,MATCH(X285,'分群統計'!$A$5:$A$8,0))),INDEX('分群統計'!$H$5:$H$8,MATCH(X285,'分群統計'!$A$5:$A$8,0))+INDEX('分群統計'!$G$5:$G$8,MATCH(X285,'分群統計'!$A$5:$A$8,0))*AU285,""),""),"")</f>
        <v/>
      </c>
      <c r="AK285" s="34">
        <f>IF(ISNUMBER(AJ285),N285-AJ285,"")</f>
        <v/>
      </c>
      <c r="AL285" s="21">
        <f>IF(ISNUMBER(AJ285),IF(AJ285&gt;0,AK285/AJ285,""),"")</f>
        <v/>
      </c>
      <c r="AM285" s="31">
        <f>IF(AY285&lt;&gt;1,"",IFERROR(IF(INDEX('分群統計'!$K$5:$K$8,MATCH(X285,'分群統計'!$A$5:$A$8,0))&lt;3,"",IF(INDEX('分群統計'!$M$5:$M$8,MATCH(X285,'分群統計'!$A$5:$A$8,0))&gt;0,MAX(-3,MIN(3,(AX285-INDEX('分群統計'!$L$5:$L$8,MATCH(X285,'分群統計'!$A$5:$A$8,0)))/INDEX('分群統計'!$M$5:$M$8,MATCH(X285,'分群統計'!$A$5:$A$8,0)))),0)),""))</f>
        <v/>
      </c>
      <c r="AN285" s="31">
        <f>IF(ISNUMBER(AB285),IF(Z285&gt;0,AB285/Z285*100,""),"")</f>
        <v/>
      </c>
      <c r="AO285" s="31">
        <f>IF(BA285&lt;&gt;1,"",IFERROR(IF(INDEX('分群統計'!$N$5:$N$8,MATCH(X285,'分群統計'!$A$5:$A$8,0))&lt;3,"",IF(INDEX('分群統計'!$P$5:$P$8,MATCH(X285,'分群統計'!$A$5:$A$8,0))&gt;0,MAX(-3,MIN(3,(AZ285-INDEX('分群統計'!$O$5:$O$8,MATCH(X285,'分群統計'!$A$5:$A$8,0)))/INDEX('分群統計'!$P$5:$P$8,MATCH(X285,'分群統計'!$A$5:$A$8,0)))),0)),""))</f>
        <v/>
      </c>
      <c r="AP285" s="31">
        <f>IF(BC285&lt;&gt;1,"",IFERROR(IF(INDEX('分群統計'!$Q$5:$Q$8,MATCH(X285,'分群統計'!$A$5:$A$8,0))&lt;3,"",IF(INDEX('分群統計'!$S$5:$S$8,MATCH(X285,'分群統計'!$A$5:$A$8,0))&gt;0,MAX(-3,MIN(3,(BB285-INDEX('分群統計'!$R$5:$R$8,MATCH(X285,'分群統計'!$A$5:$A$8,0)))/INDEX('分群統計'!$S$5:$S$8,MATCH(X285,'分群統計'!$A$5:$A$8,0)))),0)),""))</f>
        <v/>
      </c>
      <c r="AQ285" s="31">
        <f>IF(Y285=1,(IF(ISNUMBER(AF285),AF285,0)*'參數'!$B$13+IF(ISNUMBER(AM285),AM285,0)*'參數'!$B$14+IF(ISNUMBER(AO285),AO285,0)*'參數'!$B$15+IF(ISNUMBER(AP285),AP285,0)*'參數'!$B$16)/('參數'!$B$13+'參數'!$B$14+'參數'!$B$15+'參數'!$B$16),"")</f>
        <v/>
      </c>
      <c r="AR285" s="35">
        <f>IF(Y285=1,(SUMPRODUCT(($X$5:$X$404=X285)*($Y$5:$Y$404=1)*($BD$5:$BD$404&gt;BD285))+1)/COUNTIFS($X$5:$X$404,X285,$Y$5:$Y$404,1),"")</f>
        <v/>
      </c>
      <c r="AS285" s="8">
        <f>IF(ISNUMBER(AR285),IF(AR285&lt;='參數'!$B$18,"加碼候選",IF(AR285&gt;'參數'!$B$19,"減碼候選","")),"")</f>
        <v/>
      </c>
      <c r="AT285" s="7">
        <f>IF(Y285=1,N285,0)</f>
        <v/>
      </c>
      <c r="AU285" s="7">
        <f>IF(Y285=1,LN(O285),0)</f>
        <v/>
      </c>
      <c r="AV285" s="36">
        <f>IF(Y285=1,IF(ISNUMBER(F285),F285,0),0)</f>
        <v/>
      </c>
      <c r="AW285" s="7">
        <f>IF(Y285=1,Z285,0)</f>
        <v/>
      </c>
      <c r="AX285" s="7">
        <f>IF(Y285=1,IF(ISNUMBER(AL285),AL285,0),0)</f>
        <v/>
      </c>
      <c r="AY285" s="7">
        <f>IF(Y285=1,IF(ISNUMBER(AL285),1,0),0)</f>
        <v/>
      </c>
      <c r="AZ285" s="7">
        <f>IF(Y285=1,IF(ISNUMBER(AN285),AN285,0),0)</f>
        <v/>
      </c>
      <c r="BA285" s="7">
        <f>IF(Y285=1,IF(ISNUMBER(AN285),1,0),0)</f>
        <v/>
      </c>
      <c r="BB285" s="7">
        <f>IF(Y285=1,IF(ISNUMBER(T285),T285,0),0)</f>
        <v/>
      </c>
      <c r="BC285" s="7">
        <f>IF(Y285=1,IF(ISNUMBER(T285),1,0),0)</f>
        <v/>
      </c>
      <c r="BD285" s="7">
        <f>IF(Y285=1,AQ285+ROW()/1E9,-1E9)</f>
        <v/>
      </c>
      <c r="BE285" s="7">
        <f>IF(Y285=1,AQ285+ROW()/1E9,1E9)</f>
        <v/>
      </c>
    </row>
    <row r="286">
      <c r="A286" s="16" t="n"/>
      <c r="B286" s="8">
        <f>IF($A286="","",BDP($A286,B$3))</f>
        <v/>
      </c>
      <c r="C286" s="8">
        <f>IF($A286="","",BDP($A286,C$3))</f>
        <v/>
      </c>
      <c r="D286" s="28">
        <f>IF($A286="","",BDP($A286,D$3))</f>
        <v/>
      </c>
      <c r="E286" s="29">
        <f>IF($A286="","",BDP($A286,E$3))</f>
        <v/>
      </c>
      <c r="F286" s="17">
        <f>IF($A286="","",BDP($A286,F$3))</f>
        <v/>
      </c>
      <c r="G286" s="8">
        <f>IF($A286="","",BDP($A286,G$3))</f>
        <v/>
      </c>
      <c r="H286" s="8">
        <f>IF($A286="","",BDP($A286,H$3))</f>
        <v/>
      </c>
      <c r="I286" s="8">
        <f>IF($A286="","",BDP($A286,I$3))</f>
        <v/>
      </c>
      <c r="J286" s="8">
        <f>IF($A286="","",BDP($A286,J$3))</f>
        <v/>
      </c>
      <c r="K286" s="8">
        <f>IF($A286="","",BDP($A286,K$3))</f>
        <v/>
      </c>
      <c r="L286" s="28">
        <f>IF($A286="","",BDP($A286,L$3))</f>
        <v/>
      </c>
      <c r="M286" s="28">
        <f>IF($A286="","",BDP($A286,M$3))</f>
        <v/>
      </c>
      <c r="N286" s="30">
        <f>IF($A286="","",BDP($A286,N$3))</f>
        <v/>
      </c>
      <c r="O286" s="31">
        <f>IF($A286="","",BDP($A286,O$3))</f>
        <v/>
      </c>
      <c r="P286" s="30">
        <f>IF($A286="","",BDH($A286,$N$3,'參數'!$B$5,'參數'!$B$5,"Days=A","Fill=P","Dates=H"))</f>
        <v/>
      </c>
      <c r="Q286" s="30">
        <f>IF($A286="","",BDH($A286,$N$3,'參數'!$B$6,'參數'!$B$6,"Days=A","Fill=P","Dates=H"))</f>
        <v/>
      </c>
      <c r="R286" s="30">
        <f>IF($A286="","",BDH($A286,$N$3,'參數'!$B$7,'參數'!$B$7,"Days=A","Fill=P","Dates=H"))</f>
        <v/>
      </c>
      <c r="S286" s="32">
        <f>IF($A286="","",IFERROR(INDEX('發行人'!$A$5:$A$44,MATCH(B286,'發行人'!$D$5:$D$44,0)),"未對應"))</f>
        <v/>
      </c>
      <c r="T286" s="24">
        <f>IF($A286="","",IFERROR(INDEX('發行人'!$G$5:$G$44,MATCH(B286,'發行人'!$D$5:$D$44,0))+0,""))</f>
        <v/>
      </c>
      <c r="U286" s="18">
        <f>IF(ISNUMBER(E286),YEARFRAC('參數'!$B$4,E286),"")</f>
        <v/>
      </c>
      <c r="V286" s="8">
        <f>IF(U286="","",IF(U286&lt;3,"1-3y",IF(U286&lt;5,"3-5y",IF(U286&lt;7,"5-7y",IF(U286&lt;10,"7-10y","10y+")))))</f>
        <v/>
      </c>
      <c r="W286" s="30">
        <f>IF($A286="","",IFERROR(INDEX('參數'!$B$24:$B$45,MATCH(G286,'參數'!$A$24:$A$45,0)),""))</f>
        <v/>
      </c>
      <c r="X286" s="8">
        <f>IF($A286="","",IFERROR(INDEX('參數'!$C$24:$C$45,MATCH(G286,'參數'!$A$24:$A$45,0)),""))</f>
        <v/>
      </c>
      <c r="Y286" s="30">
        <f>IF(AND(ISNUMBER(N286),ISNUMBER(O286),ISNUMBER(U286)),IF(AND(O286&gt;0,X286&lt;&gt;""),1,0),0)</f>
        <v/>
      </c>
      <c r="Z286" s="17">
        <f>IF(Y286=1,O286*N286,"")</f>
        <v/>
      </c>
      <c r="AA286" s="33">
        <f>IF(Y286=1,IF(ISNUMBER(Q286),N286-Q286,""),"")</f>
        <v/>
      </c>
      <c r="AB286" s="33">
        <f>IF(Y286=1,IF(AND(ISNUMBER(P286),ISNUMBER(R286)),R286*5/12-O286*(P286-R286),""),"")</f>
        <v/>
      </c>
      <c r="AC286" s="30">
        <f>IF(Y286=1,COUNTIFS($X$5:$X$404,X286,$V$5:$V$404,V286,$Y$5:$Y$404,1),"")</f>
        <v/>
      </c>
      <c r="AD286" s="30">
        <f>IF(Y286=1,IFERROR(IF(AC286&gt;='參數'!$B$9,INDEX('分群統計'!$G$13:$K$16,MATCH(X286,'分群統計'!$A$13:$A$16,0),MATCH(V286,'分群統計'!$G$12:$K$12,0)),INDEX('分群統計'!$I$5:$I$8,MATCH(X286,'分群統計'!$A$5:$A$8,0))),""),"")</f>
        <v/>
      </c>
      <c r="AE286" s="18">
        <f>IF(Y286=1,IFERROR(IF(AC286&gt;='參數'!$B$9,INDEX('分群統計'!$L$13:$P$16,MATCH(X286,'分群統計'!$A$13:$A$16,0),MATCH(V286,'分群統計'!$L$12:$P$12,0)),INDEX('分群統計'!$J$5:$J$8,MATCH(X286,'分群統計'!$A$5:$A$8,0))),""),"")</f>
        <v/>
      </c>
      <c r="AF286" s="31">
        <f>IF(ISNUMBER(AE286),IF(AE286&gt;0,MAX(-3,MIN(3,(N286-AD286)/AE286)),0),"")</f>
        <v/>
      </c>
      <c r="AG286" s="30">
        <f>IF(Y286=1,COUNTIFS($B$5:$B$404,B286,$Y$5:$Y$404,1),"")</f>
        <v/>
      </c>
      <c r="AH286" s="30">
        <f>IF(Y286=1,IFERROR(IF(ISNUMBER(INDEX('分群統計'!$G$20:$G$59,MATCH(B286,'分群統計'!$A$20:$A$59,0))),INDEX('分群統計'!$H$20:$H$59,MATCH(B286,'分群統計'!$A$20:$A$59,0))+INDEX('分群統計'!$G$20:$G$59,MATCH(B286,'分群統計'!$A$20:$A$59,0))*AU286,""),""),"")</f>
        <v/>
      </c>
      <c r="AI286" s="34">
        <f>IF(ISNUMBER(AH286),N286-AH286,"")</f>
        <v/>
      </c>
      <c r="AJ286" s="30">
        <f>IF(Y286=1,IFERROR(IF(ISNUMBER(INDEX('分群統計'!$G$5:$G$8,MATCH(X286,'分群統計'!$A$5:$A$8,0))),INDEX('分群統計'!$H$5:$H$8,MATCH(X286,'分群統計'!$A$5:$A$8,0))+INDEX('分群統計'!$G$5:$G$8,MATCH(X286,'分群統計'!$A$5:$A$8,0))*AU286,""),""),"")</f>
        <v/>
      </c>
      <c r="AK286" s="34">
        <f>IF(ISNUMBER(AJ286),N286-AJ286,"")</f>
        <v/>
      </c>
      <c r="AL286" s="21">
        <f>IF(ISNUMBER(AJ286),IF(AJ286&gt;0,AK286/AJ286,""),"")</f>
        <v/>
      </c>
      <c r="AM286" s="31">
        <f>IF(AY286&lt;&gt;1,"",IFERROR(IF(INDEX('分群統計'!$K$5:$K$8,MATCH(X286,'分群統計'!$A$5:$A$8,0))&lt;3,"",IF(INDEX('分群統計'!$M$5:$M$8,MATCH(X286,'分群統計'!$A$5:$A$8,0))&gt;0,MAX(-3,MIN(3,(AX286-INDEX('分群統計'!$L$5:$L$8,MATCH(X286,'分群統計'!$A$5:$A$8,0)))/INDEX('分群統計'!$M$5:$M$8,MATCH(X286,'分群統計'!$A$5:$A$8,0)))),0)),""))</f>
        <v/>
      </c>
      <c r="AN286" s="31">
        <f>IF(ISNUMBER(AB286),IF(Z286&gt;0,AB286/Z286*100,""),"")</f>
        <v/>
      </c>
      <c r="AO286" s="31">
        <f>IF(BA286&lt;&gt;1,"",IFERROR(IF(INDEX('分群統計'!$N$5:$N$8,MATCH(X286,'分群統計'!$A$5:$A$8,0))&lt;3,"",IF(INDEX('分群統計'!$P$5:$P$8,MATCH(X286,'分群統計'!$A$5:$A$8,0))&gt;0,MAX(-3,MIN(3,(AZ286-INDEX('分群統計'!$O$5:$O$8,MATCH(X286,'分群統計'!$A$5:$A$8,0)))/INDEX('分群統計'!$P$5:$P$8,MATCH(X286,'分群統計'!$A$5:$A$8,0)))),0)),""))</f>
        <v/>
      </c>
      <c r="AP286" s="31">
        <f>IF(BC286&lt;&gt;1,"",IFERROR(IF(INDEX('分群統計'!$Q$5:$Q$8,MATCH(X286,'分群統計'!$A$5:$A$8,0))&lt;3,"",IF(INDEX('分群統計'!$S$5:$S$8,MATCH(X286,'分群統計'!$A$5:$A$8,0))&gt;0,MAX(-3,MIN(3,(BB286-INDEX('分群統計'!$R$5:$R$8,MATCH(X286,'分群統計'!$A$5:$A$8,0)))/INDEX('分群統計'!$S$5:$S$8,MATCH(X286,'分群統計'!$A$5:$A$8,0)))),0)),""))</f>
        <v/>
      </c>
      <c r="AQ286" s="31">
        <f>IF(Y286=1,(IF(ISNUMBER(AF286),AF286,0)*'參數'!$B$13+IF(ISNUMBER(AM286),AM286,0)*'參數'!$B$14+IF(ISNUMBER(AO286),AO286,0)*'參數'!$B$15+IF(ISNUMBER(AP286),AP286,0)*'參數'!$B$16)/('參數'!$B$13+'參數'!$B$14+'參數'!$B$15+'參數'!$B$16),"")</f>
        <v/>
      </c>
      <c r="AR286" s="35">
        <f>IF(Y286=1,(SUMPRODUCT(($X$5:$X$404=X286)*($Y$5:$Y$404=1)*($BD$5:$BD$404&gt;BD286))+1)/COUNTIFS($X$5:$X$404,X286,$Y$5:$Y$404,1),"")</f>
        <v/>
      </c>
      <c r="AS286" s="8">
        <f>IF(ISNUMBER(AR286),IF(AR286&lt;='參數'!$B$18,"加碼候選",IF(AR286&gt;'參數'!$B$19,"減碼候選","")),"")</f>
        <v/>
      </c>
      <c r="AT286" s="7">
        <f>IF(Y286=1,N286,0)</f>
        <v/>
      </c>
      <c r="AU286" s="7">
        <f>IF(Y286=1,LN(O286),0)</f>
        <v/>
      </c>
      <c r="AV286" s="36">
        <f>IF(Y286=1,IF(ISNUMBER(F286),F286,0),0)</f>
        <v/>
      </c>
      <c r="AW286" s="7">
        <f>IF(Y286=1,Z286,0)</f>
        <v/>
      </c>
      <c r="AX286" s="7">
        <f>IF(Y286=1,IF(ISNUMBER(AL286),AL286,0),0)</f>
        <v/>
      </c>
      <c r="AY286" s="7">
        <f>IF(Y286=1,IF(ISNUMBER(AL286),1,0),0)</f>
        <v/>
      </c>
      <c r="AZ286" s="7">
        <f>IF(Y286=1,IF(ISNUMBER(AN286),AN286,0),0)</f>
        <v/>
      </c>
      <c r="BA286" s="7">
        <f>IF(Y286=1,IF(ISNUMBER(AN286),1,0),0)</f>
        <v/>
      </c>
      <c r="BB286" s="7">
        <f>IF(Y286=1,IF(ISNUMBER(T286),T286,0),0)</f>
        <v/>
      </c>
      <c r="BC286" s="7">
        <f>IF(Y286=1,IF(ISNUMBER(T286),1,0),0)</f>
        <v/>
      </c>
      <c r="BD286" s="7">
        <f>IF(Y286=1,AQ286+ROW()/1E9,-1E9)</f>
        <v/>
      </c>
      <c r="BE286" s="7">
        <f>IF(Y286=1,AQ286+ROW()/1E9,1E9)</f>
        <v/>
      </c>
    </row>
    <row r="287">
      <c r="A287" s="16" t="n"/>
      <c r="B287" s="8">
        <f>IF($A287="","",BDP($A287,B$3))</f>
        <v/>
      </c>
      <c r="C287" s="8">
        <f>IF($A287="","",BDP($A287,C$3))</f>
        <v/>
      </c>
      <c r="D287" s="28">
        <f>IF($A287="","",BDP($A287,D$3))</f>
        <v/>
      </c>
      <c r="E287" s="29">
        <f>IF($A287="","",BDP($A287,E$3))</f>
        <v/>
      </c>
      <c r="F287" s="17">
        <f>IF($A287="","",BDP($A287,F$3))</f>
        <v/>
      </c>
      <c r="G287" s="8">
        <f>IF($A287="","",BDP($A287,G$3))</f>
        <v/>
      </c>
      <c r="H287" s="8">
        <f>IF($A287="","",BDP($A287,H$3))</f>
        <v/>
      </c>
      <c r="I287" s="8">
        <f>IF($A287="","",BDP($A287,I$3))</f>
        <v/>
      </c>
      <c r="J287" s="8">
        <f>IF($A287="","",BDP($A287,J$3))</f>
        <v/>
      </c>
      <c r="K287" s="8">
        <f>IF($A287="","",BDP($A287,K$3))</f>
        <v/>
      </c>
      <c r="L287" s="28">
        <f>IF($A287="","",BDP($A287,L$3))</f>
        <v/>
      </c>
      <c r="M287" s="28">
        <f>IF($A287="","",BDP($A287,M$3))</f>
        <v/>
      </c>
      <c r="N287" s="30">
        <f>IF($A287="","",BDP($A287,N$3))</f>
        <v/>
      </c>
      <c r="O287" s="31">
        <f>IF($A287="","",BDP($A287,O$3))</f>
        <v/>
      </c>
      <c r="P287" s="30">
        <f>IF($A287="","",BDH($A287,$N$3,'參數'!$B$5,'參數'!$B$5,"Days=A","Fill=P","Dates=H"))</f>
        <v/>
      </c>
      <c r="Q287" s="30">
        <f>IF($A287="","",BDH($A287,$N$3,'參數'!$B$6,'參數'!$B$6,"Days=A","Fill=P","Dates=H"))</f>
        <v/>
      </c>
      <c r="R287" s="30">
        <f>IF($A287="","",BDH($A287,$N$3,'參數'!$B$7,'參數'!$B$7,"Days=A","Fill=P","Dates=H"))</f>
        <v/>
      </c>
      <c r="S287" s="32">
        <f>IF($A287="","",IFERROR(INDEX('發行人'!$A$5:$A$44,MATCH(B287,'發行人'!$D$5:$D$44,0)),"未對應"))</f>
        <v/>
      </c>
      <c r="T287" s="24">
        <f>IF($A287="","",IFERROR(INDEX('發行人'!$G$5:$G$44,MATCH(B287,'發行人'!$D$5:$D$44,0))+0,""))</f>
        <v/>
      </c>
      <c r="U287" s="18">
        <f>IF(ISNUMBER(E287),YEARFRAC('參數'!$B$4,E287),"")</f>
        <v/>
      </c>
      <c r="V287" s="8">
        <f>IF(U287="","",IF(U287&lt;3,"1-3y",IF(U287&lt;5,"3-5y",IF(U287&lt;7,"5-7y",IF(U287&lt;10,"7-10y","10y+")))))</f>
        <v/>
      </c>
      <c r="W287" s="30">
        <f>IF($A287="","",IFERROR(INDEX('參數'!$B$24:$B$45,MATCH(G287,'參數'!$A$24:$A$45,0)),""))</f>
        <v/>
      </c>
      <c r="X287" s="8">
        <f>IF($A287="","",IFERROR(INDEX('參數'!$C$24:$C$45,MATCH(G287,'參數'!$A$24:$A$45,0)),""))</f>
        <v/>
      </c>
      <c r="Y287" s="30">
        <f>IF(AND(ISNUMBER(N287),ISNUMBER(O287),ISNUMBER(U287)),IF(AND(O287&gt;0,X287&lt;&gt;""),1,0),0)</f>
        <v/>
      </c>
      <c r="Z287" s="17">
        <f>IF(Y287=1,O287*N287,"")</f>
        <v/>
      </c>
      <c r="AA287" s="33">
        <f>IF(Y287=1,IF(ISNUMBER(Q287),N287-Q287,""),"")</f>
        <v/>
      </c>
      <c r="AB287" s="33">
        <f>IF(Y287=1,IF(AND(ISNUMBER(P287),ISNUMBER(R287)),R287*5/12-O287*(P287-R287),""),"")</f>
        <v/>
      </c>
      <c r="AC287" s="30">
        <f>IF(Y287=1,COUNTIFS($X$5:$X$404,X287,$V$5:$V$404,V287,$Y$5:$Y$404,1),"")</f>
        <v/>
      </c>
      <c r="AD287" s="30">
        <f>IF(Y287=1,IFERROR(IF(AC287&gt;='參數'!$B$9,INDEX('分群統計'!$G$13:$K$16,MATCH(X287,'分群統計'!$A$13:$A$16,0),MATCH(V287,'分群統計'!$G$12:$K$12,0)),INDEX('分群統計'!$I$5:$I$8,MATCH(X287,'分群統計'!$A$5:$A$8,0))),""),"")</f>
        <v/>
      </c>
      <c r="AE287" s="18">
        <f>IF(Y287=1,IFERROR(IF(AC287&gt;='參數'!$B$9,INDEX('分群統計'!$L$13:$P$16,MATCH(X287,'分群統計'!$A$13:$A$16,0),MATCH(V287,'分群統計'!$L$12:$P$12,0)),INDEX('分群統計'!$J$5:$J$8,MATCH(X287,'分群統計'!$A$5:$A$8,0))),""),"")</f>
        <v/>
      </c>
      <c r="AF287" s="31">
        <f>IF(ISNUMBER(AE287),IF(AE287&gt;0,MAX(-3,MIN(3,(N287-AD287)/AE287)),0),"")</f>
        <v/>
      </c>
      <c r="AG287" s="30">
        <f>IF(Y287=1,COUNTIFS($B$5:$B$404,B287,$Y$5:$Y$404,1),"")</f>
        <v/>
      </c>
      <c r="AH287" s="30">
        <f>IF(Y287=1,IFERROR(IF(ISNUMBER(INDEX('分群統計'!$G$20:$G$59,MATCH(B287,'分群統計'!$A$20:$A$59,0))),INDEX('分群統計'!$H$20:$H$59,MATCH(B287,'分群統計'!$A$20:$A$59,0))+INDEX('分群統計'!$G$20:$G$59,MATCH(B287,'分群統計'!$A$20:$A$59,0))*AU287,""),""),"")</f>
        <v/>
      </c>
      <c r="AI287" s="34">
        <f>IF(ISNUMBER(AH287),N287-AH287,"")</f>
        <v/>
      </c>
      <c r="AJ287" s="30">
        <f>IF(Y287=1,IFERROR(IF(ISNUMBER(INDEX('分群統計'!$G$5:$G$8,MATCH(X287,'分群統計'!$A$5:$A$8,0))),INDEX('分群統計'!$H$5:$H$8,MATCH(X287,'分群統計'!$A$5:$A$8,0))+INDEX('分群統計'!$G$5:$G$8,MATCH(X287,'分群統計'!$A$5:$A$8,0))*AU287,""),""),"")</f>
        <v/>
      </c>
      <c r="AK287" s="34">
        <f>IF(ISNUMBER(AJ287),N287-AJ287,"")</f>
        <v/>
      </c>
      <c r="AL287" s="21">
        <f>IF(ISNUMBER(AJ287),IF(AJ287&gt;0,AK287/AJ287,""),"")</f>
        <v/>
      </c>
      <c r="AM287" s="31">
        <f>IF(AY287&lt;&gt;1,"",IFERROR(IF(INDEX('分群統計'!$K$5:$K$8,MATCH(X287,'分群統計'!$A$5:$A$8,0))&lt;3,"",IF(INDEX('分群統計'!$M$5:$M$8,MATCH(X287,'分群統計'!$A$5:$A$8,0))&gt;0,MAX(-3,MIN(3,(AX287-INDEX('分群統計'!$L$5:$L$8,MATCH(X287,'分群統計'!$A$5:$A$8,0)))/INDEX('分群統計'!$M$5:$M$8,MATCH(X287,'分群統計'!$A$5:$A$8,0)))),0)),""))</f>
        <v/>
      </c>
      <c r="AN287" s="31">
        <f>IF(ISNUMBER(AB287),IF(Z287&gt;0,AB287/Z287*100,""),"")</f>
        <v/>
      </c>
      <c r="AO287" s="31">
        <f>IF(BA287&lt;&gt;1,"",IFERROR(IF(INDEX('分群統計'!$N$5:$N$8,MATCH(X287,'分群統計'!$A$5:$A$8,0))&lt;3,"",IF(INDEX('分群統計'!$P$5:$P$8,MATCH(X287,'分群統計'!$A$5:$A$8,0))&gt;0,MAX(-3,MIN(3,(AZ287-INDEX('分群統計'!$O$5:$O$8,MATCH(X287,'分群統計'!$A$5:$A$8,0)))/INDEX('分群統計'!$P$5:$P$8,MATCH(X287,'分群統計'!$A$5:$A$8,0)))),0)),""))</f>
        <v/>
      </c>
      <c r="AP287" s="31">
        <f>IF(BC287&lt;&gt;1,"",IFERROR(IF(INDEX('分群統計'!$Q$5:$Q$8,MATCH(X287,'分群統計'!$A$5:$A$8,0))&lt;3,"",IF(INDEX('分群統計'!$S$5:$S$8,MATCH(X287,'分群統計'!$A$5:$A$8,0))&gt;0,MAX(-3,MIN(3,(BB287-INDEX('分群統計'!$R$5:$R$8,MATCH(X287,'分群統計'!$A$5:$A$8,0)))/INDEX('分群統計'!$S$5:$S$8,MATCH(X287,'分群統計'!$A$5:$A$8,0)))),0)),""))</f>
        <v/>
      </c>
      <c r="AQ287" s="31">
        <f>IF(Y287=1,(IF(ISNUMBER(AF287),AF287,0)*'參數'!$B$13+IF(ISNUMBER(AM287),AM287,0)*'參數'!$B$14+IF(ISNUMBER(AO287),AO287,0)*'參數'!$B$15+IF(ISNUMBER(AP287),AP287,0)*'參數'!$B$16)/('參數'!$B$13+'參數'!$B$14+'參數'!$B$15+'參數'!$B$16),"")</f>
        <v/>
      </c>
      <c r="AR287" s="35">
        <f>IF(Y287=1,(SUMPRODUCT(($X$5:$X$404=X287)*($Y$5:$Y$404=1)*($BD$5:$BD$404&gt;BD287))+1)/COUNTIFS($X$5:$X$404,X287,$Y$5:$Y$404,1),"")</f>
        <v/>
      </c>
      <c r="AS287" s="8">
        <f>IF(ISNUMBER(AR287),IF(AR287&lt;='參數'!$B$18,"加碼候選",IF(AR287&gt;'參數'!$B$19,"減碼候選","")),"")</f>
        <v/>
      </c>
      <c r="AT287" s="7">
        <f>IF(Y287=1,N287,0)</f>
        <v/>
      </c>
      <c r="AU287" s="7">
        <f>IF(Y287=1,LN(O287),0)</f>
        <v/>
      </c>
      <c r="AV287" s="36">
        <f>IF(Y287=1,IF(ISNUMBER(F287),F287,0),0)</f>
        <v/>
      </c>
      <c r="AW287" s="7">
        <f>IF(Y287=1,Z287,0)</f>
        <v/>
      </c>
      <c r="AX287" s="7">
        <f>IF(Y287=1,IF(ISNUMBER(AL287),AL287,0),0)</f>
        <v/>
      </c>
      <c r="AY287" s="7">
        <f>IF(Y287=1,IF(ISNUMBER(AL287),1,0),0)</f>
        <v/>
      </c>
      <c r="AZ287" s="7">
        <f>IF(Y287=1,IF(ISNUMBER(AN287),AN287,0),0)</f>
        <v/>
      </c>
      <c r="BA287" s="7">
        <f>IF(Y287=1,IF(ISNUMBER(AN287),1,0),0)</f>
        <v/>
      </c>
      <c r="BB287" s="7">
        <f>IF(Y287=1,IF(ISNUMBER(T287),T287,0),0)</f>
        <v/>
      </c>
      <c r="BC287" s="7">
        <f>IF(Y287=1,IF(ISNUMBER(T287),1,0),0)</f>
        <v/>
      </c>
      <c r="BD287" s="7">
        <f>IF(Y287=1,AQ287+ROW()/1E9,-1E9)</f>
        <v/>
      </c>
      <c r="BE287" s="7">
        <f>IF(Y287=1,AQ287+ROW()/1E9,1E9)</f>
        <v/>
      </c>
    </row>
    <row r="288">
      <c r="A288" s="16" t="n"/>
      <c r="B288" s="8">
        <f>IF($A288="","",BDP($A288,B$3))</f>
        <v/>
      </c>
      <c r="C288" s="8">
        <f>IF($A288="","",BDP($A288,C$3))</f>
        <v/>
      </c>
      <c r="D288" s="28">
        <f>IF($A288="","",BDP($A288,D$3))</f>
        <v/>
      </c>
      <c r="E288" s="29">
        <f>IF($A288="","",BDP($A288,E$3))</f>
        <v/>
      </c>
      <c r="F288" s="17">
        <f>IF($A288="","",BDP($A288,F$3))</f>
        <v/>
      </c>
      <c r="G288" s="8">
        <f>IF($A288="","",BDP($A288,G$3))</f>
        <v/>
      </c>
      <c r="H288" s="8">
        <f>IF($A288="","",BDP($A288,H$3))</f>
        <v/>
      </c>
      <c r="I288" s="8">
        <f>IF($A288="","",BDP($A288,I$3))</f>
        <v/>
      </c>
      <c r="J288" s="8">
        <f>IF($A288="","",BDP($A288,J$3))</f>
        <v/>
      </c>
      <c r="K288" s="8">
        <f>IF($A288="","",BDP($A288,K$3))</f>
        <v/>
      </c>
      <c r="L288" s="28">
        <f>IF($A288="","",BDP($A288,L$3))</f>
        <v/>
      </c>
      <c r="M288" s="28">
        <f>IF($A288="","",BDP($A288,M$3))</f>
        <v/>
      </c>
      <c r="N288" s="30">
        <f>IF($A288="","",BDP($A288,N$3))</f>
        <v/>
      </c>
      <c r="O288" s="31">
        <f>IF($A288="","",BDP($A288,O$3))</f>
        <v/>
      </c>
      <c r="P288" s="30">
        <f>IF($A288="","",BDH($A288,$N$3,'參數'!$B$5,'參數'!$B$5,"Days=A","Fill=P","Dates=H"))</f>
        <v/>
      </c>
      <c r="Q288" s="30">
        <f>IF($A288="","",BDH($A288,$N$3,'參數'!$B$6,'參數'!$B$6,"Days=A","Fill=P","Dates=H"))</f>
        <v/>
      </c>
      <c r="R288" s="30">
        <f>IF($A288="","",BDH($A288,$N$3,'參數'!$B$7,'參數'!$B$7,"Days=A","Fill=P","Dates=H"))</f>
        <v/>
      </c>
      <c r="S288" s="32">
        <f>IF($A288="","",IFERROR(INDEX('發行人'!$A$5:$A$44,MATCH(B288,'發行人'!$D$5:$D$44,0)),"未對應"))</f>
        <v/>
      </c>
      <c r="T288" s="24">
        <f>IF($A288="","",IFERROR(INDEX('發行人'!$G$5:$G$44,MATCH(B288,'發行人'!$D$5:$D$44,0))+0,""))</f>
        <v/>
      </c>
      <c r="U288" s="18">
        <f>IF(ISNUMBER(E288),YEARFRAC('參數'!$B$4,E288),"")</f>
        <v/>
      </c>
      <c r="V288" s="8">
        <f>IF(U288="","",IF(U288&lt;3,"1-3y",IF(U288&lt;5,"3-5y",IF(U288&lt;7,"5-7y",IF(U288&lt;10,"7-10y","10y+")))))</f>
        <v/>
      </c>
      <c r="W288" s="30">
        <f>IF($A288="","",IFERROR(INDEX('參數'!$B$24:$B$45,MATCH(G288,'參數'!$A$24:$A$45,0)),""))</f>
        <v/>
      </c>
      <c r="X288" s="8">
        <f>IF($A288="","",IFERROR(INDEX('參數'!$C$24:$C$45,MATCH(G288,'參數'!$A$24:$A$45,0)),""))</f>
        <v/>
      </c>
      <c r="Y288" s="30">
        <f>IF(AND(ISNUMBER(N288),ISNUMBER(O288),ISNUMBER(U288)),IF(AND(O288&gt;0,X288&lt;&gt;""),1,0),0)</f>
        <v/>
      </c>
      <c r="Z288" s="17">
        <f>IF(Y288=1,O288*N288,"")</f>
        <v/>
      </c>
      <c r="AA288" s="33">
        <f>IF(Y288=1,IF(ISNUMBER(Q288),N288-Q288,""),"")</f>
        <v/>
      </c>
      <c r="AB288" s="33">
        <f>IF(Y288=1,IF(AND(ISNUMBER(P288),ISNUMBER(R288)),R288*5/12-O288*(P288-R288),""),"")</f>
        <v/>
      </c>
      <c r="AC288" s="30">
        <f>IF(Y288=1,COUNTIFS($X$5:$X$404,X288,$V$5:$V$404,V288,$Y$5:$Y$404,1),"")</f>
        <v/>
      </c>
      <c r="AD288" s="30">
        <f>IF(Y288=1,IFERROR(IF(AC288&gt;='參數'!$B$9,INDEX('分群統計'!$G$13:$K$16,MATCH(X288,'分群統計'!$A$13:$A$16,0),MATCH(V288,'分群統計'!$G$12:$K$12,0)),INDEX('分群統計'!$I$5:$I$8,MATCH(X288,'分群統計'!$A$5:$A$8,0))),""),"")</f>
        <v/>
      </c>
      <c r="AE288" s="18">
        <f>IF(Y288=1,IFERROR(IF(AC288&gt;='參數'!$B$9,INDEX('分群統計'!$L$13:$P$16,MATCH(X288,'分群統計'!$A$13:$A$16,0),MATCH(V288,'分群統計'!$L$12:$P$12,0)),INDEX('分群統計'!$J$5:$J$8,MATCH(X288,'分群統計'!$A$5:$A$8,0))),""),"")</f>
        <v/>
      </c>
      <c r="AF288" s="31">
        <f>IF(ISNUMBER(AE288),IF(AE288&gt;0,MAX(-3,MIN(3,(N288-AD288)/AE288)),0),"")</f>
        <v/>
      </c>
      <c r="AG288" s="30">
        <f>IF(Y288=1,COUNTIFS($B$5:$B$404,B288,$Y$5:$Y$404,1),"")</f>
        <v/>
      </c>
      <c r="AH288" s="30">
        <f>IF(Y288=1,IFERROR(IF(ISNUMBER(INDEX('分群統計'!$G$20:$G$59,MATCH(B288,'分群統計'!$A$20:$A$59,0))),INDEX('分群統計'!$H$20:$H$59,MATCH(B288,'分群統計'!$A$20:$A$59,0))+INDEX('分群統計'!$G$20:$G$59,MATCH(B288,'分群統計'!$A$20:$A$59,0))*AU288,""),""),"")</f>
        <v/>
      </c>
      <c r="AI288" s="34">
        <f>IF(ISNUMBER(AH288),N288-AH288,"")</f>
        <v/>
      </c>
      <c r="AJ288" s="30">
        <f>IF(Y288=1,IFERROR(IF(ISNUMBER(INDEX('分群統計'!$G$5:$G$8,MATCH(X288,'分群統計'!$A$5:$A$8,0))),INDEX('分群統計'!$H$5:$H$8,MATCH(X288,'分群統計'!$A$5:$A$8,0))+INDEX('分群統計'!$G$5:$G$8,MATCH(X288,'分群統計'!$A$5:$A$8,0))*AU288,""),""),"")</f>
        <v/>
      </c>
      <c r="AK288" s="34">
        <f>IF(ISNUMBER(AJ288),N288-AJ288,"")</f>
        <v/>
      </c>
      <c r="AL288" s="21">
        <f>IF(ISNUMBER(AJ288),IF(AJ288&gt;0,AK288/AJ288,""),"")</f>
        <v/>
      </c>
      <c r="AM288" s="31">
        <f>IF(AY288&lt;&gt;1,"",IFERROR(IF(INDEX('分群統計'!$K$5:$K$8,MATCH(X288,'分群統計'!$A$5:$A$8,0))&lt;3,"",IF(INDEX('分群統計'!$M$5:$M$8,MATCH(X288,'分群統計'!$A$5:$A$8,0))&gt;0,MAX(-3,MIN(3,(AX288-INDEX('分群統計'!$L$5:$L$8,MATCH(X288,'分群統計'!$A$5:$A$8,0)))/INDEX('分群統計'!$M$5:$M$8,MATCH(X288,'分群統計'!$A$5:$A$8,0)))),0)),""))</f>
        <v/>
      </c>
      <c r="AN288" s="31">
        <f>IF(ISNUMBER(AB288),IF(Z288&gt;0,AB288/Z288*100,""),"")</f>
        <v/>
      </c>
      <c r="AO288" s="31">
        <f>IF(BA288&lt;&gt;1,"",IFERROR(IF(INDEX('分群統計'!$N$5:$N$8,MATCH(X288,'分群統計'!$A$5:$A$8,0))&lt;3,"",IF(INDEX('分群統計'!$P$5:$P$8,MATCH(X288,'分群統計'!$A$5:$A$8,0))&gt;0,MAX(-3,MIN(3,(AZ288-INDEX('分群統計'!$O$5:$O$8,MATCH(X288,'分群統計'!$A$5:$A$8,0)))/INDEX('分群統計'!$P$5:$P$8,MATCH(X288,'分群統計'!$A$5:$A$8,0)))),0)),""))</f>
        <v/>
      </c>
      <c r="AP288" s="31">
        <f>IF(BC288&lt;&gt;1,"",IFERROR(IF(INDEX('分群統計'!$Q$5:$Q$8,MATCH(X288,'分群統計'!$A$5:$A$8,0))&lt;3,"",IF(INDEX('分群統計'!$S$5:$S$8,MATCH(X288,'分群統計'!$A$5:$A$8,0))&gt;0,MAX(-3,MIN(3,(BB288-INDEX('分群統計'!$R$5:$R$8,MATCH(X288,'分群統計'!$A$5:$A$8,0)))/INDEX('分群統計'!$S$5:$S$8,MATCH(X288,'分群統計'!$A$5:$A$8,0)))),0)),""))</f>
        <v/>
      </c>
      <c r="AQ288" s="31">
        <f>IF(Y288=1,(IF(ISNUMBER(AF288),AF288,0)*'參數'!$B$13+IF(ISNUMBER(AM288),AM288,0)*'參數'!$B$14+IF(ISNUMBER(AO288),AO288,0)*'參數'!$B$15+IF(ISNUMBER(AP288),AP288,0)*'參數'!$B$16)/('參數'!$B$13+'參數'!$B$14+'參數'!$B$15+'參數'!$B$16),"")</f>
        <v/>
      </c>
      <c r="AR288" s="35">
        <f>IF(Y288=1,(SUMPRODUCT(($X$5:$X$404=X288)*($Y$5:$Y$404=1)*($BD$5:$BD$404&gt;BD288))+1)/COUNTIFS($X$5:$X$404,X288,$Y$5:$Y$404,1),"")</f>
        <v/>
      </c>
      <c r="AS288" s="8">
        <f>IF(ISNUMBER(AR288),IF(AR288&lt;='參數'!$B$18,"加碼候選",IF(AR288&gt;'參數'!$B$19,"減碼候選","")),"")</f>
        <v/>
      </c>
      <c r="AT288" s="7">
        <f>IF(Y288=1,N288,0)</f>
        <v/>
      </c>
      <c r="AU288" s="7">
        <f>IF(Y288=1,LN(O288),0)</f>
        <v/>
      </c>
      <c r="AV288" s="36">
        <f>IF(Y288=1,IF(ISNUMBER(F288),F288,0),0)</f>
        <v/>
      </c>
      <c r="AW288" s="7">
        <f>IF(Y288=1,Z288,0)</f>
        <v/>
      </c>
      <c r="AX288" s="7">
        <f>IF(Y288=1,IF(ISNUMBER(AL288),AL288,0),0)</f>
        <v/>
      </c>
      <c r="AY288" s="7">
        <f>IF(Y288=1,IF(ISNUMBER(AL288),1,0),0)</f>
        <v/>
      </c>
      <c r="AZ288" s="7">
        <f>IF(Y288=1,IF(ISNUMBER(AN288),AN288,0),0)</f>
        <v/>
      </c>
      <c r="BA288" s="7">
        <f>IF(Y288=1,IF(ISNUMBER(AN288),1,0),0)</f>
        <v/>
      </c>
      <c r="BB288" s="7">
        <f>IF(Y288=1,IF(ISNUMBER(T288),T288,0),0)</f>
        <v/>
      </c>
      <c r="BC288" s="7">
        <f>IF(Y288=1,IF(ISNUMBER(T288),1,0),0)</f>
        <v/>
      </c>
      <c r="BD288" s="7">
        <f>IF(Y288=1,AQ288+ROW()/1E9,-1E9)</f>
        <v/>
      </c>
      <c r="BE288" s="7">
        <f>IF(Y288=1,AQ288+ROW()/1E9,1E9)</f>
        <v/>
      </c>
    </row>
    <row r="289">
      <c r="A289" s="16" t="n"/>
      <c r="B289" s="8">
        <f>IF($A289="","",BDP($A289,B$3))</f>
        <v/>
      </c>
      <c r="C289" s="8">
        <f>IF($A289="","",BDP($A289,C$3))</f>
        <v/>
      </c>
      <c r="D289" s="28">
        <f>IF($A289="","",BDP($A289,D$3))</f>
        <v/>
      </c>
      <c r="E289" s="29">
        <f>IF($A289="","",BDP($A289,E$3))</f>
        <v/>
      </c>
      <c r="F289" s="17">
        <f>IF($A289="","",BDP($A289,F$3))</f>
        <v/>
      </c>
      <c r="G289" s="8">
        <f>IF($A289="","",BDP($A289,G$3))</f>
        <v/>
      </c>
      <c r="H289" s="8">
        <f>IF($A289="","",BDP($A289,H$3))</f>
        <v/>
      </c>
      <c r="I289" s="8">
        <f>IF($A289="","",BDP($A289,I$3))</f>
        <v/>
      </c>
      <c r="J289" s="8">
        <f>IF($A289="","",BDP($A289,J$3))</f>
        <v/>
      </c>
      <c r="K289" s="8">
        <f>IF($A289="","",BDP($A289,K$3))</f>
        <v/>
      </c>
      <c r="L289" s="28">
        <f>IF($A289="","",BDP($A289,L$3))</f>
        <v/>
      </c>
      <c r="M289" s="28">
        <f>IF($A289="","",BDP($A289,M$3))</f>
        <v/>
      </c>
      <c r="N289" s="30">
        <f>IF($A289="","",BDP($A289,N$3))</f>
        <v/>
      </c>
      <c r="O289" s="31">
        <f>IF($A289="","",BDP($A289,O$3))</f>
        <v/>
      </c>
      <c r="P289" s="30">
        <f>IF($A289="","",BDH($A289,$N$3,'參數'!$B$5,'參數'!$B$5,"Days=A","Fill=P","Dates=H"))</f>
        <v/>
      </c>
      <c r="Q289" s="30">
        <f>IF($A289="","",BDH($A289,$N$3,'參數'!$B$6,'參數'!$B$6,"Days=A","Fill=P","Dates=H"))</f>
        <v/>
      </c>
      <c r="R289" s="30">
        <f>IF($A289="","",BDH($A289,$N$3,'參數'!$B$7,'參數'!$B$7,"Days=A","Fill=P","Dates=H"))</f>
        <v/>
      </c>
      <c r="S289" s="32">
        <f>IF($A289="","",IFERROR(INDEX('發行人'!$A$5:$A$44,MATCH(B289,'發行人'!$D$5:$D$44,0)),"未對應"))</f>
        <v/>
      </c>
      <c r="T289" s="24">
        <f>IF($A289="","",IFERROR(INDEX('發行人'!$G$5:$G$44,MATCH(B289,'發行人'!$D$5:$D$44,0))+0,""))</f>
        <v/>
      </c>
      <c r="U289" s="18">
        <f>IF(ISNUMBER(E289),YEARFRAC('參數'!$B$4,E289),"")</f>
        <v/>
      </c>
      <c r="V289" s="8">
        <f>IF(U289="","",IF(U289&lt;3,"1-3y",IF(U289&lt;5,"3-5y",IF(U289&lt;7,"5-7y",IF(U289&lt;10,"7-10y","10y+")))))</f>
        <v/>
      </c>
      <c r="W289" s="30">
        <f>IF($A289="","",IFERROR(INDEX('參數'!$B$24:$B$45,MATCH(G289,'參數'!$A$24:$A$45,0)),""))</f>
        <v/>
      </c>
      <c r="X289" s="8">
        <f>IF($A289="","",IFERROR(INDEX('參數'!$C$24:$C$45,MATCH(G289,'參數'!$A$24:$A$45,0)),""))</f>
        <v/>
      </c>
      <c r="Y289" s="30">
        <f>IF(AND(ISNUMBER(N289),ISNUMBER(O289),ISNUMBER(U289)),IF(AND(O289&gt;0,X289&lt;&gt;""),1,0),0)</f>
        <v/>
      </c>
      <c r="Z289" s="17">
        <f>IF(Y289=1,O289*N289,"")</f>
        <v/>
      </c>
      <c r="AA289" s="33">
        <f>IF(Y289=1,IF(ISNUMBER(Q289),N289-Q289,""),"")</f>
        <v/>
      </c>
      <c r="AB289" s="33">
        <f>IF(Y289=1,IF(AND(ISNUMBER(P289),ISNUMBER(R289)),R289*5/12-O289*(P289-R289),""),"")</f>
        <v/>
      </c>
      <c r="AC289" s="30">
        <f>IF(Y289=1,COUNTIFS($X$5:$X$404,X289,$V$5:$V$404,V289,$Y$5:$Y$404,1),"")</f>
        <v/>
      </c>
      <c r="AD289" s="30">
        <f>IF(Y289=1,IFERROR(IF(AC289&gt;='參數'!$B$9,INDEX('分群統計'!$G$13:$K$16,MATCH(X289,'分群統計'!$A$13:$A$16,0),MATCH(V289,'分群統計'!$G$12:$K$12,0)),INDEX('分群統計'!$I$5:$I$8,MATCH(X289,'分群統計'!$A$5:$A$8,0))),""),"")</f>
        <v/>
      </c>
      <c r="AE289" s="18">
        <f>IF(Y289=1,IFERROR(IF(AC289&gt;='參數'!$B$9,INDEX('分群統計'!$L$13:$P$16,MATCH(X289,'分群統計'!$A$13:$A$16,0),MATCH(V289,'分群統計'!$L$12:$P$12,0)),INDEX('分群統計'!$J$5:$J$8,MATCH(X289,'分群統計'!$A$5:$A$8,0))),""),"")</f>
        <v/>
      </c>
      <c r="AF289" s="31">
        <f>IF(ISNUMBER(AE289),IF(AE289&gt;0,MAX(-3,MIN(3,(N289-AD289)/AE289)),0),"")</f>
        <v/>
      </c>
      <c r="AG289" s="30">
        <f>IF(Y289=1,COUNTIFS($B$5:$B$404,B289,$Y$5:$Y$404,1),"")</f>
        <v/>
      </c>
      <c r="AH289" s="30">
        <f>IF(Y289=1,IFERROR(IF(ISNUMBER(INDEX('分群統計'!$G$20:$G$59,MATCH(B289,'分群統計'!$A$20:$A$59,0))),INDEX('分群統計'!$H$20:$H$59,MATCH(B289,'分群統計'!$A$20:$A$59,0))+INDEX('分群統計'!$G$20:$G$59,MATCH(B289,'分群統計'!$A$20:$A$59,0))*AU289,""),""),"")</f>
        <v/>
      </c>
      <c r="AI289" s="34">
        <f>IF(ISNUMBER(AH289),N289-AH289,"")</f>
        <v/>
      </c>
      <c r="AJ289" s="30">
        <f>IF(Y289=1,IFERROR(IF(ISNUMBER(INDEX('分群統計'!$G$5:$G$8,MATCH(X289,'分群統計'!$A$5:$A$8,0))),INDEX('分群統計'!$H$5:$H$8,MATCH(X289,'分群統計'!$A$5:$A$8,0))+INDEX('分群統計'!$G$5:$G$8,MATCH(X289,'分群統計'!$A$5:$A$8,0))*AU289,""),""),"")</f>
        <v/>
      </c>
      <c r="AK289" s="34">
        <f>IF(ISNUMBER(AJ289),N289-AJ289,"")</f>
        <v/>
      </c>
      <c r="AL289" s="21">
        <f>IF(ISNUMBER(AJ289),IF(AJ289&gt;0,AK289/AJ289,""),"")</f>
        <v/>
      </c>
      <c r="AM289" s="31">
        <f>IF(AY289&lt;&gt;1,"",IFERROR(IF(INDEX('分群統計'!$K$5:$K$8,MATCH(X289,'分群統計'!$A$5:$A$8,0))&lt;3,"",IF(INDEX('分群統計'!$M$5:$M$8,MATCH(X289,'分群統計'!$A$5:$A$8,0))&gt;0,MAX(-3,MIN(3,(AX289-INDEX('分群統計'!$L$5:$L$8,MATCH(X289,'分群統計'!$A$5:$A$8,0)))/INDEX('分群統計'!$M$5:$M$8,MATCH(X289,'分群統計'!$A$5:$A$8,0)))),0)),""))</f>
        <v/>
      </c>
      <c r="AN289" s="31">
        <f>IF(ISNUMBER(AB289),IF(Z289&gt;0,AB289/Z289*100,""),"")</f>
        <v/>
      </c>
      <c r="AO289" s="31">
        <f>IF(BA289&lt;&gt;1,"",IFERROR(IF(INDEX('分群統計'!$N$5:$N$8,MATCH(X289,'分群統計'!$A$5:$A$8,0))&lt;3,"",IF(INDEX('分群統計'!$P$5:$P$8,MATCH(X289,'分群統計'!$A$5:$A$8,0))&gt;0,MAX(-3,MIN(3,(AZ289-INDEX('分群統計'!$O$5:$O$8,MATCH(X289,'分群統計'!$A$5:$A$8,0)))/INDEX('分群統計'!$P$5:$P$8,MATCH(X289,'分群統計'!$A$5:$A$8,0)))),0)),""))</f>
        <v/>
      </c>
      <c r="AP289" s="31">
        <f>IF(BC289&lt;&gt;1,"",IFERROR(IF(INDEX('分群統計'!$Q$5:$Q$8,MATCH(X289,'分群統計'!$A$5:$A$8,0))&lt;3,"",IF(INDEX('分群統計'!$S$5:$S$8,MATCH(X289,'分群統計'!$A$5:$A$8,0))&gt;0,MAX(-3,MIN(3,(BB289-INDEX('分群統計'!$R$5:$R$8,MATCH(X289,'分群統計'!$A$5:$A$8,0)))/INDEX('分群統計'!$S$5:$S$8,MATCH(X289,'分群統計'!$A$5:$A$8,0)))),0)),""))</f>
        <v/>
      </c>
      <c r="AQ289" s="31">
        <f>IF(Y289=1,(IF(ISNUMBER(AF289),AF289,0)*'參數'!$B$13+IF(ISNUMBER(AM289),AM289,0)*'參數'!$B$14+IF(ISNUMBER(AO289),AO289,0)*'參數'!$B$15+IF(ISNUMBER(AP289),AP289,0)*'參數'!$B$16)/('參數'!$B$13+'參數'!$B$14+'參數'!$B$15+'參數'!$B$16),"")</f>
        <v/>
      </c>
      <c r="AR289" s="35">
        <f>IF(Y289=1,(SUMPRODUCT(($X$5:$X$404=X289)*($Y$5:$Y$404=1)*($BD$5:$BD$404&gt;BD289))+1)/COUNTIFS($X$5:$X$404,X289,$Y$5:$Y$404,1),"")</f>
        <v/>
      </c>
      <c r="AS289" s="8">
        <f>IF(ISNUMBER(AR289),IF(AR289&lt;='參數'!$B$18,"加碼候選",IF(AR289&gt;'參數'!$B$19,"減碼候選","")),"")</f>
        <v/>
      </c>
      <c r="AT289" s="7">
        <f>IF(Y289=1,N289,0)</f>
        <v/>
      </c>
      <c r="AU289" s="7">
        <f>IF(Y289=1,LN(O289),0)</f>
        <v/>
      </c>
      <c r="AV289" s="36">
        <f>IF(Y289=1,IF(ISNUMBER(F289),F289,0),0)</f>
        <v/>
      </c>
      <c r="AW289" s="7">
        <f>IF(Y289=1,Z289,0)</f>
        <v/>
      </c>
      <c r="AX289" s="7">
        <f>IF(Y289=1,IF(ISNUMBER(AL289),AL289,0),0)</f>
        <v/>
      </c>
      <c r="AY289" s="7">
        <f>IF(Y289=1,IF(ISNUMBER(AL289),1,0),0)</f>
        <v/>
      </c>
      <c r="AZ289" s="7">
        <f>IF(Y289=1,IF(ISNUMBER(AN289),AN289,0),0)</f>
        <v/>
      </c>
      <c r="BA289" s="7">
        <f>IF(Y289=1,IF(ISNUMBER(AN289),1,0),0)</f>
        <v/>
      </c>
      <c r="BB289" s="7">
        <f>IF(Y289=1,IF(ISNUMBER(T289),T289,0),0)</f>
        <v/>
      </c>
      <c r="BC289" s="7">
        <f>IF(Y289=1,IF(ISNUMBER(T289),1,0),0)</f>
        <v/>
      </c>
      <c r="BD289" s="7">
        <f>IF(Y289=1,AQ289+ROW()/1E9,-1E9)</f>
        <v/>
      </c>
      <c r="BE289" s="7">
        <f>IF(Y289=1,AQ289+ROW()/1E9,1E9)</f>
        <v/>
      </c>
    </row>
    <row r="290">
      <c r="A290" s="16" t="n"/>
      <c r="B290" s="8">
        <f>IF($A290="","",BDP($A290,B$3))</f>
        <v/>
      </c>
      <c r="C290" s="8">
        <f>IF($A290="","",BDP($A290,C$3))</f>
        <v/>
      </c>
      <c r="D290" s="28">
        <f>IF($A290="","",BDP($A290,D$3))</f>
        <v/>
      </c>
      <c r="E290" s="29">
        <f>IF($A290="","",BDP($A290,E$3))</f>
        <v/>
      </c>
      <c r="F290" s="17">
        <f>IF($A290="","",BDP($A290,F$3))</f>
        <v/>
      </c>
      <c r="G290" s="8">
        <f>IF($A290="","",BDP($A290,G$3))</f>
        <v/>
      </c>
      <c r="H290" s="8">
        <f>IF($A290="","",BDP($A290,H$3))</f>
        <v/>
      </c>
      <c r="I290" s="8">
        <f>IF($A290="","",BDP($A290,I$3))</f>
        <v/>
      </c>
      <c r="J290" s="8">
        <f>IF($A290="","",BDP($A290,J$3))</f>
        <v/>
      </c>
      <c r="K290" s="8">
        <f>IF($A290="","",BDP($A290,K$3))</f>
        <v/>
      </c>
      <c r="L290" s="28">
        <f>IF($A290="","",BDP($A290,L$3))</f>
        <v/>
      </c>
      <c r="M290" s="28">
        <f>IF($A290="","",BDP($A290,M$3))</f>
        <v/>
      </c>
      <c r="N290" s="30">
        <f>IF($A290="","",BDP($A290,N$3))</f>
        <v/>
      </c>
      <c r="O290" s="31">
        <f>IF($A290="","",BDP($A290,O$3))</f>
        <v/>
      </c>
      <c r="P290" s="30">
        <f>IF($A290="","",BDH($A290,$N$3,'參數'!$B$5,'參數'!$B$5,"Days=A","Fill=P","Dates=H"))</f>
        <v/>
      </c>
      <c r="Q290" s="30">
        <f>IF($A290="","",BDH($A290,$N$3,'參數'!$B$6,'參數'!$B$6,"Days=A","Fill=P","Dates=H"))</f>
        <v/>
      </c>
      <c r="R290" s="30">
        <f>IF($A290="","",BDH($A290,$N$3,'參數'!$B$7,'參數'!$B$7,"Days=A","Fill=P","Dates=H"))</f>
        <v/>
      </c>
      <c r="S290" s="32">
        <f>IF($A290="","",IFERROR(INDEX('發行人'!$A$5:$A$44,MATCH(B290,'發行人'!$D$5:$D$44,0)),"未對應"))</f>
        <v/>
      </c>
      <c r="T290" s="24">
        <f>IF($A290="","",IFERROR(INDEX('發行人'!$G$5:$G$44,MATCH(B290,'發行人'!$D$5:$D$44,0))+0,""))</f>
        <v/>
      </c>
      <c r="U290" s="18">
        <f>IF(ISNUMBER(E290),YEARFRAC('參數'!$B$4,E290),"")</f>
        <v/>
      </c>
      <c r="V290" s="8">
        <f>IF(U290="","",IF(U290&lt;3,"1-3y",IF(U290&lt;5,"3-5y",IF(U290&lt;7,"5-7y",IF(U290&lt;10,"7-10y","10y+")))))</f>
        <v/>
      </c>
      <c r="W290" s="30">
        <f>IF($A290="","",IFERROR(INDEX('參數'!$B$24:$B$45,MATCH(G290,'參數'!$A$24:$A$45,0)),""))</f>
        <v/>
      </c>
      <c r="X290" s="8">
        <f>IF($A290="","",IFERROR(INDEX('參數'!$C$24:$C$45,MATCH(G290,'參數'!$A$24:$A$45,0)),""))</f>
        <v/>
      </c>
      <c r="Y290" s="30">
        <f>IF(AND(ISNUMBER(N290),ISNUMBER(O290),ISNUMBER(U290)),IF(AND(O290&gt;0,X290&lt;&gt;""),1,0),0)</f>
        <v/>
      </c>
      <c r="Z290" s="17">
        <f>IF(Y290=1,O290*N290,"")</f>
        <v/>
      </c>
      <c r="AA290" s="33">
        <f>IF(Y290=1,IF(ISNUMBER(Q290),N290-Q290,""),"")</f>
        <v/>
      </c>
      <c r="AB290" s="33">
        <f>IF(Y290=1,IF(AND(ISNUMBER(P290),ISNUMBER(R290)),R290*5/12-O290*(P290-R290),""),"")</f>
        <v/>
      </c>
      <c r="AC290" s="30">
        <f>IF(Y290=1,COUNTIFS($X$5:$X$404,X290,$V$5:$V$404,V290,$Y$5:$Y$404,1),"")</f>
        <v/>
      </c>
      <c r="AD290" s="30">
        <f>IF(Y290=1,IFERROR(IF(AC290&gt;='參數'!$B$9,INDEX('分群統計'!$G$13:$K$16,MATCH(X290,'分群統計'!$A$13:$A$16,0),MATCH(V290,'分群統計'!$G$12:$K$12,0)),INDEX('分群統計'!$I$5:$I$8,MATCH(X290,'分群統計'!$A$5:$A$8,0))),""),"")</f>
        <v/>
      </c>
      <c r="AE290" s="18">
        <f>IF(Y290=1,IFERROR(IF(AC290&gt;='參數'!$B$9,INDEX('分群統計'!$L$13:$P$16,MATCH(X290,'分群統計'!$A$13:$A$16,0),MATCH(V290,'分群統計'!$L$12:$P$12,0)),INDEX('分群統計'!$J$5:$J$8,MATCH(X290,'分群統計'!$A$5:$A$8,0))),""),"")</f>
        <v/>
      </c>
      <c r="AF290" s="31">
        <f>IF(ISNUMBER(AE290),IF(AE290&gt;0,MAX(-3,MIN(3,(N290-AD290)/AE290)),0),"")</f>
        <v/>
      </c>
      <c r="AG290" s="30">
        <f>IF(Y290=1,COUNTIFS($B$5:$B$404,B290,$Y$5:$Y$404,1),"")</f>
        <v/>
      </c>
      <c r="AH290" s="30">
        <f>IF(Y290=1,IFERROR(IF(ISNUMBER(INDEX('分群統計'!$G$20:$G$59,MATCH(B290,'分群統計'!$A$20:$A$59,0))),INDEX('分群統計'!$H$20:$H$59,MATCH(B290,'分群統計'!$A$20:$A$59,0))+INDEX('分群統計'!$G$20:$G$59,MATCH(B290,'分群統計'!$A$20:$A$59,0))*AU290,""),""),"")</f>
        <v/>
      </c>
      <c r="AI290" s="34">
        <f>IF(ISNUMBER(AH290),N290-AH290,"")</f>
        <v/>
      </c>
      <c r="AJ290" s="30">
        <f>IF(Y290=1,IFERROR(IF(ISNUMBER(INDEX('分群統計'!$G$5:$G$8,MATCH(X290,'分群統計'!$A$5:$A$8,0))),INDEX('分群統計'!$H$5:$H$8,MATCH(X290,'分群統計'!$A$5:$A$8,0))+INDEX('分群統計'!$G$5:$G$8,MATCH(X290,'分群統計'!$A$5:$A$8,0))*AU290,""),""),"")</f>
        <v/>
      </c>
      <c r="AK290" s="34">
        <f>IF(ISNUMBER(AJ290),N290-AJ290,"")</f>
        <v/>
      </c>
      <c r="AL290" s="21">
        <f>IF(ISNUMBER(AJ290),IF(AJ290&gt;0,AK290/AJ290,""),"")</f>
        <v/>
      </c>
      <c r="AM290" s="31">
        <f>IF(AY290&lt;&gt;1,"",IFERROR(IF(INDEX('分群統計'!$K$5:$K$8,MATCH(X290,'分群統計'!$A$5:$A$8,0))&lt;3,"",IF(INDEX('分群統計'!$M$5:$M$8,MATCH(X290,'分群統計'!$A$5:$A$8,0))&gt;0,MAX(-3,MIN(3,(AX290-INDEX('分群統計'!$L$5:$L$8,MATCH(X290,'分群統計'!$A$5:$A$8,0)))/INDEX('分群統計'!$M$5:$M$8,MATCH(X290,'分群統計'!$A$5:$A$8,0)))),0)),""))</f>
        <v/>
      </c>
      <c r="AN290" s="31">
        <f>IF(ISNUMBER(AB290),IF(Z290&gt;0,AB290/Z290*100,""),"")</f>
        <v/>
      </c>
      <c r="AO290" s="31">
        <f>IF(BA290&lt;&gt;1,"",IFERROR(IF(INDEX('分群統計'!$N$5:$N$8,MATCH(X290,'分群統計'!$A$5:$A$8,0))&lt;3,"",IF(INDEX('分群統計'!$P$5:$P$8,MATCH(X290,'分群統計'!$A$5:$A$8,0))&gt;0,MAX(-3,MIN(3,(AZ290-INDEX('分群統計'!$O$5:$O$8,MATCH(X290,'分群統計'!$A$5:$A$8,0)))/INDEX('分群統計'!$P$5:$P$8,MATCH(X290,'分群統計'!$A$5:$A$8,0)))),0)),""))</f>
        <v/>
      </c>
      <c r="AP290" s="31">
        <f>IF(BC290&lt;&gt;1,"",IFERROR(IF(INDEX('分群統計'!$Q$5:$Q$8,MATCH(X290,'分群統計'!$A$5:$A$8,0))&lt;3,"",IF(INDEX('分群統計'!$S$5:$S$8,MATCH(X290,'分群統計'!$A$5:$A$8,0))&gt;0,MAX(-3,MIN(3,(BB290-INDEX('分群統計'!$R$5:$R$8,MATCH(X290,'分群統計'!$A$5:$A$8,0)))/INDEX('分群統計'!$S$5:$S$8,MATCH(X290,'分群統計'!$A$5:$A$8,0)))),0)),""))</f>
        <v/>
      </c>
      <c r="AQ290" s="31">
        <f>IF(Y290=1,(IF(ISNUMBER(AF290),AF290,0)*'參數'!$B$13+IF(ISNUMBER(AM290),AM290,0)*'參數'!$B$14+IF(ISNUMBER(AO290),AO290,0)*'參數'!$B$15+IF(ISNUMBER(AP290),AP290,0)*'參數'!$B$16)/('參數'!$B$13+'參數'!$B$14+'參數'!$B$15+'參數'!$B$16),"")</f>
        <v/>
      </c>
      <c r="AR290" s="35">
        <f>IF(Y290=1,(SUMPRODUCT(($X$5:$X$404=X290)*($Y$5:$Y$404=1)*($BD$5:$BD$404&gt;BD290))+1)/COUNTIFS($X$5:$X$404,X290,$Y$5:$Y$404,1),"")</f>
        <v/>
      </c>
      <c r="AS290" s="8">
        <f>IF(ISNUMBER(AR290),IF(AR290&lt;='參數'!$B$18,"加碼候選",IF(AR290&gt;'參數'!$B$19,"減碼候選","")),"")</f>
        <v/>
      </c>
      <c r="AT290" s="7">
        <f>IF(Y290=1,N290,0)</f>
        <v/>
      </c>
      <c r="AU290" s="7">
        <f>IF(Y290=1,LN(O290),0)</f>
        <v/>
      </c>
      <c r="AV290" s="36">
        <f>IF(Y290=1,IF(ISNUMBER(F290),F290,0),0)</f>
        <v/>
      </c>
      <c r="AW290" s="7">
        <f>IF(Y290=1,Z290,0)</f>
        <v/>
      </c>
      <c r="AX290" s="7">
        <f>IF(Y290=1,IF(ISNUMBER(AL290),AL290,0),0)</f>
        <v/>
      </c>
      <c r="AY290" s="7">
        <f>IF(Y290=1,IF(ISNUMBER(AL290),1,0),0)</f>
        <v/>
      </c>
      <c r="AZ290" s="7">
        <f>IF(Y290=1,IF(ISNUMBER(AN290),AN290,0),0)</f>
        <v/>
      </c>
      <c r="BA290" s="7">
        <f>IF(Y290=1,IF(ISNUMBER(AN290),1,0),0)</f>
        <v/>
      </c>
      <c r="BB290" s="7">
        <f>IF(Y290=1,IF(ISNUMBER(T290),T290,0),0)</f>
        <v/>
      </c>
      <c r="BC290" s="7">
        <f>IF(Y290=1,IF(ISNUMBER(T290),1,0),0)</f>
        <v/>
      </c>
      <c r="BD290" s="7">
        <f>IF(Y290=1,AQ290+ROW()/1E9,-1E9)</f>
        <v/>
      </c>
      <c r="BE290" s="7">
        <f>IF(Y290=1,AQ290+ROW()/1E9,1E9)</f>
        <v/>
      </c>
    </row>
    <row r="291">
      <c r="A291" s="16" t="n"/>
      <c r="B291" s="8">
        <f>IF($A291="","",BDP($A291,B$3))</f>
        <v/>
      </c>
      <c r="C291" s="8">
        <f>IF($A291="","",BDP($A291,C$3))</f>
        <v/>
      </c>
      <c r="D291" s="28">
        <f>IF($A291="","",BDP($A291,D$3))</f>
        <v/>
      </c>
      <c r="E291" s="29">
        <f>IF($A291="","",BDP($A291,E$3))</f>
        <v/>
      </c>
      <c r="F291" s="17">
        <f>IF($A291="","",BDP($A291,F$3))</f>
        <v/>
      </c>
      <c r="G291" s="8">
        <f>IF($A291="","",BDP($A291,G$3))</f>
        <v/>
      </c>
      <c r="H291" s="8">
        <f>IF($A291="","",BDP($A291,H$3))</f>
        <v/>
      </c>
      <c r="I291" s="8">
        <f>IF($A291="","",BDP($A291,I$3))</f>
        <v/>
      </c>
      <c r="J291" s="8">
        <f>IF($A291="","",BDP($A291,J$3))</f>
        <v/>
      </c>
      <c r="K291" s="8">
        <f>IF($A291="","",BDP($A291,K$3))</f>
        <v/>
      </c>
      <c r="L291" s="28">
        <f>IF($A291="","",BDP($A291,L$3))</f>
        <v/>
      </c>
      <c r="M291" s="28">
        <f>IF($A291="","",BDP($A291,M$3))</f>
        <v/>
      </c>
      <c r="N291" s="30">
        <f>IF($A291="","",BDP($A291,N$3))</f>
        <v/>
      </c>
      <c r="O291" s="31">
        <f>IF($A291="","",BDP($A291,O$3))</f>
        <v/>
      </c>
      <c r="P291" s="30">
        <f>IF($A291="","",BDH($A291,$N$3,'參數'!$B$5,'參數'!$B$5,"Days=A","Fill=P","Dates=H"))</f>
        <v/>
      </c>
      <c r="Q291" s="30">
        <f>IF($A291="","",BDH($A291,$N$3,'參數'!$B$6,'參數'!$B$6,"Days=A","Fill=P","Dates=H"))</f>
        <v/>
      </c>
      <c r="R291" s="30">
        <f>IF($A291="","",BDH($A291,$N$3,'參數'!$B$7,'參數'!$B$7,"Days=A","Fill=P","Dates=H"))</f>
        <v/>
      </c>
      <c r="S291" s="32">
        <f>IF($A291="","",IFERROR(INDEX('發行人'!$A$5:$A$44,MATCH(B291,'發行人'!$D$5:$D$44,0)),"未對應"))</f>
        <v/>
      </c>
      <c r="T291" s="24">
        <f>IF($A291="","",IFERROR(INDEX('發行人'!$G$5:$G$44,MATCH(B291,'發行人'!$D$5:$D$44,0))+0,""))</f>
        <v/>
      </c>
      <c r="U291" s="18">
        <f>IF(ISNUMBER(E291),YEARFRAC('參數'!$B$4,E291),"")</f>
        <v/>
      </c>
      <c r="V291" s="8">
        <f>IF(U291="","",IF(U291&lt;3,"1-3y",IF(U291&lt;5,"3-5y",IF(U291&lt;7,"5-7y",IF(U291&lt;10,"7-10y","10y+")))))</f>
        <v/>
      </c>
      <c r="W291" s="30">
        <f>IF($A291="","",IFERROR(INDEX('參數'!$B$24:$B$45,MATCH(G291,'參數'!$A$24:$A$45,0)),""))</f>
        <v/>
      </c>
      <c r="X291" s="8">
        <f>IF($A291="","",IFERROR(INDEX('參數'!$C$24:$C$45,MATCH(G291,'參數'!$A$24:$A$45,0)),""))</f>
        <v/>
      </c>
      <c r="Y291" s="30">
        <f>IF(AND(ISNUMBER(N291),ISNUMBER(O291),ISNUMBER(U291)),IF(AND(O291&gt;0,X291&lt;&gt;""),1,0),0)</f>
        <v/>
      </c>
      <c r="Z291" s="17">
        <f>IF(Y291=1,O291*N291,"")</f>
        <v/>
      </c>
      <c r="AA291" s="33">
        <f>IF(Y291=1,IF(ISNUMBER(Q291),N291-Q291,""),"")</f>
        <v/>
      </c>
      <c r="AB291" s="33">
        <f>IF(Y291=1,IF(AND(ISNUMBER(P291),ISNUMBER(R291)),R291*5/12-O291*(P291-R291),""),"")</f>
        <v/>
      </c>
      <c r="AC291" s="30">
        <f>IF(Y291=1,COUNTIFS($X$5:$X$404,X291,$V$5:$V$404,V291,$Y$5:$Y$404,1),"")</f>
        <v/>
      </c>
      <c r="AD291" s="30">
        <f>IF(Y291=1,IFERROR(IF(AC291&gt;='參數'!$B$9,INDEX('分群統計'!$G$13:$K$16,MATCH(X291,'分群統計'!$A$13:$A$16,0),MATCH(V291,'分群統計'!$G$12:$K$12,0)),INDEX('分群統計'!$I$5:$I$8,MATCH(X291,'分群統計'!$A$5:$A$8,0))),""),"")</f>
        <v/>
      </c>
      <c r="AE291" s="18">
        <f>IF(Y291=1,IFERROR(IF(AC291&gt;='參數'!$B$9,INDEX('分群統計'!$L$13:$P$16,MATCH(X291,'分群統計'!$A$13:$A$16,0),MATCH(V291,'分群統計'!$L$12:$P$12,0)),INDEX('分群統計'!$J$5:$J$8,MATCH(X291,'分群統計'!$A$5:$A$8,0))),""),"")</f>
        <v/>
      </c>
      <c r="AF291" s="31">
        <f>IF(ISNUMBER(AE291),IF(AE291&gt;0,MAX(-3,MIN(3,(N291-AD291)/AE291)),0),"")</f>
        <v/>
      </c>
      <c r="AG291" s="30">
        <f>IF(Y291=1,COUNTIFS($B$5:$B$404,B291,$Y$5:$Y$404,1),"")</f>
        <v/>
      </c>
      <c r="AH291" s="30">
        <f>IF(Y291=1,IFERROR(IF(ISNUMBER(INDEX('分群統計'!$G$20:$G$59,MATCH(B291,'分群統計'!$A$20:$A$59,0))),INDEX('分群統計'!$H$20:$H$59,MATCH(B291,'分群統計'!$A$20:$A$59,0))+INDEX('分群統計'!$G$20:$G$59,MATCH(B291,'分群統計'!$A$20:$A$59,0))*AU291,""),""),"")</f>
        <v/>
      </c>
      <c r="AI291" s="34">
        <f>IF(ISNUMBER(AH291),N291-AH291,"")</f>
        <v/>
      </c>
      <c r="AJ291" s="30">
        <f>IF(Y291=1,IFERROR(IF(ISNUMBER(INDEX('分群統計'!$G$5:$G$8,MATCH(X291,'分群統計'!$A$5:$A$8,0))),INDEX('分群統計'!$H$5:$H$8,MATCH(X291,'分群統計'!$A$5:$A$8,0))+INDEX('分群統計'!$G$5:$G$8,MATCH(X291,'分群統計'!$A$5:$A$8,0))*AU291,""),""),"")</f>
        <v/>
      </c>
      <c r="AK291" s="34">
        <f>IF(ISNUMBER(AJ291),N291-AJ291,"")</f>
        <v/>
      </c>
      <c r="AL291" s="21">
        <f>IF(ISNUMBER(AJ291),IF(AJ291&gt;0,AK291/AJ291,""),"")</f>
        <v/>
      </c>
      <c r="AM291" s="31">
        <f>IF(AY291&lt;&gt;1,"",IFERROR(IF(INDEX('分群統計'!$K$5:$K$8,MATCH(X291,'分群統計'!$A$5:$A$8,0))&lt;3,"",IF(INDEX('分群統計'!$M$5:$M$8,MATCH(X291,'分群統計'!$A$5:$A$8,0))&gt;0,MAX(-3,MIN(3,(AX291-INDEX('分群統計'!$L$5:$L$8,MATCH(X291,'分群統計'!$A$5:$A$8,0)))/INDEX('分群統計'!$M$5:$M$8,MATCH(X291,'分群統計'!$A$5:$A$8,0)))),0)),""))</f>
        <v/>
      </c>
      <c r="AN291" s="31">
        <f>IF(ISNUMBER(AB291),IF(Z291&gt;0,AB291/Z291*100,""),"")</f>
        <v/>
      </c>
      <c r="AO291" s="31">
        <f>IF(BA291&lt;&gt;1,"",IFERROR(IF(INDEX('分群統計'!$N$5:$N$8,MATCH(X291,'分群統計'!$A$5:$A$8,0))&lt;3,"",IF(INDEX('分群統計'!$P$5:$P$8,MATCH(X291,'分群統計'!$A$5:$A$8,0))&gt;0,MAX(-3,MIN(3,(AZ291-INDEX('分群統計'!$O$5:$O$8,MATCH(X291,'分群統計'!$A$5:$A$8,0)))/INDEX('分群統計'!$P$5:$P$8,MATCH(X291,'分群統計'!$A$5:$A$8,0)))),0)),""))</f>
        <v/>
      </c>
      <c r="AP291" s="31">
        <f>IF(BC291&lt;&gt;1,"",IFERROR(IF(INDEX('分群統計'!$Q$5:$Q$8,MATCH(X291,'分群統計'!$A$5:$A$8,0))&lt;3,"",IF(INDEX('分群統計'!$S$5:$S$8,MATCH(X291,'分群統計'!$A$5:$A$8,0))&gt;0,MAX(-3,MIN(3,(BB291-INDEX('分群統計'!$R$5:$R$8,MATCH(X291,'分群統計'!$A$5:$A$8,0)))/INDEX('分群統計'!$S$5:$S$8,MATCH(X291,'分群統計'!$A$5:$A$8,0)))),0)),""))</f>
        <v/>
      </c>
      <c r="AQ291" s="31">
        <f>IF(Y291=1,(IF(ISNUMBER(AF291),AF291,0)*'參數'!$B$13+IF(ISNUMBER(AM291),AM291,0)*'參數'!$B$14+IF(ISNUMBER(AO291),AO291,0)*'參數'!$B$15+IF(ISNUMBER(AP291),AP291,0)*'參數'!$B$16)/('參數'!$B$13+'參數'!$B$14+'參數'!$B$15+'參數'!$B$16),"")</f>
        <v/>
      </c>
      <c r="AR291" s="35">
        <f>IF(Y291=1,(SUMPRODUCT(($X$5:$X$404=X291)*($Y$5:$Y$404=1)*($BD$5:$BD$404&gt;BD291))+1)/COUNTIFS($X$5:$X$404,X291,$Y$5:$Y$404,1),"")</f>
        <v/>
      </c>
      <c r="AS291" s="8">
        <f>IF(ISNUMBER(AR291),IF(AR291&lt;='參數'!$B$18,"加碼候選",IF(AR291&gt;'參數'!$B$19,"減碼候選","")),"")</f>
        <v/>
      </c>
      <c r="AT291" s="7">
        <f>IF(Y291=1,N291,0)</f>
        <v/>
      </c>
      <c r="AU291" s="7">
        <f>IF(Y291=1,LN(O291),0)</f>
        <v/>
      </c>
      <c r="AV291" s="36">
        <f>IF(Y291=1,IF(ISNUMBER(F291),F291,0),0)</f>
        <v/>
      </c>
      <c r="AW291" s="7">
        <f>IF(Y291=1,Z291,0)</f>
        <v/>
      </c>
      <c r="AX291" s="7">
        <f>IF(Y291=1,IF(ISNUMBER(AL291),AL291,0),0)</f>
        <v/>
      </c>
      <c r="AY291" s="7">
        <f>IF(Y291=1,IF(ISNUMBER(AL291),1,0),0)</f>
        <v/>
      </c>
      <c r="AZ291" s="7">
        <f>IF(Y291=1,IF(ISNUMBER(AN291),AN291,0),0)</f>
        <v/>
      </c>
      <c r="BA291" s="7">
        <f>IF(Y291=1,IF(ISNUMBER(AN291),1,0),0)</f>
        <v/>
      </c>
      <c r="BB291" s="7">
        <f>IF(Y291=1,IF(ISNUMBER(T291),T291,0),0)</f>
        <v/>
      </c>
      <c r="BC291" s="7">
        <f>IF(Y291=1,IF(ISNUMBER(T291),1,0),0)</f>
        <v/>
      </c>
      <c r="BD291" s="7">
        <f>IF(Y291=1,AQ291+ROW()/1E9,-1E9)</f>
        <v/>
      </c>
      <c r="BE291" s="7">
        <f>IF(Y291=1,AQ291+ROW()/1E9,1E9)</f>
        <v/>
      </c>
    </row>
    <row r="292">
      <c r="A292" s="16" t="n"/>
      <c r="B292" s="8">
        <f>IF($A292="","",BDP($A292,B$3))</f>
        <v/>
      </c>
      <c r="C292" s="8">
        <f>IF($A292="","",BDP($A292,C$3))</f>
        <v/>
      </c>
      <c r="D292" s="28">
        <f>IF($A292="","",BDP($A292,D$3))</f>
        <v/>
      </c>
      <c r="E292" s="29">
        <f>IF($A292="","",BDP($A292,E$3))</f>
        <v/>
      </c>
      <c r="F292" s="17">
        <f>IF($A292="","",BDP($A292,F$3))</f>
        <v/>
      </c>
      <c r="G292" s="8">
        <f>IF($A292="","",BDP($A292,G$3))</f>
        <v/>
      </c>
      <c r="H292" s="8">
        <f>IF($A292="","",BDP($A292,H$3))</f>
        <v/>
      </c>
      <c r="I292" s="8">
        <f>IF($A292="","",BDP($A292,I$3))</f>
        <v/>
      </c>
      <c r="J292" s="8">
        <f>IF($A292="","",BDP($A292,J$3))</f>
        <v/>
      </c>
      <c r="K292" s="8">
        <f>IF($A292="","",BDP($A292,K$3))</f>
        <v/>
      </c>
      <c r="L292" s="28">
        <f>IF($A292="","",BDP($A292,L$3))</f>
        <v/>
      </c>
      <c r="M292" s="28">
        <f>IF($A292="","",BDP($A292,M$3))</f>
        <v/>
      </c>
      <c r="N292" s="30">
        <f>IF($A292="","",BDP($A292,N$3))</f>
        <v/>
      </c>
      <c r="O292" s="31">
        <f>IF($A292="","",BDP($A292,O$3))</f>
        <v/>
      </c>
      <c r="P292" s="30">
        <f>IF($A292="","",BDH($A292,$N$3,'參數'!$B$5,'參數'!$B$5,"Days=A","Fill=P","Dates=H"))</f>
        <v/>
      </c>
      <c r="Q292" s="30">
        <f>IF($A292="","",BDH($A292,$N$3,'參數'!$B$6,'參數'!$B$6,"Days=A","Fill=P","Dates=H"))</f>
        <v/>
      </c>
      <c r="R292" s="30">
        <f>IF($A292="","",BDH($A292,$N$3,'參數'!$B$7,'參數'!$B$7,"Days=A","Fill=P","Dates=H"))</f>
        <v/>
      </c>
      <c r="S292" s="32">
        <f>IF($A292="","",IFERROR(INDEX('發行人'!$A$5:$A$44,MATCH(B292,'發行人'!$D$5:$D$44,0)),"未對應"))</f>
        <v/>
      </c>
      <c r="T292" s="24">
        <f>IF($A292="","",IFERROR(INDEX('發行人'!$G$5:$G$44,MATCH(B292,'發行人'!$D$5:$D$44,0))+0,""))</f>
        <v/>
      </c>
      <c r="U292" s="18">
        <f>IF(ISNUMBER(E292),YEARFRAC('參數'!$B$4,E292),"")</f>
        <v/>
      </c>
      <c r="V292" s="8">
        <f>IF(U292="","",IF(U292&lt;3,"1-3y",IF(U292&lt;5,"3-5y",IF(U292&lt;7,"5-7y",IF(U292&lt;10,"7-10y","10y+")))))</f>
        <v/>
      </c>
      <c r="W292" s="30">
        <f>IF($A292="","",IFERROR(INDEX('參數'!$B$24:$B$45,MATCH(G292,'參數'!$A$24:$A$45,0)),""))</f>
        <v/>
      </c>
      <c r="X292" s="8">
        <f>IF($A292="","",IFERROR(INDEX('參數'!$C$24:$C$45,MATCH(G292,'參數'!$A$24:$A$45,0)),""))</f>
        <v/>
      </c>
      <c r="Y292" s="30">
        <f>IF(AND(ISNUMBER(N292),ISNUMBER(O292),ISNUMBER(U292)),IF(AND(O292&gt;0,X292&lt;&gt;""),1,0),0)</f>
        <v/>
      </c>
      <c r="Z292" s="17">
        <f>IF(Y292=1,O292*N292,"")</f>
        <v/>
      </c>
      <c r="AA292" s="33">
        <f>IF(Y292=1,IF(ISNUMBER(Q292),N292-Q292,""),"")</f>
        <v/>
      </c>
      <c r="AB292" s="33">
        <f>IF(Y292=1,IF(AND(ISNUMBER(P292),ISNUMBER(R292)),R292*5/12-O292*(P292-R292),""),"")</f>
        <v/>
      </c>
      <c r="AC292" s="30">
        <f>IF(Y292=1,COUNTIFS($X$5:$X$404,X292,$V$5:$V$404,V292,$Y$5:$Y$404,1),"")</f>
        <v/>
      </c>
      <c r="AD292" s="30">
        <f>IF(Y292=1,IFERROR(IF(AC292&gt;='參數'!$B$9,INDEX('分群統計'!$G$13:$K$16,MATCH(X292,'分群統計'!$A$13:$A$16,0),MATCH(V292,'分群統計'!$G$12:$K$12,0)),INDEX('分群統計'!$I$5:$I$8,MATCH(X292,'分群統計'!$A$5:$A$8,0))),""),"")</f>
        <v/>
      </c>
      <c r="AE292" s="18">
        <f>IF(Y292=1,IFERROR(IF(AC292&gt;='參數'!$B$9,INDEX('分群統計'!$L$13:$P$16,MATCH(X292,'分群統計'!$A$13:$A$16,0),MATCH(V292,'分群統計'!$L$12:$P$12,0)),INDEX('分群統計'!$J$5:$J$8,MATCH(X292,'分群統計'!$A$5:$A$8,0))),""),"")</f>
        <v/>
      </c>
      <c r="AF292" s="31">
        <f>IF(ISNUMBER(AE292),IF(AE292&gt;0,MAX(-3,MIN(3,(N292-AD292)/AE292)),0),"")</f>
        <v/>
      </c>
      <c r="AG292" s="30">
        <f>IF(Y292=1,COUNTIFS($B$5:$B$404,B292,$Y$5:$Y$404,1),"")</f>
        <v/>
      </c>
      <c r="AH292" s="30">
        <f>IF(Y292=1,IFERROR(IF(ISNUMBER(INDEX('分群統計'!$G$20:$G$59,MATCH(B292,'分群統計'!$A$20:$A$59,0))),INDEX('分群統計'!$H$20:$H$59,MATCH(B292,'分群統計'!$A$20:$A$59,0))+INDEX('分群統計'!$G$20:$G$59,MATCH(B292,'分群統計'!$A$20:$A$59,0))*AU292,""),""),"")</f>
        <v/>
      </c>
      <c r="AI292" s="34">
        <f>IF(ISNUMBER(AH292),N292-AH292,"")</f>
        <v/>
      </c>
      <c r="AJ292" s="30">
        <f>IF(Y292=1,IFERROR(IF(ISNUMBER(INDEX('分群統計'!$G$5:$G$8,MATCH(X292,'分群統計'!$A$5:$A$8,0))),INDEX('分群統計'!$H$5:$H$8,MATCH(X292,'分群統計'!$A$5:$A$8,0))+INDEX('分群統計'!$G$5:$G$8,MATCH(X292,'分群統計'!$A$5:$A$8,0))*AU292,""),""),"")</f>
        <v/>
      </c>
      <c r="AK292" s="34">
        <f>IF(ISNUMBER(AJ292),N292-AJ292,"")</f>
        <v/>
      </c>
      <c r="AL292" s="21">
        <f>IF(ISNUMBER(AJ292),IF(AJ292&gt;0,AK292/AJ292,""),"")</f>
        <v/>
      </c>
      <c r="AM292" s="31">
        <f>IF(AY292&lt;&gt;1,"",IFERROR(IF(INDEX('分群統計'!$K$5:$K$8,MATCH(X292,'分群統計'!$A$5:$A$8,0))&lt;3,"",IF(INDEX('分群統計'!$M$5:$M$8,MATCH(X292,'分群統計'!$A$5:$A$8,0))&gt;0,MAX(-3,MIN(3,(AX292-INDEX('分群統計'!$L$5:$L$8,MATCH(X292,'分群統計'!$A$5:$A$8,0)))/INDEX('分群統計'!$M$5:$M$8,MATCH(X292,'分群統計'!$A$5:$A$8,0)))),0)),""))</f>
        <v/>
      </c>
      <c r="AN292" s="31">
        <f>IF(ISNUMBER(AB292),IF(Z292&gt;0,AB292/Z292*100,""),"")</f>
        <v/>
      </c>
      <c r="AO292" s="31">
        <f>IF(BA292&lt;&gt;1,"",IFERROR(IF(INDEX('分群統計'!$N$5:$N$8,MATCH(X292,'分群統計'!$A$5:$A$8,0))&lt;3,"",IF(INDEX('分群統計'!$P$5:$P$8,MATCH(X292,'分群統計'!$A$5:$A$8,0))&gt;0,MAX(-3,MIN(3,(AZ292-INDEX('分群統計'!$O$5:$O$8,MATCH(X292,'分群統計'!$A$5:$A$8,0)))/INDEX('分群統計'!$P$5:$P$8,MATCH(X292,'分群統計'!$A$5:$A$8,0)))),0)),""))</f>
        <v/>
      </c>
      <c r="AP292" s="31">
        <f>IF(BC292&lt;&gt;1,"",IFERROR(IF(INDEX('分群統計'!$Q$5:$Q$8,MATCH(X292,'分群統計'!$A$5:$A$8,0))&lt;3,"",IF(INDEX('分群統計'!$S$5:$S$8,MATCH(X292,'分群統計'!$A$5:$A$8,0))&gt;0,MAX(-3,MIN(3,(BB292-INDEX('分群統計'!$R$5:$R$8,MATCH(X292,'分群統計'!$A$5:$A$8,0)))/INDEX('分群統計'!$S$5:$S$8,MATCH(X292,'分群統計'!$A$5:$A$8,0)))),0)),""))</f>
        <v/>
      </c>
      <c r="AQ292" s="31">
        <f>IF(Y292=1,(IF(ISNUMBER(AF292),AF292,0)*'參數'!$B$13+IF(ISNUMBER(AM292),AM292,0)*'參數'!$B$14+IF(ISNUMBER(AO292),AO292,0)*'參數'!$B$15+IF(ISNUMBER(AP292),AP292,0)*'參數'!$B$16)/('參數'!$B$13+'參數'!$B$14+'參數'!$B$15+'參數'!$B$16),"")</f>
        <v/>
      </c>
      <c r="AR292" s="35">
        <f>IF(Y292=1,(SUMPRODUCT(($X$5:$X$404=X292)*($Y$5:$Y$404=1)*($BD$5:$BD$404&gt;BD292))+1)/COUNTIFS($X$5:$X$404,X292,$Y$5:$Y$404,1),"")</f>
        <v/>
      </c>
      <c r="AS292" s="8">
        <f>IF(ISNUMBER(AR292),IF(AR292&lt;='參數'!$B$18,"加碼候選",IF(AR292&gt;'參數'!$B$19,"減碼候選","")),"")</f>
        <v/>
      </c>
      <c r="AT292" s="7">
        <f>IF(Y292=1,N292,0)</f>
        <v/>
      </c>
      <c r="AU292" s="7">
        <f>IF(Y292=1,LN(O292),0)</f>
        <v/>
      </c>
      <c r="AV292" s="36">
        <f>IF(Y292=1,IF(ISNUMBER(F292),F292,0),0)</f>
        <v/>
      </c>
      <c r="AW292" s="7">
        <f>IF(Y292=1,Z292,0)</f>
        <v/>
      </c>
      <c r="AX292" s="7">
        <f>IF(Y292=1,IF(ISNUMBER(AL292),AL292,0),0)</f>
        <v/>
      </c>
      <c r="AY292" s="7">
        <f>IF(Y292=1,IF(ISNUMBER(AL292),1,0),0)</f>
        <v/>
      </c>
      <c r="AZ292" s="7">
        <f>IF(Y292=1,IF(ISNUMBER(AN292),AN292,0),0)</f>
        <v/>
      </c>
      <c r="BA292" s="7">
        <f>IF(Y292=1,IF(ISNUMBER(AN292),1,0),0)</f>
        <v/>
      </c>
      <c r="BB292" s="7">
        <f>IF(Y292=1,IF(ISNUMBER(T292),T292,0),0)</f>
        <v/>
      </c>
      <c r="BC292" s="7">
        <f>IF(Y292=1,IF(ISNUMBER(T292),1,0),0)</f>
        <v/>
      </c>
      <c r="BD292" s="7">
        <f>IF(Y292=1,AQ292+ROW()/1E9,-1E9)</f>
        <v/>
      </c>
      <c r="BE292" s="7">
        <f>IF(Y292=1,AQ292+ROW()/1E9,1E9)</f>
        <v/>
      </c>
    </row>
    <row r="293">
      <c r="A293" s="16" t="n"/>
      <c r="B293" s="8">
        <f>IF($A293="","",BDP($A293,B$3))</f>
        <v/>
      </c>
      <c r="C293" s="8">
        <f>IF($A293="","",BDP($A293,C$3))</f>
        <v/>
      </c>
      <c r="D293" s="28">
        <f>IF($A293="","",BDP($A293,D$3))</f>
        <v/>
      </c>
      <c r="E293" s="29">
        <f>IF($A293="","",BDP($A293,E$3))</f>
        <v/>
      </c>
      <c r="F293" s="17">
        <f>IF($A293="","",BDP($A293,F$3))</f>
        <v/>
      </c>
      <c r="G293" s="8">
        <f>IF($A293="","",BDP($A293,G$3))</f>
        <v/>
      </c>
      <c r="H293" s="8">
        <f>IF($A293="","",BDP($A293,H$3))</f>
        <v/>
      </c>
      <c r="I293" s="8">
        <f>IF($A293="","",BDP($A293,I$3))</f>
        <v/>
      </c>
      <c r="J293" s="8">
        <f>IF($A293="","",BDP($A293,J$3))</f>
        <v/>
      </c>
      <c r="K293" s="8">
        <f>IF($A293="","",BDP($A293,K$3))</f>
        <v/>
      </c>
      <c r="L293" s="28">
        <f>IF($A293="","",BDP($A293,L$3))</f>
        <v/>
      </c>
      <c r="M293" s="28">
        <f>IF($A293="","",BDP($A293,M$3))</f>
        <v/>
      </c>
      <c r="N293" s="30">
        <f>IF($A293="","",BDP($A293,N$3))</f>
        <v/>
      </c>
      <c r="O293" s="31">
        <f>IF($A293="","",BDP($A293,O$3))</f>
        <v/>
      </c>
      <c r="P293" s="30">
        <f>IF($A293="","",BDH($A293,$N$3,'參數'!$B$5,'參數'!$B$5,"Days=A","Fill=P","Dates=H"))</f>
        <v/>
      </c>
      <c r="Q293" s="30">
        <f>IF($A293="","",BDH($A293,$N$3,'參數'!$B$6,'參數'!$B$6,"Days=A","Fill=P","Dates=H"))</f>
        <v/>
      </c>
      <c r="R293" s="30">
        <f>IF($A293="","",BDH($A293,$N$3,'參數'!$B$7,'參數'!$B$7,"Days=A","Fill=P","Dates=H"))</f>
        <v/>
      </c>
      <c r="S293" s="32">
        <f>IF($A293="","",IFERROR(INDEX('發行人'!$A$5:$A$44,MATCH(B293,'發行人'!$D$5:$D$44,0)),"未對應"))</f>
        <v/>
      </c>
      <c r="T293" s="24">
        <f>IF($A293="","",IFERROR(INDEX('發行人'!$G$5:$G$44,MATCH(B293,'發行人'!$D$5:$D$44,0))+0,""))</f>
        <v/>
      </c>
      <c r="U293" s="18">
        <f>IF(ISNUMBER(E293),YEARFRAC('參數'!$B$4,E293),"")</f>
        <v/>
      </c>
      <c r="V293" s="8">
        <f>IF(U293="","",IF(U293&lt;3,"1-3y",IF(U293&lt;5,"3-5y",IF(U293&lt;7,"5-7y",IF(U293&lt;10,"7-10y","10y+")))))</f>
        <v/>
      </c>
      <c r="W293" s="30">
        <f>IF($A293="","",IFERROR(INDEX('參數'!$B$24:$B$45,MATCH(G293,'參數'!$A$24:$A$45,0)),""))</f>
        <v/>
      </c>
      <c r="X293" s="8">
        <f>IF($A293="","",IFERROR(INDEX('參數'!$C$24:$C$45,MATCH(G293,'參數'!$A$24:$A$45,0)),""))</f>
        <v/>
      </c>
      <c r="Y293" s="30">
        <f>IF(AND(ISNUMBER(N293),ISNUMBER(O293),ISNUMBER(U293)),IF(AND(O293&gt;0,X293&lt;&gt;""),1,0),0)</f>
        <v/>
      </c>
      <c r="Z293" s="17">
        <f>IF(Y293=1,O293*N293,"")</f>
        <v/>
      </c>
      <c r="AA293" s="33">
        <f>IF(Y293=1,IF(ISNUMBER(Q293),N293-Q293,""),"")</f>
        <v/>
      </c>
      <c r="AB293" s="33">
        <f>IF(Y293=1,IF(AND(ISNUMBER(P293),ISNUMBER(R293)),R293*5/12-O293*(P293-R293),""),"")</f>
        <v/>
      </c>
      <c r="AC293" s="30">
        <f>IF(Y293=1,COUNTIFS($X$5:$X$404,X293,$V$5:$V$404,V293,$Y$5:$Y$404,1),"")</f>
        <v/>
      </c>
      <c r="AD293" s="30">
        <f>IF(Y293=1,IFERROR(IF(AC293&gt;='參數'!$B$9,INDEX('分群統計'!$G$13:$K$16,MATCH(X293,'分群統計'!$A$13:$A$16,0),MATCH(V293,'分群統計'!$G$12:$K$12,0)),INDEX('分群統計'!$I$5:$I$8,MATCH(X293,'分群統計'!$A$5:$A$8,0))),""),"")</f>
        <v/>
      </c>
      <c r="AE293" s="18">
        <f>IF(Y293=1,IFERROR(IF(AC293&gt;='參數'!$B$9,INDEX('分群統計'!$L$13:$P$16,MATCH(X293,'分群統計'!$A$13:$A$16,0),MATCH(V293,'分群統計'!$L$12:$P$12,0)),INDEX('分群統計'!$J$5:$J$8,MATCH(X293,'分群統計'!$A$5:$A$8,0))),""),"")</f>
        <v/>
      </c>
      <c r="AF293" s="31">
        <f>IF(ISNUMBER(AE293),IF(AE293&gt;0,MAX(-3,MIN(3,(N293-AD293)/AE293)),0),"")</f>
        <v/>
      </c>
      <c r="AG293" s="30">
        <f>IF(Y293=1,COUNTIFS($B$5:$B$404,B293,$Y$5:$Y$404,1),"")</f>
        <v/>
      </c>
      <c r="AH293" s="30">
        <f>IF(Y293=1,IFERROR(IF(ISNUMBER(INDEX('分群統計'!$G$20:$G$59,MATCH(B293,'分群統計'!$A$20:$A$59,0))),INDEX('分群統計'!$H$20:$H$59,MATCH(B293,'分群統計'!$A$20:$A$59,0))+INDEX('分群統計'!$G$20:$G$59,MATCH(B293,'分群統計'!$A$20:$A$59,0))*AU293,""),""),"")</f>
        <v/>
      </c>
      <c r="AI293" s="34">
        <f>IF(ISNUMBER(AH293),N293-AH293,"")</f>
        <v/>
      </c>
      <c r="AJ293" s="30">
        <f>IF(Y293=1,IFERROR(IF(ISNUMBER(INDEX('分群統計'!$G$5:$G$8,MATCH(X293,'分群統計'!$A$5:$A$8,0))),INDEX('分群統計'!$H$5:$H$8,MATCH(X293,'分群統計'!$A$5:$A$8,0))+INDEX('分群統計'!$G$5:$G$8,MATCH(X293,'分群統計'!$A$5:$A$8,0))*AU293,""),""),"")</f>
        <v/>
      </c>
      <c r="AK293" s="34">
        <f>IF(ISNUMBER(AJ293),N293-AJ293,"")</f>
        <v/>
      </c>
      <c r="AL293" s="21">
        <f>IF(ISNUMBER(AJ293),IF(AJ293&gt;0,AK293/AJ293,""),"")</f>
        <v/>
      </c>
      <c r="AM293" s="31">
        <f>IF(AY293&lt;&gt;1,"",IFERROR(IF(INDEX('分群統計'!$K$5:$K$8,MATCH(X293,'分群統計'!$A$5:$A$8,0))&lt;3,"",IF(INDEX('分群統計'!$M$5:$M$8,MATCH(X293,'分群統計'!$A$5:$A$8,0))&gt;0,MAX(-3,MIN(3,(AX293-INDEX('分群統計'!$L$5:$L$8,MATCH(X293,'分群統計'!$A$5:$A$8,0)))/INDEX('分群統計'!$M$5:$M$8,MATCH(X293,'分群統計'!$A$5:$A$8,0)))),0)),""))</f>
        <v/>
      </c>
      <c r="AN293" s="31">
        <f>IF(ISNUMBER(AB293),IF(Z293&gt;0,AB293/Z293*100,""),"")</f>
        <v/>
      </c>
      <c r="AO293" s="31">
        <f>IF(BA293&lt;&gt;1,"",IFERROR(IF(INDEX('分群統計'!$N$5:$N$8,MATCH(X293,'分群統計'!$A$5:$A$8,0))&lt;3,"",IF(INDEX('分群統計'!$P$5:$P$8,MATCH(X293,'分群統計'!$A$5:$A$8,0))&gt;0,MAX(-3,MIN(3,(AZ293-INDEX('分群統計'!$O$5:$O$8,MATCH(X293,'分群統計'!$A$5:$A$8,0)))/INDEX('分群統計'!$P$5:$P$8,MATCH(X293,'分群統計'!$A$5:$A$8,0)))),0)),""))</f>
        <v/>
      </c>
      <c r="AP293" s="31">
        <f>IF(BC293&lt;&gt;1,"",IFERROR(IF(INDEX('分群統計'!$Q$5:$Q$8,MATCH(X293,'分群統計'!$A$5:$A$8,0))&lt;3,"",IF(INDEX('分群統計'!$S$5:$S$8,MATCH(X293,'分群統計'!$A$5:$A$8,0))&gt;0,MAX(-3,MIN(3,(BB293-INDEX('分群統計'!$R$5:$R$8,MATCH(X293,'分群統計'!$A$5:$A$8,0)))/INDEX('分群統計'!$S$5:$S$8,MATCH(X293,'分群統計'!$A$5:$A$8,0)))),0)),""))</f>
        <v/>
      </c>
      <c r="AQ293" s="31">
        <f>IF(Y293=1,(IF(ISNUMBER(AF293),AF293,0)*'參數'!$B$13+IF(ISNUMBER(AM293),AM293,0)*'參數'!$B$14+IF(ISNUMBER(AO293),AO293,0)*'參數'!$B$15+IF(ISNUMBER(AP293),AP293,0)*'參數'!$B$16)/('參數'!$B$13+'參數'!$B$14+'參數'!$B$15+'參數'!$B$16),"")</f>
        <v/>
      </c>
      <c r="AR293" s="35">
        <f>IF(Y293=1,(SUMPRODUCT(($X$5:$X$404=X293)*($Y$5:$Y$404=1)*($BD$5:$BD$404&gt;BD293))+1)/COUNTIFS($X$5:$X$404,X293,$Y$5:$Y$404,1),"")</f>
        <v/>
      </c>
      <c r="AS293" s="8">
        <f>IF(ISNUMBER(AR293),IF(AR293&lt;='參數'!$B$18,"加碼候選",IF(AR293&gt;'參數'!$B$19,"減碼候選","")),"")</f>
        <v/>
      </c>
      <c r="AT293" s="7">
        <f>IF(Y293=1,N293,0)</f>
        <v/>
      </c>
      <c r="AU293" s="7">
        <f>IF(Y293=1,LN(O293),0)</f>
        <v/>
      </c>
      <c r="AV293" s="36">
        <f>IF(Y293=1,IF(ISNUMBER(F293),F293,0),0)</f>
        <v/>
      </c>
      <c r="AW293" s="7">
        <f>IF(Y293=1,Z293,0)</f>
        <v/>
      </c>
      <c r="AX293" s="7">
        <f>IF(Y293=1,IF(ISNUMBER(AL293),AL293,0),0)</f>
        <v/>
      </c>
      <c r="AY293" s="7">
        <f>IF(Y293=1,IF(ISNUMBER(AL293),1,0),0)</f>
        <v/>
      </c>
      <c r="AZ293" s="7">
        <f>IF(Y293=1,IF(ISNUMBER(AN293),AN293,0),0)</f>
        <v/>
      </c>
      <c r="BA293" s="7">
        <f>IF(Y293=1,IF(ISNUMBER(AN293),1,0),0)</f>
        <v/>
      </c>
      <c r="BB293" s="7">
        <f>IF(Y293=1,IF(ISNUMBER(T293),T293,0),0)</f>
        <v/>
      </c>
      <c r="BC293" s="7">
        <f>IF(Y293=1,IF(ISNUMBER(T293),1,0),0)</f>
        <v/>
      </c>
      <c r="BD293" s="7">
        <f>IF(Y293=1,AQ293+ROW()/1E9,-1E9)</f>
        <v/>
      </c>
      <c r="BE293" s="7">
        <f>IF(Y293=1,AQ293+ROW()/1E9,1E9)</f>
        <v/>
      </c>
    </row>
    <row r="294">
      <c r="A294" s="16" t="n"/>
      <c r="B294" s="8">
        <f>IF($A294="","",BDP($A294,B$3))</f>
        <v/>
      </c>
      <c r="C294" s="8">
        <f>IF($A294="","",BDP($A294,C$3))</f>
        <v/>
      </c>
      <c r="D294" s="28">
        <f>IF($A294="","",BDP($A294,D$3))</f>
        <v/>
      </c>
      <c r="E294" s="29">
        <f>IF($A294="","",BDP($A294,E$3))</f>
        <v/>
      </c>
      <c r="F294" s="17">
        <f>IF($A294="","",BDP($A294,F$3))</f>
        <v/>
      </c>
      <c r="G294" s="8">
        <f>IF($A294="","",BDP($A294,G$3))</f>
        <v/>
      </c>
      <c r="H294" s="8">
        <f>IF($A294="","",BDP($A294,H$3))</f>
        <v/>
      </c>
      <c r="I294" s="8">
        <f>IF($A294="","",BDP($A294,I$3))</f>
        <v/>
      </c>
      <c r="J294" s="8">
        <f>IF($A294="","",BDP($A294,J$3))</f>
        <v/>
      </c>
      <c r="K294" s="8">
        <f>IF($A294="","",BDP($A294,K$3))</f>
        <v/>
      </c>
      <c r="L294" s="28">
        <f>IF($A294="","",BDP($A294,L$3))</f>
        <v/>
      </c>
      <c r="M294" s="28">
        <f>IF($A294="","",BDP($A294,M$3))</f>
        <v/>
      </c>
      <c r="N294" s="30">
        <f>IF($A294="","",BDP($A294,N$3))</f>
        <v/>
      </c>
      <c r="O294" s="31">
        <f>IF($A294="","",BDP($A294,O$3))</f>
        <v/>
      </c>
      <c r="P294" s="30">
        <f>IF($A294="","",BDH($A294,$N$3,'參數'!$B$5,'參數'!$B$5,"Days=A","Fill=P","Dates=H"))</f>
        <v/>
      </c>
      <c r="Q294" s="30">
        <f>IF($A294="","",BDH($A294,$N$3,'參數'!$B$6,'參數'!$B$6,"Days=A","Fill=P","Dates=H"))</f>
        <v/>
      </c>
      <c r="R294" s="30">
        <f>IF($A294="","",BDH($A294,$N$3,'參數'!$B$7,'參數'!$B$7,"Days=A","Fill=P","Dates=H"))</f>
        <v/>
      </c>
      <c r="S294" s="32">
        <f>IF($A294="","",IFERROR(INDEX('發行人'!$A$5:$A$44,MATCH(B294,'發行人'!$D$5:$D$44,0)),"未對應"))</f>
        <v/>
      </c>
      <c r="T294" s="24">
        <f>IF($A294="","",IFERROR(INDEX('發行人'!$G$5:$G$44,MATCH(B294,'發行人'!$D$5:$D$44,0))+0,""))</f>
        <v/>
      </c>
      <c r="U294" s="18">
        <f>IF(ISNUMBER(E294),YEARFRAC('參數'!$B$4,E294),"")</f>
        <v/>
      </c>
      <c r="V294" s="8">
        <f>IF(U294="","",IF(U294&lt;3,"1-3y",IF(U294&lt;5,"3-5y",IF(U294&lt;7,"5-7y",IF(U294&lt;10,"7-10y","10y+")))))</f>
        <v/>
      </c>
      <c r="W294" s="30">
        <f>IF($A294="","",IFERROR(INDEX('參數'!$B$24:$B$45,MATCH(G294,'參數'!$A$24:$A$45,0)),""))</f>
        <v/>
      </c>
      <c r="X294" s="8">
        <f>IF($A294="","",IFERROR(INDEX('參數'!$C$24:$C$45,MATCH(G294,'參數'!$A$24:$A$45,0)),""))</f>
        <v/>
      </c>
      <c r="Y294" s="30">
        <f>IF(AND(ISNUMBER(N294),ISNUMBER(O294),ISNUMBER(U294)),IF(AND(O294&gt;0,X294&lt;&gt;""),1,0),0)</f>
        <v/>
      </c>
      <c r="Z294" s="17">
        <f>IF(Y294=1,O294*N294,"")</f>
        <v/>
      </c>
      <c r="AA294" s="33">
        <f>IF(Y294=1,IF(ISNUMBER(Q294),N294-Q294,""),"")</f>
        <v/>
      </c>
      <c r="AB294" s="33">
        <f>IF(Y294=1,IF(AND(ISNUMBER(P294),ISNUMBER(R294)),R294*5/12-O294*(P294-R294),""),"")</f>
        <v/>
      </c>
      <c r="AC294" s="30">
        <f>IF(Y294=1,COUNTIFS($X$5:$X$404,X294,$V$5:$V$404,V294,$Y$5:$Y$404,1),"")</f>
        <v/>
      </c>
      <c r="AD294" s="30">
        <f>IF(Y294=1,IFERROR(IF(AC294&gt;='參數'!$B$9,INDEX('分群統計'!$G$13:$K$16,MATCH(X294,'分群統計'!$A$13:$A$16,0),MATCH(V294,'分群統計'!$G$12:$K$12,0)),INDEX('分群統計'!$I$5:$I$8,MATCH(X294,'分群統計'!$A$5:$A$8,0))),""),"")</f>
        <v/>
      </c>
      <c r="AE294" s="18">
        <f>IF(Y294=1,IFERROR(IF(AC294&gt;='參數'!$B$9,INDEX('分群統計'!$L$13:$P$16,MATCH(X294,'分群統計'!$A$13:$A$16,0),MATCH(V294,'分群統計'!$L$12:$P$12,0)),INDEX('分群統計'!$J$5:$J$8,MATCH(X294,'分群統計'!$A$5:$A$8,0))),""),"")</f>
        <v/>
      </c>
      <c r="AF294" s="31">
        <f>IF(ISNUMBER(AE294),IF(AE294&gt;0,MAX(-3,MIN(3,(N294-AD294)/AE294)),0),"")</f>
        <v/>
      </c>
      <c r="AG294" s="30">
        <f>IF(Y294=1,COUNTIFS($B$5:$B$404,B294,$Y$5:$Y$404,1),"")</f>
        <v/>
      </c>
      <c r="AH294" s="30">
        <f>IF(Y294=1,IFERROR(IF(ISNUMBER(INDEX('分群統計'!$G$20:$G$59,MATCH(B294,'分群統計'!$A$20:$A$59,0))),INDEX('分群統計'!$H$20:$H$59,MATCH(B294,'分群統計'!$A$20:$A$59,0))+INDEX('分群統計'!$G$20:$G$59,MATCH(B294,'分群統計'!$A$20:$A$59,0))*AU294,""),""),"")</f>
        <v/>
      </c>
      <c r="AI294" s="34">
        <f>IF(ISNUMBER(AH294),N294-AH294,"")</f>
        <v/>
      </c>
      <c r="AJ294" s="30">
        <f>IF(Y294=1,IFERROR(IF(ISNUMBER(INDEX('分群統計'!$G$5:$G$8,MATCH(X294,'分群統計'!$A$5:$A$8,0))),INDEX('分群統計'!$H$5:$H$8,MATCH(X294,'分群統計'!$A$5:$A$8,0))+INDEX('分群統計'!$G$5:$G$8,MATCH(X294,'分群統計'!$A$5:$A$8,0))*AU294,""),""),"")</f>
        <v/>
      </c>
      <c r="AK294" s="34">
        <f>IF(ISNUMBER(AJ294),N294-AJ294,"")</f>
        <v/>
      </c>
      <c r="AL294" s="21">
        <f>IF(ISNUMBER(AJ294),IF(AJ294&gt;0,AK294/AJ294,""),"")</f>
        <v/>
      </c>
      <c r="AM294" s="31">
        <f>IF(AY294&lt;&gt;1,"",IFERROR(IF(INDEX('分群統計'!$K$5:$K$8,MATCH(X294,'分群統計'!$A$5:$A$8,0))&lt;3,"",IF(INDEX('分群統計'!$M$5:$M$8,MATCH(X294,'分群統計'!$A$5:$A$8,0))&gt;0,MAX(-3,MIN(3,(AX294-INDEX('分群統計'!$L$5:$L$8,MATCH(X294,'分群統計'!$A$5:$A$8,0)))/INDEX('分群統計'!$M$5:$M$8,MATCH(X294,'分群統計'!$A$5:$A$8,0)))),0)),""))</f>
        <v/>
      </c>
      <c r="AN294" s="31">
        <f>IF(ISNUMBER(AB294),IF(Z294&gt;0,AB294/Z294*100,""),"")</f>
        <v/>
      </c>
      <c r="AO294" s="31">
        <f>IF(BA294&lt;&gt;1,"",IFERROR(IF(INDEX('分群統計'!$N$5:$N$8,MATCH(X294,'分群統計'!$A$5:$A$8,0))&lt;3,"",IF(INDEX('分群統計'!$P$5:$P$8,MATCH(X294,'分群統計'!$A$5:$A$8,0))&gt;0,MAX(-3,MIN(3,(AZ294-INDEX('分群統計'!$O$5:$O$8,MATCH(X294,'分群統計'!$A$5:$A$8,0)))/INDEX('分群統計'!$P$5:$P$8,MATCH(X294,'分群統計'!$A$5:$A$8,0)))),0)),""))</f>
        <v/>
      </c>
      <c r="AP294" s="31">
        <f>IF(BC294&lt;&gt;1,"",IFERROR(IF(INDEX('分群統計'!$Q$5:$Q$8,MATCH(X294,'分群統計'!$A$5:$A$8,0))&lt;3,"",IF(INDEX('分群統計'!$S$5:$S$8,MATCH(X294,'分群統計'!$A$5:$A$8,0))&gt;0,MAX(-3,MIN(3,(BB294-INDEX('分群統計'!$R$5:$R$8,MATCH(X294,'分群統計'!$A$5:$A$8,0)))/INDEX('分群統計'!$S$5:$S$8,MATCH(X294,'分群統計'!$A$5:$A$8,0)))),0)),""))</f>
        <v/>
      </c>
      <c r="AQ294" s="31">
        <f>IF(Y294=1,(IF(ISNUMBER(AF294),AF294,0)*'參數'!$B$13+IF(ISNUMBER(AM294),AM294,0)*'參數'!$B$14+IF(ISNUMBER(AO294),AO294,0)*'參數'!$B$15+IF(ISNUMBER(AP294),AP294,0)*'參數'!$B$16)/('參數'!$B$13+'參數'!$B$14+'參數'!$B$15+'參數'!$B$16),"")</f>
        <v/>
      </c>
      <c r="AR294" s="35">
        <f>IF(Y294=1,(SUMPRODUCT(($X$5:$X$404=X294)*($Y$5:$Y$404=1)*($BD$5:$BD$404&gt;BD294))+1)/COUNTIFS($X$5:$X$404,X294,$Y$5:$Y$404,1),"")</f>
        <v/>
      </c>
      <c r="AS294" s="8">
        <f>IF(ISNUMBER(AR294),IF(AR294&lt;='參數'!$B$18,"加碼候選",IF(AR294&gt;'參數'!$B$19,"減碼候選","")),"")</f>
        <v/>
      </c>
      <c r="AT294" s="7">
        <f>IF(Y294=1,N294,0)</f>
        <v/>
      </c>
      <c r="AU294" s="7">
        <f>IF(Y294=1,LN(O294),0)</f>
        <v/>
      </c>
      <c r="AV294" s="36">
        <f>IF(Y294=1,IF(ISNUMBER(F294),F294,0),0)</f>
        <v/>
      </c>
      <c r="AW294" s="7">
        <f>IF(Y294=1,Z294,0)</f>
        <v/>
      </c>
      <c r="AX294" s="7">
        <f>IF(Y294=1,IF(ISNUMBER(AL294),AL294,0),0)</f>
        <v/>
      </c>
      <c r="AY294" s="7">
        <f>IF(Y294=1,IF(ISNUMBER(AL294),1,0),0)</f>
        <v/>
      </c>
      <c r="AZ294" s="7">
        <f>IF(Y294=1,IF(ISNUMBER(AN294),AN294,0),0)</f>
        <v/>
      </c>
      <c r="BA294" s="7">
        <f>IF(Y294=1,IF(ISNUMBER(AN294),1,0),0)</f>
        <v/>
      </c>
      <c r="BB294" s="7">
        <f>IF(Y294=1,IF(ISNUMBER(T294),T294,0),0)</f>
        <v/>
      </c>
      <c r="BC294" s="7">
        <f>IF(Y294=1,IF(ISNUMBER(T294),1,0),0)</f>
        <v/>
      </c>
      <c r="BD294" s="7">
        <f>IF(Y294=1,AQ294+ROW()/1E9,-1E9)</f>
        <v/>
      </c>
      <c r="BE294" s="7">
        <f>IF(Y294=1,AQ294+ROW()/1E9,1E9)</f>
        <v/>
      </c>
    </row>
    <row r="295">
      <c r="A295" s="16" t="n"/>
      <c r="B295" s="8">
        <f>IF($A295="","",BDP($A295,B$3))</f>
        <v/>
      </c>
      <c r="C295" s="8">
        <f>IF($A295="","",BDP($A295,C$3))</f>
        <v/>
      </c>
      <c r="D295" s="28">
        <f>IF($A295="","",BDP($A295,D$3))</f>
        <v/>
      </c>
      <c r="E295" s="29">
        <f>IF($A295="","",BDP($A295,E$3))</f>
        <v/>
      </c>
      <c r="F295" s="17">
        <f>IF($A295="","",BDP($A295,F$3))</f>
        <v/>
      </c>
      <c r="G295" s="8">
        <f>IF($A295="","",BDP($A295,G$3))</f>
        <v/>
      </c>
      <c r="H295" s="8">
        <f>IF($A295="","",BDP($A295,H$3))</f>
        <v/>
      </c>
      <c r="I295" s="8">
        <f>IF($A295="","",BDP($A295,I$3))</f>
        <v/>
      </c>
      <c r="J295" s="8">
        <f>IF($A295="","",BDP($A295,J$3))</f>
        <v/>
      </c>
      <c r="K295" s="8">
        <f>IF($A295="","",BDP($A295,K$3))</f>
        <v/>
      </c>
      <c r="L295" s="28">
        <f>IF($A295="","",BDP($A295,L$3))</f>
        <v/>
      </c>
      <c r="M295" s="28">
        <f>IF($A295="","",BDP($A295,M$3))</f>
        <v/>
      </c>
      <c r="N295" s="30">
        <f>IF($A295="","",BDP($A295,N$3))</f>
        <v/>
      </c>
      <c r="O295" s="31">
        <f>IF($A295="","",BDP($A295,O$3))</f>
        <v/>
      </c>
      <c r="P295" s="30">
        <f>IF($A295="","",BDH($A295,$N$3,'參數'!$B$5,'參數'!$B$5,"Days=A","Fill=P","Dates=H"))</f>
        <v/>
      </c>
      <c r="Q295" s="30">
        <f>IF($A295="","",BDH($A295,$N$3,'參數'!$B$6,'參數'!$B$6,"Days=A","Fill=P","Dates=H"))</f>
        <v/>
      </c>
      <c r="R295" s="30">
        <f>IF($A295="","",BDH($A295,$N$3,'參數'!$B$7,'參數'!$B$7,"Days=A","Fill=P","Dates=H"))</f>
        <v/>
      </c>
      <c r="S295" s="32">
        <f>IF($A295="","",IFERROR(INDEX('發行人'!$A$5:$A$44,MATCH(B295,'發行人'!$D$5:$D$44,0)),"未對應"))</f>
        <v/>
      </c>
      <c r="T295" s="24">
        <f>IF($A295="","",IFERROR(INDEX('發行人'!$G$5:$G$44,MATCH(B295,'發行人'!$D$5:$D$44,0))+0,""))</f>
        <v/>
      </c>
      <c r="U295" s="18">
        <f>IF(ISNUMBER(E295),YEARFRAC('參數'!$B$4,E295),"")</f>
        <v/>
      </c>
      <c r="V295" s="8">
        <f>IF(U295="","",IF(U295&lt;3,"1-3y",IF(U295&lt;5,"3-5y",IF(U295&lt;7,"5-7y",IF(U295&lt;10,"7-10y","10y+")))))</f>
        <v/>
      </c>
      <c r="W295" s="30">
        <f>IF($A295="","",IFERROR(INDEX('參數'!$B$24:$B$45,MATCH(G295,'參數'!$A$24:$A$45,0)),""))</f>
        <v/>
      </c>
      <c r="X295" s="8">
        <f>IF($A295="","",IFERROR(INDEX('參數'!$C$24:$C$45,MATCH(G295,'參數'!$A$24:$A$45,0)),""))</f>
        <v/>
      </c>
      <c r="Y295" s="30">
        <f>IF(AND(ISNUMBER(N295),ISNUMBER(O295),ISNUMBER(U295)),IF(AND(O295&gt;0,X295&lt;&gt;""),1,0),0)</f>
        <v/>
      </c>
      <c r="Z295" s="17">
        <f>IF(Y295=1,O295*N295,"")</f>
        <v/>
      </c>
      <c r="AA295" s="33">
        <f>IF(Y295=1,IF(ISNUMBER(Q295),N295-Q295,""),"")</f>
        <v/>
      </c>
      <c r="AB295" s="33">
        <f>IF(Y295=1,IF(AND(ISNUMBER(P295),ISNUMBER(R295)),R295*5/12-O295*(P295-R295),""),"")</f>
        <v/>
      </c>
      <c r="AC295" s="30">
        <f>IF(Y295=1,COUNTIFS($X$5:$X$404,X295,$V$5:$V$404,V295,$Y$5:$Y$404,1),"")</f>
        <v/>
      </c>
      <c r="AD295" s="30">
        <f>IF(Y295=1,IFERROR(IF(AC295&gt;='參數'!$B$9,INDEX('分群統計'!$G$13:$K$16,MATCH(X295,'分群統計'!$A$13:$A$16,0),MATCH(V295,'分群統計'!$G$12:$K$12,0)),INDEX('分群統計'!$I$5:$I$8,MATCH(X295,'分群統計'!$A$5:$A$8,0))),""),"")</f>
        <v/>
      </c>
      <c r="AE295" s="18">
        <f>IF(Y295=1,IFERROR(IF(AC295&gt;='參數'!$B$9,INDEX('分群統計'!$L$13:$P$16,MATCH(X295,'分群統計'!$A$13:$A$16,0),MATCH(V295,'分群統計'!$L$12:$P$12,0)),INDEX('分群統計'!$J$5:$J$8,MATCH(X295,'分群統計'!$A$5:$A$8,0))),""),"")</f>
        <v/>
      </c>
      <c r="AF295" s="31">
        <f>IF(ISNUMBER(AE295),IF(AE295&gt;0,MAX(-3,MIN(3,(N295-AD295)/AE295)),0),"")</f>
        <v/>
      </c>
      <c r="AG295" s="30">
        <f>IF(Y295=1,COUNTIFS($B$5:$B$404,B295,$Y$5:$Y$404,1),"")</f>
        <v/>
      </c>
      <c r="AH295" s="30">
        <f>IF(Y295=1,IFERROR(IF(ISNUMBER(INDEX('分群統計'!$G$20:$G$59,MATCH(B295,'分群統計'!$A$20:$A$59,0))),INDEX('分群統計'!$H$20:$H$59,MATCH(B295,'分群統計'!$A$20:$A$59,0))+INDEX('分群統計'!$G$20:$G$59,MATCH(B295,'分群統計'!$A$20:$A$59,0))*AU295,""),""),"")</f>
        <v/>
      </c>
      <c r="AI295" s="34">
        <f>IF(ISNUMBER(AH295),N295-AH295,"")</f>
        <v/>
      </c>
      <c r="AJ295" s="30">
        <f>IF(Y295=1,IFERROR(IF(ISNUMBER(INDEX('分群統計'!$G$5:$G$8,MATCH(X295,'分群統計'!$A$5:$A$8,0))),INDEX('分群統計'!$H$5:$H$8,MATCH(X295,'分群統計'!$A$5:$A$8,0))+INDEX('分群統計'!$G$5:$G$8,MATCH(X295,'分群統計'!$A$5:$A$8,0))*AU295,""),""),"")</f>
        <v/>
      </c>
      <c r="AK295" s="34">
        <f>IF(ISNUMBER(AJ295),N295-AJ295,"")</f>
        <v/>
      </c>
      <c r="AL295" s="21">
        <f>IF(ISNUMBER(AJ295),IF(AJ295&gt;0,AK295/AJ295,""),"")</f>
        <v/>
      </c>
      <c r="AM295" s="31">
        <f>IF(AY295&lt;&gt;1,"",IFERROR(IF(INDEX('分群統計'!$K$5:$K$8,MATCH(X295,'分群統計'!$A$5:$A$8,0))&lt;3,"",IF(INDEX('分群統計'!$M$5:$M$8,MATCH(X295,'分群統計'!$A$5:$A$8,0))&gt;0,MAX(-3,MIN(3,(AX295-INDEX('分群統計'!$L$5:$L$8,MATCH(X295,'分群統計'!$A$5:$A$8,0)))/INDEX('分群統計'!$M$5:$M$8,MATCH(X295,'分群統計'!$A$5:$A$8,0)))),0)),""))</f>
        <v/>
      </c>
      <c r="AN295" s="31">
        <f>IF(ISNUMBER(AB295),IF(Z295&gt;0,AB295/Z295*100,""),"")</f>
        <v/>
      </c>
      <c r="AO295" s="31">
        <f>IF(BA295&lt;&gt;1,"",IFERROR(IF(INDEX('分群統計'!$N$5:$N$8,MATCH(X295,'分群統計'!$A$5:$A$8,0))&lt;3,"",IF(INDEX('分群統計'!$P$5:$P$8,MATCH(X295,'分群統計'!$A$5:$A$8,0))&gt;0,MAX(-3,MIN(3,(AZ295-INDEX('分群統計'!$O$5:$O$8,MATCH(X295,'分群統計'!$A$5:$A$8,0)))/INDEX('分群統計'!$P$5:$P$8,MATCH(X295,'分群統計'!$A$5:$A$8,0)))),0)),""))</f>
        <v/>
      </c>
      <c r="AP295" s="31">
        <f>IF(BC295&lt;&gt;1,"",IFERROR(IF(INDEX('分群統計'!$Q$5:$Q$8,MATCH(X295,'分群統計'!$A$5:$A$8,0))&lt;3,"",IF(INDEX('分群統計'!$S$5:$S$8,MATCH(X295,'分群統計'!$A$5:$A$8,0))&gt;0,MAX(-3,MIN(3,(BB295-INDEX('分群統計'!$R$5:$R$8,MATCH(X295,'分群統計'!$A$5:$A$8,0)))/INDEX('分群統計'!$S$5:$S$8,MATCH(X295,'分群統計'!$A$5:$A$8,0)))),0)),""))</f>
        <v/>
      </c>
      <c r="AQ295" s="31">
        <f>IF(Y295=1,(IF(ISNUMBER(AF295),AF295,0)*'參數'!$B$13+IF(ISNUMBER(AM295),AM295,0)*'參數'!$B$14+IF(ISNUMBER(AO295),AO295,0)*'參數'!$B$15+IF(ISNUMBER(AP295),AP295,0)*'參數'!$B$16)/('參數'!$B$13+'參數'!$B$14+'參數'!$B$15+'參數'!$B$16),"")</f>
        <v/>
      </c>
      <c r="AR295" s="35">
        <f>IF(Y295=1,(SUMPRODUCT(($X$5:$X$404=X295)*($Y$5:$Y$404=1)*($BD$5:$BD$404&gt;BD295))+1)/COUNTIFS($X$5:$X$404,X295,$Y$5:$Y$404,1),"")</f>
        <v/>
      </c>
      <c r="AS295" s="8">
        <f>IF(ISNUMBER(AR295),IF(AR295&lt;='參數'!$B$18,"加碼候選",IF(AR295&gt;'參數'!$B$19,"減碼候選","")),"")</f>
        <v/>
      </c>
      <c r="AT295" s="7">
        <f>IF(Y295=1,N295,0)</f>
        <v/>
      </c>
      <c r="AU295" s="7">
        <f>IF(Y295=1,LN(O295),0)</f>
        <v/>
      </c>
      <c r="AV295" s="36">
        <f>IF(Y295=1,IF(ISNUMBER(F295),F295,0),0)</f>
        <v/>
      </c>
      <c r="AW295" s="7">
        <f>IF(Y295=1,Z295,0)</f>
        <v/>
      </c>
      <c r="AX295" s="7">
        <f>IF(Y295=1,IF(ISNUMBER(AL295),AL295,0),0)</f>
        <v/>
      </c>
      <c r="AY295" s="7">
        <f>IF(Y295=1,IF(ISNUMBER(AL295),1,0),0)</f>
        <v/>
      </c>
      <c r="AZ295" s="7">
        <f>IF(Y295=1,IF(ISNUMBER(AN295),AN295,0),0)</f>
        <v/>
      </c>
      <c r="BA295" s="7">
        <f>IF(Y295=1,IF(ISNUMBER(AN295),1,0),0)</f>
        <v/>
      </c>
      <c r="BB295" s="7">
        <f>IF(Y295=1,IF(ISNUMBER(T295),T295,0),0)</f>
        <v/>
      </c>
      <c r="BC295" s="7">
        <f>IF(Y295=1,IF(ISNUMBER(T295),1,0),0)</f>
        <v/>
      </c>
      <c r="BD295" s="7">
        <f>IF(Y295=1,AQ295+ROW()/1E9,-1E9)</f>
        <v/>
      </c>
      <c r="BE295" s="7">
        <f>IF(Y295=1,AQ295+ROW()/1E9,1E9)</f>
        <v/>
      </c>
    </row>
    <row r="296">
      <c r="A296" s="16" t="n"/>
      <c r="B296" s="8">
        <f>IF($A296="","",BDP($A296,B$3))</f>
        <v/>
      </c>
      <c r="C296" s="8">
        <f>IF($A296="","",BDP($A296,C$3))</f>
        <v/>
      </c>
      <c r="D296" s="28">
        <f>IF($A296="","",BDP($A296,D$3))</f>
        <v/>
      </c>
      <c r="E296" s="29">
        <f>IF($A296="","",BDP($A296,E$3))</f>
        <v/>
      </c>
      <c r="F296" s="17">
        <f>IF($A296="","",BDP($A296,F$3))</f>
        <v/>
      </c>
      <c r="G296" s="8">
        <f>IF($A296="","",BDP($A296,G$3))</f>
        <v/>
      </c>
      <c r="H296" s="8">
        <f>IF($A296="","",BDP($A296,H$3))</f>
        <v/>
      </c>
      <c r="I296" s="8">
        <f>IF($A296="","",BDP($A296,I$3))</f>
        <v/>
      </c>
      <c r="J296" s="8">
        <f>IF($A296="","",BDP($A296,J$3))</f>
        <v/>
      </c>
      <c r="K296" s="8">
        <f>IF($A296="","",BDP($A296,K$3))</f>
        <v/>
      </c>
      <c r="L296" s="28">
        <f>IF($A296="","",BDP($A296,L$3))</f>
        <v/>
      </c>
      <c r="M296" s="28">
        <f>IF($A296="","",BDP($A296,M$3))</f>
        <v/>
      </c>
      <c r="N296" s="30">
        <f>IF($A296="","",BDP($A296,N$3))</f>
        <v/>
      </c>
      <c r="O296" s="31">
        <f>IF($A296="","",BDP($A296,O$3))</f>
        <v/>
      </c>
      <c r="P296" s="30">
        <f>IF($A296="","",BDH($A296,$N$3,'參數'!$B$5,'參數'!$B$5,"Days=A","Fill=P","Dates=H"))</f>
        <v/>
      </c>
      <c r="Q296" s="30">
        <f>IF($A296="","",BDH($A296,$N$3,'參數'!$B$6,'參數'!$B$6,"Days=A","Fill=P","Dates=H"))</f>
        <v/>
      </c>
      <c r="R296" s="30">
        <f>IF($A296="","",BDH($A296,$N$3,'參數'!$B$7,'參數'!$B$7,"Days=A","Fill=P","Dates=H"))</f>
        <v/>
      </c>
      <c r="S296" s="32">
        <f>IF($A296="","",IFERROR(INDEX('發行人'!$A$5:$A$44,MATCH(B296,'發行人'!$D$5:$D$44,0)),"未對應"))</f>
        <v/>
      </c>
      <c r="T296" s="24">
        <f>IF($A296="","",IFERROR(INDEX('發行人'!$G$5:$G$44,MATCH(B296,'發行人'!$D$5:$D$44,0))+0,""))</f>
        <v/>
      </c>
      <c r="U296" s="18">
        <f>IF(ISNUMBER(E296),YEARFRAC('參數'!$B$4,E296),"")</f>
        <v/>
      </c>
      <c r="V296" s="8">
        <f>IF(U296="","",IF(U296&lt;3,"1-3y",IF(U296&lt;5,"3-5y",IF(U296&lt;7,"5-7y",IF(U296&lt;10,"7-10y","10y+")))))</f>
        <v/>
      </c>
      <c r="W296" s="30">
        <f>IF($A296="","",IFERROR(INDEX('參數'!$B$24:$B$45,MATCH(G296,'參數'!$A$24:$A$45,0)),""))</f>
        <v/>
      </c>
      <c r="X296" s="8">
        <f>IF($A296="","",IFERROR(INDEX('參數'!$C$24:$C$45,MATCH(G296,'參數'!$A$24:$A$45,0)),""))</f>
        <v/>
      </c>
      <c r="Y296" s="30">
        <f>IF(AND(ISNUMBER(N296),ISNUMBER(O296),ISNUMBER(U296)),IF(AND(O296&gt;0,X296&lt;&gt;""),1,0),0)</f>
        <v/>
      </c>
      <c r="Z296" s="17">
        <f>IF(Y296=1,O296*N296,"")</f>
        <v/>
      </c>
      <c r="AA296" s="33">
        <f>IF(Y296=1,IF(ISNUMBER(Q296),N296-Q296,""),"")</f>
        <v/>
      </c>
      <c r="AB296" s="33">
        <f>IF(Y296=1,IF(AND(ISNUMBER(P296),ISNUMBER(R296)),R296*5/12-O296*(P296-R296),""),"")</f>
        <v/>
      </c>
      <c r="AC296" s="30">
        <f>IF(Y296=1,COUNTIFS($X$5:$X$404,X296,$V$5:$V$404,V296,$Y$5:$Y$404,1),"")</f>
        <v/>
      </c>
      <c r="AD296" s="30">
        <f>IF(Y296=1,IFERROR(IF(AC296&gt;='參數'!$B$9,INDEX('分群統計'!$G$13:$K$16,MATCH(X296,'分群統計'!$A$13:$A$16,0),MATCH(V296,'分群統計'!$G$12:$K$12,0)),INDEX('分群統計'!$I$5:$I$8,MATCH(X296,'分群統計'!$A$5:$A$8,0))),""),"")</f>
        <v/>
      </c>
      <c r="AE296" s="18">
        <f>IF(Y296=1,IFERROR(IF(AC296&gt;='參數'!$B$9,INDEX('分群統計'!$L$13:$P$16,MATCH(X296,'分群統計'!$A$13:$A$16,0),MATCH(V296,'分群統計'!$L$12:$P$12,0)),INDEX('分群統計'!$J$5:$J$8,MATCH(X296,'分群統計'!$A$5:$A$8,0))),""),"")</f>
        <v/>
      </c>
      <c r="AF296" s="31">
        <f>IF(ISNUMBER(AE296),IF(AE296&gt;0,MAX(-3,MIN(3,(N296-AD296)/AE296)),0),"")</f>
        <v/>
      </c>
      <c r="AG296" s="30">
        <f>IF(Y296=1,COUNTIFS($B$5:$B$404,B296,$Y$5:$Y$404,1),"")</f>
        <v/>
      </c>
      <c r="AH296" s="30">
        <f>IF(Y296=1,IFERROR(IF(ISNUMBER(INDEX('分群統計'!$G$20:$G$59,MATCH(B296,'分群統計'!$A$20:$A$59,0))),INDEX('分群統計'!$H$20:$H$59,MATCH(B296,'分群統計'!$A$20:$A$59,0))+INDEX('分群統計'!$G$20:$G$59,MATCH(B296,'分群統計'!$A$20:$A$59,0))*AU296,""),""),"")</f>
        <v/>
      </c>
      <c r="AI296" s="34">
        <f>IF(ISNUMBER(AH296),N296-AH296,"")</f>
        <v/>
      </c>
      <c r="AJ296" s="30">
        <f>IF(Y296=1,IFERROR(IF(ISNUMBER(INDEX('分群統計'!$G$5:$G$8,MATCH(X296,'分群統計'!$A$5:$A$8,0))),INDEX('分群統計'!$H$5:$H$8,MATCH(X296,'分群統計'!$A$5:$A$8,0))+INDEX('分群統計'!$G$5:$G$8,MATCH(X296,'分群統計'!$A$5:$A$8,0))*AU296,""),""),"")</f>
        <v/>
      </c>
      <c r="AK296" s="34">
        <f>IF(ISNUMBER(AJ296),N296-AJ296,"")</f>
        <v/>
      </c>
      <c r="AL296" s="21">
        <f>IF(ISNUMBER(AJ296),IF(AJ296&gt;0,AK296/AJ296,""),"")</f>
        <v/>
      </c>
      <c r="AM296" s="31">
        <f>IF(AY296&lt;&gt;1,"",IFERROR(IF(INDEX('分群統計'!$K$5:$K$8,MATCH(X296,'分群統計'!$A$5:$A$8,0))&lt;3,"",IF(INDEX('分群統計'!$M$5:$M$8,MATCH(X296,'分群統計'!$A$5:$A$8,0))&gt;0,MAX(-3,MIN(3,(AX296-INDEX('分群統計'!$L$5:$L$8,MATCH(X296,'分群統計'!$A$5:$A$8,0)))/INDEX('分群統計'!$M$5:$M$8,MATCH(X296,'分群統計'!$A$5:$A$8,0)))),0)),""))</f>
        <v/>
      </c>
      <c r="AN296" s="31">
        <f>IF(ISNUMBER(AB296),IF(Z296&gt;0,AB296/Z296*100,""),"")</f>
        <v/>
      </c>
      <c r="AO296" s="31">
        <f>IF(BA296&lt;&gt;1,"",IFERROR(IF(INDEX('分群統計'!$N$5:$N$8,MATCH(X296,'分群統計'!$A$5:$A$8,0))&lt;3,"",IF(INDEX('分群統計'!$P$5:$P$8,MATCH(X296,'分群統計'!$A$5:$A$8,0))&gt;0,MAX(-3,MIN(3,(AZ296-INDEX('分群統計'!$O$5:$O$8,MATCH(X296,'分群統計'!$A$5:$A$8,0)))/INDEX('分群統計'!$P$5:$P$8,MATCH(X296,'分群統計'!$A$5:$A$8,0)))),0)),""))</f>
        <v/>
      </c>
      <c r="AP296" s="31">
        <f>IF(BC296&lt;&gt;1,"",IFERROR(IF(INDEX('分群統計'!$Q$5:$Q$8,MATCH(X296,'分群統計'!$A$5:$A$8,0))&lt;3,"",IF(INDEX('分群統計'!$S$5:$S$8,MATCH(X296,'分群統計'!$A$5:$A$8,0))&gt;0,MAX(-3,MIN(3,(BB296-INDEX('分群統計'!$R$5:$R$8,MATCH(X296,'分群統計'!$A$5:$A$8,0)))/INDEX('分群統計'!$S$5:$S$8,MATCH(X296,'分群統計'!$A$5:$A$8,0)))),0)),""))</f>
        <v/>
      </c>
      <c r="AQ296" s="31">
        <f>IF(Y296=1,(IF(ISNUMBER(AF296),AF296,0)*'參數'!$B$13+IF(ISNUMBER(AM296),AM296,0)*'參數'!$B$14+IF(ISNUMBER(AO296),AO296,0)*'參數'!$B$15+IF(ISNUMBER(AP296),AP296,0)*'參數'!$B$16)/('參數'!$B$13+'參數'!$B$14+'參數'!$B$15+'參數'!$B$16),"")</f>
        <v/>
      </c>
      <c r="AR296" s="35">
        <f>IF(Y296=1,(SUMPRODUCT(($X$5:$X$404=X296)*($Y$5:$Y$404=1)*($BD$5:$BD$404&gt;BD296))+1)/COUNTIFS($X$5:$X$404,X296,$Y$5:$Y$404,1),"")</f>
        <v/>
      </c>
      <c r="AS296" s="8">
        <f>IF(ISNUMBER(AR296),IF(AR296&lt;='參數'!$B$18,"加碼候選",IF(AR296&gt;'參數'!$B$19,"減碼候選","")),"")</f>
        <v/>
      </c>
      <c r="AT296" s="7">
        <f>IF(Y296=1,N296,0)</f>
        <v/>
      </c>
      <c r="AU296" s="7">
        <f>IF(Y296=1,LN(O296),0)</f>
        <v/>
      </c>
      <c r="AV296" s="36">
        <f>IF(Y296=1,IF(ISNUMBER(F296),F296,0),0)</f>
        <v/>
      </c>
      <c r="AW296" s="7">
        <f>IF(Y296=1,Z296,0)</f>
        <v/>
      </c>
      <c r="AX296" s="7">
        <f>IF(Y296=1,IF(ISNUMBER(AL296),AL296,0),0)</f>
        <v/>
      </c>
      <c r="AY296" s="7">
        <f>IF(Y296=1,IF(ISNUMBER(AL296),1,0),0)</f>
        <v/>
      </c>
      <c r="AZ296" s="7">
        <f>IF(Y296=1,IF(ISNUMBER(AN296),AN296,0),0)</f>
        <v/>
      </c>
      <c r="BA296" s="7">
        <f>IF(Y296=1,IF(ISNUMBER(AN296),1,0),0)</f>
        <v/>
      </c>
      <c r="BB296" s="7">
        <f>IF(Y296=1,IF(ISNUMBER(T296),T296,0),0)</f>
        <v/>
      </c>
      <c r="BC296" s="7">
        <f>IF(Y296=1,IF(ISNUMBER(T296),1,0),0)</f>
        <v/>
      </c>
      <c r="BD296" s="7">
        <f>IF(Y296=1,AQ296+ROW()/1E9,-1E9)</f>
        <v/>
      </c>
      <c r="BE296" s="7">
        <f>IF(Y296=1,AQ296+ROW()/1E9,1E9)</f>
        <v/>
      </c>
    </row>
    <row r="297">
      <c r="A297" s="16" t="n"/>
      <c r="B297" s="8">
        <f>IF($A297="","",BDP($A297,B$3))</f>
        <v/>
      </c>
      <c r="C297" s="8">
        <f>IF($A297="","",BDP($A297,C$3))</f>
        <v/>
      </c>
      <c r="D297" s="28">
        <f>IF($A297="","",BDP($A297,D$3))</f>
        <v/>
      </c>
      <c r="E297" s="29">
        <f>IF($A297="","",BDP($A297,E$3))</f>
        <v/>
      </c>
      <c r="F297" s="17">
        <f>IF($A297="","",BDP($A297,F$3))</f>
        <v/>
      </c>
      <c r="G297" s="8">
        <f>IF($A297="","",BDP($A297,G$3))</f>
        <v/>
      </c>
      <c r="H297" s="8">
        <f>IF($A297="","",BDP($A297,H$3))</f>
        <v/>
      </c>
      <c r="I297" s="8">
        <f>IF($A297="","",BDP($A297,I$3))</f>
        <v/>
      </c>
      <c r="J297" s="8">
        <f>IF($A297="","",BDP($A297,J$3))</f>
        <v/>
      </c>
      <c r="K297" s="8">
        <f>IF($A297="","",BDP($A297,K$3))</f>
        <v/>
      </c>
      <c r="L297" s="28">
        <f>IF($A297="","",BDP($A297,L$3))</f>
        <v/>
      </c>
      <c r="M297" s="28">
        <f>IF($A297="","",BDP($A297,M$3))</f>
        <v/>
      </c>
      <c r="N297" s="30">
        <f>IF($A297="","",BDP($A297,N$3))</f>
        <v/>
      </c>
      <c r="O297" s="31">
        <f>IF($A297="","",BDP($A297,O$3))</f>
        <v/>
      </c>
      <c r="P297" s="30">
        <f>IF($A297="","",BDH($A297,$N$3,'參數'!$B$5,'參數'!$B$5,"Days=A","Fill=P","Dates=H"))</f>
        <v/>
      </c>
      <c r="Q297" s="30">
        <f>IF($A297="","",BDH($A297,$N$3,'參數'!$B$6,'參數'!$B$6,"Days=A","Fill=P","Dates=H"))</f>
        <v/>
      </c>
      <c r="R297" s="30">
        <f>IF($A297="","",BDH($A297,$N$3,'參數'!$B$7,'參數'!$B$7,"Days=A","Fill=P","Dates=H"))</f>
        <v/>
      </c>
      <c r="S297" s="32">
        <f>IF($A297="","",IFERROR(INDEX('發行人'!$A$5:$A$44,MATCH(B297,'發行人'!$D$5:$D$44,0)),"未對應"))</f>
        <v/>
      </c>
      <c r="T297" s="24">
        <f>IF($A297="","",IFERROR(INDEX('發行人'!$G$5:$G$44,MATCH(B297,'發行人'!$D$5:$D$44,0))+0,""))</f>
        <v/>
      </c>
      <c r="U297" s="18">
        <f>IF(ISNUMBER(E297),YEARFRAC('參數'!$B$4,E297),"")</f>
        <v/>
      </c>
      <c r="V297" s="8">
        <f>IF(U297="","",IF(U297&lt;3,"1-3y",IF(U297&lt;5,"3-5y",IF(U297&lt;7,"5-7y",IF(U297&lt;10,"7-10y","10y+")))))</f>
        <v/>
      </c>
      <c r="W297" s="30">
        <f>IF($A297="","",IFERROR(INDEX('參數'!$B$24:$B$45,MATCH(G297,'參數'!$A$24:$A$45,0)),""))</f>
        <v/>
      </c>
      <c r="X297" s="8">
        <f>IF($A297="","",IFERROR(INDEX('參數'!$C$24:$C$45,MATCH(G297,'參數'!$A$24:$A$45,0)),""))</f>
        <v/>
      </c>
      <c r="Y297" s="30">
        <f>IF(AND(ISNUMBER(N297),ISNUMBER(O297),ISNUMBER(U297)),IF(AND(O297&gt;0,X297&lt;&gt;""),1,0),0)</f>
        <v/>
      </c>
      <c r="Z297" s="17">
        <f>IF(Y297=1,O297*N297,"")</f>
        <v/>
      </c>
      <c r="AA297" s="33">
        <f>IF(Y297=1,IF(ISNUMBER(Q297),N297-Q297,""),"")</f>
        <v/>
      </c>
      <c r="AB297" s="33">
        <f>IF(Y297=1,IF(AND(ISNUMBER(P297),ISNUMBER(R297)),R297*5/12-O297*(P297-R297),""),"")</f>
        <v/>
      </c>
      <c r="AC297" s="30">
        <f>IF(Y297=1,COUNTIFS($X$5:$X$404,X297,$V$5:$V$404,V297,$Y$5:$Y$404,1),"")</f>
        <v/>
      </c>
      <c r="AD297" s="30">
        <f>IF(Y297=1,IFERROR(IF(AC297&gt;='參數'!$B$9,INDEX('分群統計'!$G$13:$K$16,MATCH(X297,'分群統計'!$A$13:$A$16,0),MATCH(V297,'分群統計'!$G$12:$K$12,0)),INDEX('分群統計'!$I$5:$I$8,MATCH(X297,'分群統計'!$A$5:$A$8,0))),""),"")</f>
        <v/>
      </c>
      <c r="AE297" s="18">
        <f>IF(Y297=1,IFERROR(IF(AC297&gt;='參數'!$B$9,INDEX('分群統計'!$L$13:$P$16,MATCH(X297,'分群統計'!$A$13:$A$16,0),MATCH(V297,'分群統計'!$L$12:$P$12,0)),INDEX('分群統計'!$J$5:$J$8,MATCH(X297,'分群統計'!$A$5:$A$8,0))),""),"")</f>
        <v/>
      </c>
      <c r="AF297" s="31">
        <f>IF(ISNUMBER(AE297),IF(AE297&gt;0,MAX(-3,MIN(3,(N297-AD297)/AE297)),0),"")</f>
        <v/>
      </c>
      <c r="AG297" s="30">
        <f>IF(Y297=1,COUNTIFS($B$5:$B$404,B297,$Y$5:$Y$404,1),"")</f>
        <v/>
      </c>
      <c r="AH297" s="30">
        <f>IF(Y297=1,IFERROR(IF(ISNUMBER(INDEX('分群統計'!$G$20:$G$59,MATCH(B297,'分群統計'!$A$20:$A$59,0))),INDEX('分群統計'!$H$20:$H$59,MATCH(B297,'分群統計'!$A$20:$A$59,0))+INDEX('分群統計'!$G$20:$G$59,MATCH(B297,'分群統計'!$A$20:$A$59,0))*AU297,""),""),"")</f>
        <v/>
      </c>
      <c r="AI297" s="34">
        <f>IF(ISNUMBER(AH297),N297-AH297,"")</f>
        <v/>
      </c>
      <c r="AJ297" s="30">
        <f>IF(Y297=1,IFERROR(IF(ISNUMBER(INDEX('分群統計'!$G$5:$G$8,MATCH(X297,'分群統計'!$A$5:$A$8,0))),INDEX('分群統計'!$H$5:$H$8,MATCH(X297,'分群統計'!$A$5:$A$8,0))+INDEX('分群統計'!$G$5:$G$8,MATCH(X297,'分群統計'!$A$5:$A$8,0))*AU297,""),""),"")</f>
        <v/>
      </c>
      <c r="AK297" s="34">
        <f>IF(ISNUMBER(AJ297),N297-AJ297,"")</f>
        <v/>
      </c>
      <c r="AL297" s="21">
        <f>IF(ISNUMBER(AJ297),IF(AJ297&gt;0,AK297/AJ297,""),"")</f>
        <v/>
      </c>
      <c r="AM297" s="31">
        <f>IF(AY297&lt;&gt;1,"",IFERROR(IF(INDEX('分群統計'!$K$5:$K$8,MATCH(X297,'分群統計'!$A$5:$A$8,0))&lt;3,"",IF(INDEX('分群統計'!$M$5:$M$8,MATCH(X297,'分群統計'!$A$5:$A$8,0))&gt;0,MAX(-3,MIN(3,(AX297-INDEX('分群統計'!$L$5:$L$8,MATCH(X297,'分群統計'!$A$5:$A$8,0)))/INDEX('分群統計'!$M$5:$M$8,MATCH(X297,'分群統計'!$A$5:$A$8,0)))),0)),""))</f>
        <v/>
      </c>
      <c r="AN297" s="31">
        <f>IF(ISNUMBER(AB297),IF(Z297&gt;0,AB297/Z297*100,""),"")</f>
        <v/>
      </c>
      <c r="AO297" s="31">
        <f>IF(BA297&lt;&gt;1,"",IFERROR(IF(INDEX('分群統計'!$N$5:$N$8,MATCH(X297,'分群統計'!$A$5:$A$8,0))&lt;3,"",IF(INDEX('分群統計'!$P$5:$P$8,MATCH(X297,'分群統計'!$A$5:$A$8,0))&gt;0,MAX(-3,MIN(3,(AZ297-INDEX('分群統計'!$O$5:$O$8,MATCH(X297,'分群統計'!$A$5:$A$8,0)))/INDEX('分群統計'!$P$5:$P$8,MATCH(X297,'分群統計'!$A$5:$A$8,0)))),0)),""))</f>
        <v/>
      </c>
      <c r="AP297" s="31">
        <f>IF(BC297&lt;&gt;1,"",IFERROR(IF(INDEX('分群統計'!$Q$5:$Q$8,MATCH(X297,'分群統計'!$A$5:$A$8,0))&lt;3,"",IF(INDEX('分群統計'!$S$5:$S$8,MATCH(X297,'分群統計'!$A$5:$A$8,0))&gt;0,MAX(-3,MIN(3,(BB297-INDEX('分群統計'!$R$5:$R$8,MATCH(X297,'分群統計'!$A$5:$A$8,0)))/INDEX('分群統計'!$S$5:$S$8,MATCH(X297,'分群統計'!$A$5:$A$8,0)))),0)),""))</f>
        <v/>
      </c>
      <c r="AQ297" s="31">
        <f>IF(Y297=1,(IF(ISNUMBER(AF297),AF297,0)*'參數'!$B$13+IF(ISNUMBER(AM297),AM297,0)*'參數'!$B$14+IF(ISNUMBER(AO297),AO297,0)*'參數'!$B$15+IF(ISNUMBER(AP297),AP297,0)*'參數'!$B$16)/('參數'!$B$13+'參數'!$B$14+'參數'!$B$15+'參數'!$B$16),"")</f>
        <v/>
      </c>
      <c r="AR297" s="35">
        <f>IF(Y297=1,(SUMPRODUCT(($X$5:$X$404=X297)*($Y$5:$Y$404=1)*($BD$5:$BD$404&gt;BD297))+1)/COUNTIFS($X$5:$X$404,X297,$Y$5:$Y$404,1),"")</f>
        <v/>
      </c>
      <c r="AS297" s="8">
        <f>IF(ISNUMBER(AR297),IF(AR297&lt;='參數'!$B$18,"加碼候選",IF(AR297&gt;'參數'!$B$19,"減碼候選","")),"")</f>
        <v/>
      </c>
      <c r="AT297" s="7">
        <f>IF(Y297=1,N297,0)</f>
        <v/>
      </c>
      <c r="AU297" s="7">
        <f>IF(Y297=1,LN(O297),0)</f>
        <v/>
      </c>
      <c r="AV297" s="36">
        <f>IF(Y297=1,IF(ISNUMBER(F297),F297,0),0)</f>
        <v/>
      </c>
      <c r="AW297" s="7">
        <f>IF(Y297=1,Z297,0)</f>
        <v/>
      </c>
      <c r="AX297" s="7">
        <f>IF(Y297=1,IF(ISNUMBER(AL297),AL297,0),0)</f>
        <v/>
      </c>
      <c r="AY297" s="7">
        <f>IF(Y297=1,IF(ISNUMBER(AL297),1,0),0)</f>
        <v/>
      </c>
      <c r="AZ297" s="7">
        <f>IF(Y297=1,IF(ISNUMBER(AN297),AN297,0),0)</f>
        <v/>
      </c>
      <c r="BA297" s="7">
        <f>IF(Y297=1,IF(ISNUMBER(AN297),1,0),0)</f>
        <v/>
      </c>
      <c r="BB297" s="7">
        <f>IF(Y297=1,IF(ISNUMBER(T297),T297,0),0)</f>
        <v/>
      </c>
      <c r="BC297" s="7">
        <f>IF(Y297=1,IF(ISNUMBER(T297),1,0),0)</f>
        <v/>
      </c>
      <c r="BD297" s="7">
        <f>IF(Y297=1,AQ297+ROW()/1E9,-1E9)</f>
        <v/>
      </c>
      <c r="BE297" s="7">
        <f>IF(Y297=1,AQ297+ROW()/1E9,1E9)</f>
        <v/>
      </c>
    </row>
    <row r="298">
      <c r="A298" s="16" t="n"/>
      <c r="B298" s="8">
        <f>IF($A298="","",BDP($A298,B$3))</f>
        <v/>
      </c>
      <c r="C298" s="8">
        <f>IF($A298="","",BDP($A298,C$3))</f>
        <v/>
      </c>
      <c r="D298" s="28">
        <f>IF($A298="","",BDP($A298,D$3))</f>
        <v/>
      </c>
      <c r="E298" s="29">
        <f>IF($A298="","",BDP($A298,E$3))</f>
        <v/>
      </c>
      <c r="F298" s="17">
        <f>IF($A298="","",BDP($A298,F$3))</f>
        <v/>
      </c>
      <c r="G298" s="8">
        <f>IF($A298="","",BDP($A298,G$3))</f>
        <v/>
      </c>
      <c r="H298" s="8">
        <f>IF($A298="","",BDP($A298,H$3))</f>
        <v/>
      </c>
      <c r="I298" s="8">
        <f>IF($A298="","",BDP($A298,I$3))</f>
        <v/>
      </c>
      <c r="J298" s="8">
        <f>IF($A298="","",BDP($A298,J$3))</f>
        <v/>
      </c>
      <c r="K298" s="8">
        <f>IF($A298="","",BDP($A298,K$3))</f>
        <v/>
      </c>
      <c r="L298" s="28">
        <f>IF($A298="","",BDP($A298,L$3))</f>
        <v/>
      </c>
      <c r="M298" s="28">
        <f>IF($A298="","",BDP($A298,M$3))</f>
        <v/>
      </c>
      <c r="N298" s="30">
        <f>IF($A298="","",BDP($A298,N$3))</f>
        <v/>
      </c>
      <c r="O298" s="31">
        <f>IF($A298="","",BDP($A298,O$3))</f>
        <v/>
      </c>
      <c r="P298" s="30">
        <f>IF($A298="","",BDH($A298,$N$3,'參數'!$B$5,'參數'!$B$5,"Days=A","Fill=P","Dates=H"))</f>
        <v/>
      </c>
      <c r="Q298" s="30">
        <f>IF($A298="","",BDH($A298,$N$3,'參數'!$B$6,'參數'!$B$6,"Days=A","Fill=P","Dates=H"))</f>
        <v/>
      </c>
      <c r="R298" s="30">
        <f>IF($A298="","",BDH($A298,$N$3,'參數'!$B$7,'參數'!$B$7,"Days=A","Fill=P","Dates=H"))</f>
        <v/>
      </c>
      <c r="S298" s="32">
        <f>IF($A298="","",IFERROR(INDEX('發行人'!$A$5:$A$44,MATCH(B298,'發行人'!$D$5:$D$44,0)),"未對應"))</f>
        <v/>
      </c>
      <c r="T298" s="24">
        <f>IF($A298="","",IFERROR(INDEX('發行人'!$G$5:$G$44,MATCH(B298,'發行人'!$D$5:$D$44,0))+0,""))</f>
        <v/>
      </c>
      <c r="U298" s="18">
        <f>IF(ISNUMBER(E298),YEARFRAC('參數'!$B$4,E298),"")</f>
        <v/>
      </c>
      <c r="V298" s="8">
        <f>IF(U298="","",IF(U298&lt;3,"1-3y",IF(U298&lt;5,"3-5y",IF(U298&lt;7,"5-7y",IF(U298&lt;10,"7-10y","10y+")))))</f>
        <v/>
      </c>
      <c r="W298" s="30">
        <f>IF($A298="","",IFERROR(INDEX('參數'!$B$24:$B$45,MATCH(G298,'參數'!$A$24:$A$45,0)),""))</f>
        <v/>
      </c>
      <c r="X298" s="8">
        <f>IF($A298="","",IFERROR(INDEX('參數'!$C$24:$C$45,MATCH(G298,'參數'!$A$24:$A$45,0)),""))</f>
        <v/>
      </c>
      <c r="Y298" s="30">
        <f>IF(AND(ISNUMBER(N298),ISNUMBER(O298),ISNUMBER(U298)),IF(AND(O298&gt;0,X298&lt;&gt;""),1,0),0)</f>
        <v/>
      </c>
      <c r="Z298" s="17">
        <f>IF(Y298=1,O298*N298,"")</f>
        <v/>
      </c>
      <c r="AA298" s="33">
        <f>IF(Y298=1,IF(ISNUMBER(Q298),N298-Q298,""),"")</f>
        <v/>
      </c>
      <c r="AB298" s="33">
        <f>IF(Y298=1,IF(AND(ISNUMBER(P298),ISNUMBER(R298)),R298*5/12-O298*(P298-R298),""),"")</f>
        <v/>
      </c>
      <c r="AC298" s="30">
        <f>IF(Y298=1,COUNTIFS($X$5:$X$404,X298,$V$5:$V$404,V298,$Y$5:$Y$404,1),"")</f>
        <v/>
      </c>
      <c r="AD298" s="30">
        <f>IF(Y298=1,IFERROR(IF(AC298&gt;='參數'!$B$9,INDEX('分群統計'!$G$13:$K$16,MATCH(X298,'分群統計'!$A$13:$A$16,0),MATCH(V298,'分群統計'!$G$12:$K$12,0)),INDEX('分群統計'!$I$5:$I$8,MATCH(X298,'分群統計'!$A$5:$A$8,0))),""),"")</f>
        <v/>
      </c>
      <c r="AE298" s="18">
        <f>IF(Y298=1,IFERROR(IF(AC298&gt;='參數'!$B$9,INDEX('分群統計'!$L$13:$P$16,MATCH(X298,'分群統計'!$A$13:$A$16,0),MATCH(V298,'分群統計'!$L$12:$P$12,0)),INDEX('分群統計'!$J$5:$J$8,MATCH(X298,'分群統計'!$A$5:$A$8,0))),""),"")</f>
        <v/>
      </c>
      <c r="AF298" s="31">
        <f>IF(ISNUMBER(AE298),IF(AE298&gt;0,MAX(-3,MIN(3,(N298-AD298)/AE298)),0),"")</f>
        <v/>
      </c>
      <c r="AG298" s="30">
        <f>IF(Y298=1,COUNTIFS($B$5:$B$404,B298,$Y$5:$Y$404,1),"")</f>
        <v/>
      </c>
      <c r="AH298" s="30">
        <f>IF(Y298=1,IFERROR(IF(ISNUMBER(INDEX('分群統計'!$G$20:$G$59,MATCH(B298,'分群統計'!$A$20:$A$59,0))),INDEX('分群統計'!$H$20:$H$59,MATCH(B298,'分群統計'!$A$20:$A$59,0))+INDEX('分群統計'!$G$20:$G$59,MATCH(B298,'分群統計'!$A$20:$A$59,0))*AU298,""),""),"")</f>
        <v/>
      </c>
      <c r="AI298" s="34">
        <f>IF(ISNUMBER(AH298),N298-AH298,"")</f>
        <v/>
      </c>
      <c r="AJ298" s="30">
        <f>IF(Y298=1,IFERROR(IF(ISNUMBER(INDEX('分群統計'!$G$5:$G$8,MATCH(X298,'分群統計'!$A$5:$A$8,0))),INDEX('分群統計'!$H$5:$H$8,MATCH(X298,'分群統計'!$A$5:$A$8,0))+INDEX('分群統計'!$G$5:$G$8,MATCH(X298,'分群統計'!$A$5:$A$8,0))*AU298,""),""),"")</f>
        <v/>
      </c>
      <c r="AK298" s="34">
        <f>IF(ISNUMBER(AJ298),N298-AJ298,"")</f>
        <v/>
      </c>
      <c r="AL298" s="21">
        <f>IF(ISNUMBER(AJ298),IF(AJ298&gt;0,AK298/AJ298,""),"")</f>
        <v/>
      </c>
      <c r="AM298" s="31">
        <f>IF(AY298&lt;&gt;1,"",IFERROR(IF(INDEX('分群統計'!$K$5:$K$8,MATCH(X298,'分群統計'!$A$5:$A$8,0))&lt;3,"",IF(INDEX('分群統計'!$M$5:$M$8,MATCH(X298,'分群統計'!$A$5:$A$8,0))&gt;0,MAX(-3,MIN(3,(AX298-INDEX('分群統計'!$L$5:$L$8,MATCH(X298,'分群統計'!$A$5:$A$8,0)))/INDEX('分群統計'!$M$5:$M$8,MATCH(X298,'分群統計'!$A$5:$A$8,0)))),0)),""))</f>
        <v/>
      </c>
      <c r="AN298" s="31">
        <f>IF(ISNUMBER(AB298),IF(Z298&gt;0,AB298/Z298*100,""),"")</f>
        <v/>
      </c>
      <c r="AO298" s="31">
        <f>IF(BA298&lt;&gt;1,"",IFERROR(IF(INDEX('分群統計'!$N$5:$N$8,MATCH(X298,'分群統計'!$A$5:$A$8,0))&lt;3,"",IF(INDEX('分群統計'!$P$5:$P$8,MATCH(X298,'分群統計'!$A$5:$A$8,0))&gt;0,MAX(-3,MIN(3,(AZ298-INDEX('分群統計'!$O$5:$O$8,MATCH(X298,'分群統計'!$A$5:$A$8,0)))/INDEX('分群統計'!$P$5:$P$8,MATCH(X298,'分群統計'!$A$5:$A$8,0)))),0)),""))</f>
        <v/>
      </c>
      <c r="AP298" s="31">
        <f>IF(BC298&lt;&gt;1,"",IFERROR(IF(INDEX('分群統計'!$Q$5:$Q$8,MATCH(X298,'分群統計'!$A$5:$A$8,0))&lt;3,"",IF(INDEX('分群統計'!$S$5:$S$8,MATCH(X298,'分群統計'!$A$5:$A$8,0))&gt;0,MAX(-3,MIN(3,(BB298-INDEX('分群統計'!$R$5:$R$8,MATCH(X298,'分群統計'!$A$5:$A$8,0)))/INDEX('分群統計'!$S$5:$S$8,MATCH(X298,'分群統計'!$A$5:$A$8,0)))),0)),""))</f>
        <v/>
      </c>
      <c r="AQ298" s="31">
        <f>IF(Y298=1,(IF(ISNUMBER(AF298),AF298,0)*'參數'!$B$13+IF(ISNUMBER(AM298),AM298,0)*'參數'!$B$14+IF(ISNUMBER(AO298),AO298,0)*'參數'!$B$15+IF(ISNUMBER(AP298),AP298,0)*'參數'!$B$16)/('參數'!$B$13+'參數'!$B$14+'參數'!$B$15+'參數'!$B$16),"")</f>
        <v/>
      </c>
      <c r="AR298" s="35">
        <f>IF(Y298=1,(SUMPRODUCT(($X$5:$X$404=X298)*($Y$5:$Y$404=1)*($BD$5:$BD$404&gt;BD298))+1)/COUNTIFS($X$5:$X$404,X298,$Y$5:$Y$404,1),"")</f>
        <v/>
      </c>
      <c r="AS298" s="8">
        <f>IF(ISNUMBER(AR298),IF(AR298&lt;='參數'!$B$18,"加碼候選",IF(AR298&gt;'參數'!$B$19,"減碼候選","")),"")</f>
        <v/>
      </c>
      <c r="AT298" s="7">
        <f>IF(Y298=1,N298,0)</f>
        <v/>
      </c>
      <c r="AU298" s="7">
        <f>IF(Y298=1,LN(O298),0)</f>
        <v/>
      </c>
      <c r="AV298" s="36">
        <f>IF(Y298=1,IF(ISNUMBER(F298),F298,0),0)</f>
        <v/>
      </c>
      <c r="AW298" s="7">
        <f>IF(Y298=1,Z298,0)</f>
        <v/>
      </c>
      <c r="AX298" s="7">
        <f>IF(Y298=1,IF(ISNUMBER(AL298),AL298,0),0)</f>
        <v/>
      </c>
      <c r="AY298" s="7">
        <f>IF(Y298=1,IF(ISNUMBER(AL298),1,0),0)</f>
        <v/>
      </c>
      <c r="AZ298" s="7">
        <f>IF(Y298=1,IF(ISNUMBER(AN298),AN298,0),0)</f>
        <v/>
      </c>
      <c r="BA298" s="7">
        <f>IF(Y298=1,IF(ISNUMBER(AN298),1,0),0)</f>
        <v/>
      </c>
      <c r="BB298" s="7">
        <f>IF(Y298=1,IF(ISNUMBER(T298),T298,0),0)</f>
        <v/>
      </c>
      <c r="BC298" s="7">
        <f>IF(Y298=1,IF(ISNUMBER(T298),1,0),0)</f>
        <v/>
      </c>
      <c r="BD298" s="7">
        <f>IF(Y298=1,AQ298+ROW()/1E9,-1E9)</f>
        <v/>
      </c>
      <c r="BE298" s="7">
        <f>IF(Y298=1,AQ298+ROW()/1E9,1E9)</f>
        <v/>
      </c>
    </row>
    <row r="299">
      <c r="A299" s="16" t="n"/>
      <c r="B299" s="8">
        <f>IF($A299="","",BDP($A299,B$3))</f>
        <v/>
      </c>
      <c r="C299" s="8">
        <f>IF($A299="","",BDP($A299,C$3))</f>
        <v/>
      </c>
      <c r="D299" s="28">
        <f>IF($A299="","",BDP($A299,D$3))</f>
        <v/>
      </c>
      <c r="E299" s="29">
        <f>IF($A299="","",BDP($A299,E$3))</f>
        <v/>
      </c>
      <c r="F299" s="17">
        <f>IF($A299="","",BDP($A299,F$3))</f>
        <v/>
      </c>
      <c r="G299" s="8">
        <f>IF($A299="","",BDP($A299,G$3))</f>
        <v/>
      </c>
      <c r="H299" s="8">
        <f>IF($A299="","",BDP($A299,H$3))</f>
        <v/>
      </c>
      <c r="I299" s="8">
        <f>IF($A299="","",BDP($A299,I$3))</f>
        <v/>
      </c>
      <c r="J299" s="8">
        <f>IF($A299="","",BDP($A299,J$3))</f>
        <v/>
      </c>
      <c r="K299" s="8">
        <f>IF($A299="","",BDP($A299,K$3))</f>
        <v/>
      </c>
      <c r="L299" s="28">
        <f>IF($A299="","",BDP($A299,L$3))</f>
        <v/>
      </c>
      <c r="M299" s="28">
        <f>IF($A299="","",BDP($A299,M$3))</f>
        <v/>
      </c>
      <c r="N299" s="30">
        <f>IF($A299="","",BDP($A299,N$3))</f>
        <v/>
      </c>
      <c r="O299" s="31">
        <f>IF($A299="","",BDP($A299,O$3))</f>
        <v/>
      </c>
      <c r="P299" s="30">
        <f>IF($A299="","",BDH($A299,$N$3,'參數'!$B$5,'參數'!$B$5,"Days=A","Fill=P","Dates=H"))</f>
        <v/>
      </c>
      <c r="Q299" s="30">
        <f>IF($A299="","",BDH($A299,$N$3,'參數'!$B$6,'參數'!$B$6,"Days=A","Fill=P","Dates=H"))</f>
        <v/>
      </c>
      <c r="R299" s="30">
        <f>IF($A299="","",BDH($A299,$N$3,'參數'!$B$7,'參數'!$B$7,"Days=A","Fill=P","Dates=H"))</f>
        <v/>
      </c>
      <c r="S299" s="32">
        <f>IF($A299="","",IFERROR(INDEX('發行人'!$A$5:$A$44,MATCH(B299,'發行人'!$D$5:$D$44,0)),"未對應"))</f>
        <v/>
      </c>
      <c r="T299" s="24">
        <f>IF($A299="","",IFERROR(INDEX('發行人'!$G$5:$G$44,MATCH(B299,'發行人'!$D$5:$D$44,0))+0,""))</f>
        <v/>
      </c>
      <c r="U299" s="18">
        <f>IF(ISNUMBER(E299),YEARFRAC('參數'!$B$4,E299),"")</f>
        <v/>
      </c>
      <c r="V299" s="8">
        <f>IF(U299="","",IF(U299&lt;3,"1-3y",IF(U299&lt;5,"3-5y",IF(U299&lt;7,"5-7y",IF(U299&lt;10,"7-10y","10y+")))))</f>
        <v/>
      </c>
      <c r="W299" s="30">
        <f>IF($A299="","",IFERROR(INDEX('參數'!$B$24:$B$45,MATCH(G299,'參數'!$A$24:$A$45,0)),""))</f>
        <v/>
      </c>
      <c r="X299" s="8">
        <f>IF($A299="","",IFERROR(INDEX('參數'!$C$24:$C$45,MATCH(G299,'參數'!$A$24:$A$45,0)),""))</f>
        <v/>
      </c>
      <c r="Y299" s="30">
        <f>IF(AND(ISNUMBER(N299),ISNUMBER(O299),ISNUMBER(U299)),IF(AND(O299&gt;0,X299&lt;&gt;""),1,0),0)</f>
        <v/>
      </c>
      <c r="Z299" s="17">
        <f>IF(Y299=1,O299*N299,"")</f>
        <v/>
      </c>
      <c r="AA299" s="33">
        <f>IF(Y299=1,IF(ISNUMBER(Q299),N299-Q299,""),"")</f>
        <v/>
      </c>
      <c r="AB299" s="33">
        <f>IF(Y299=1,IF(AND(ISNUMBER(P299),ISNUMBER(R299)),R299*5/12-O299*(P299-R299),""),"")</f>
        <v/>
      </c>
      <c r="AC299" s="30">
        <f>IF(Y299=1,COUNTIFS($X$5:$X$404,X299,$V$5:$V$404,V299,$Y$5:$Y$404,1),"")</f>
        <v/>
      </c>
      <c r="AD299" s="30">
        <f>IF(Y299=1,IFERROR(IF(AC299&gt;='參數'!$B$9,INDEX('分群統計'!$G$13:$K$16,MATCH(X299,'分群統計'!$A$13:$A$16,0),MATCH(V299,'分群統計'!$G$12:$K$12,0)),INDEX('分群統計'!$I$5:$I$8,MATCH(X299,'分群統計'!$A$5:$A$8,0))),""),"")</f>
        <v/>
      </c>
      <c r="AE299" s="18">
        <f>IF(Y299=1,IFERROR(IF(AC299&gt;='參數'!$B$9,INDEX('分群統計'!$L$13:$P$16,MATCH(X299,'分群統計'!$A$13:$A$16,0),MATCH(V299,'分群統計'!$L$12:$P$12,0)),INDEX('分群統計'!$J$5:$J$8,MATCH(X299,'分群統計'!$A$5:$A$8,0))),""),"")</f>
        <v/>
      </c>
      <c r="AF299" s="31">
        <f>IF(ISNUMBER(AE299),IF(AE299&gt;0,MAX(-3,MIN(3,(N299-AD299)/AE299)),0),"")</f>
        <v/>
      </c>
      <c r="AG299" s="30">
        <f>IF(Y299=1,COUNTIFS($B$5:$B$404,B299,$Y$5:$Y$404,1),"")</f>
        <v/>
      </c>
      <c r="AH299" s="30">
        <f>IF(Y299=1,IFERROR(IF(ISNUMBER(INDEX('分群統計'!$G$20:$G$59,MATCH(B299,'分群統計'!$A$20:$A$59,0))),INDEX('分群統計'!$H$20:$H$59,MATCH(B299,'分群統計'!$A$20:$A$59,0))+INDEX('分群統計'!$G$20:$G$59,MATCH(B299,'分群統計'!$A$20:$A$59,0))*AU299,""),""),"")</f>
        <v/>
      </c>
      <c r="AI299" s="34">
        <f>IF(ISNUMBER(AH299),N299-AH299,"")</f>
        <v/>
      </c>
      <c r="AJ299" s="30">
        <f>IF(Y299=1,IFERROR(IF(ISNUMBER(INDEX('分群統計'!$G$5:$G$8,MATCH(X299,'分群統計'!$A$5:$A$8,0))),INDEX('分群統計'!$H$5:$H$8,MATCH(X299,'分群統計'!$A$5:$A$8,0))+INDEX('分群統計'!$G$5:$G$8,MATCH(X299,'分群統計'!$A$5:$A$8,0))*AU299,""),""),"")</f>
        <v/>
      </c>
      <c r="AK299" s="34">
        <f>IF(ISNUMBER(AJ299),N299-AJ299,"")</f>
        <v/>
      </c>
      <c r="AL299" s="21">
        <f>IF(ISNUMBER(AJ299),IF(AJ299&gt;0,AK299/AJ299,""),"")</f>
        <v/>
      </c>
      <c r="AM299" s="31">
        <f>IF(AY299&lt;&gt;1,"",IFERROR(IF(INDEX('分群統計'!$K$5:$K$8,MATCH(X299,'分群統計'!$A$5:$A$8,0))&lt;3,"",IF(INDEX('分群統計'!$M$5:$M$8,MATCH(X299,'分群統計'!$A$5:$A$8,0))&gt;0,MAX(-3,MIN(3,(AX299-INDEX('分群統計'!$L$5:$L$8,MATCH(X299,'分群統計'!$A$5:$A$8,0)))/INDEX('分群統計'!$M$5:$M$8,MATCH(X299,'分群統計'!$A$5:$A$8,0)))),0)),""))</f>
        <v/>
      </c>
      <c r="AN299" s="31">
        <f>IF(ISNUMBER(AB299),IF(Z299&gt;0,AB299/Z299*100,""),"")</f>
        <v/>
      </c>
      <c r="AO299" s="31">
        <f>IF(BA299&lt;&gt;1,"",IFERROR(IF(INDEX('分群統計'!$N$5:$N$8,MATCH(X299,'分群統計'!$A$5:$A$8,0))&lt;3,"",IF(INDEX('分群統計'!$P$5:$P$8,MATCH(X299,'分群統計'!$A$5:$A$8,0))&gt;0,MAX(-3,MIN(3,(AZ299-INDEX('分群統計'!$O$5:$O$8,MATCH(X299,'分群統計'!$A$5:$A$8,0)))/INDEX('分群統計'!$P$5:$P$8,MATCH(X299,'分群統計'!$A$5:$A$8,0)))),0)),""))</f>
        <v/>
      </c>
      <c r="AP299" s="31">
        <f>IF(BC299&lt;&gt;1,"",IFERROR(IF(INDEX('分群統計'!$Q$5:$Q$8,MATCH(X299,'分群統計'!$A$5:$A$8,0))&lt;3,"",IF(INDEX('分群統計'!$S$5:$S$8,MATCH(X299,'分群統計'!$A$5:$A$8,0))&gt;0,MAX(-3,MIN(3,(BB299-INDEX('分群統計'!$R$5:$R$8,MATCH(X299,'分群統計'!$A$5:$A$8,0)))/INDEX('分群統計'!$S$5:$S$8,MATCH(X299,'分群統計'!$A$5:$A$8,0)))),0)),""))</f>
        <v/>
      </c>
      <c r="AQ299" s="31">
        <f>IF(Y299=1,(IF(ISNUMBER(AF299),AF299,0)*'參數'!$B$13+IF(ISNUMBER(AM299),AM299,0)*'參數'!$B$14+IF(ISNUMBER(AO299),AO299,0)*'參數'!$B$15+IF(ISNUMBER(AP299),AP299,0)*'參數'!$B$16)/('參數'!$B$13+'參數'!$B$14+'參數'!$B$15+'參數'!$B$16),"")</f>
        <v/>
      </c>
      <c r="AR299" s="35">
        <f>IF(Y299=1,(SUMPRODUCT(($X$5:$X$404=X299)*($Y$5:$Y$404=1)*($BD$5:$BD$404&gt;BD299))+1)/COUNTIFS($X$5:$X$404,X299,$Y$5:$Y$404,1),"")</f>
        <v/>
      </c>
      <c r="AS299" s="8">
        <f>IF(ISNUMBER(AR299),IF(AR299&lt;='參數'!$B$18,"加碼候選",IF(AR299&gt;'參數'!$B$19,"減碼候選","")),"")</f>
        <v/>
      </c>
      <c r="AT299" s="7">
        <f>IF(Y299=1,N299,0)</f>
        <v/>
      </c>
      <c r="AU299" s="7">
        <f>IF(Y299=1,LN(O299),0)</f>
        <v/>
      </c>
      <c r="AV299" s="36">
        <f>IF(Y299=1,IF(ISNUMBER(F299),F299,0),0)</f>
        <v/>
      </c>
      <c r="AW299" s="7">
        <f>IF(Y299=1,Z299,0)</f>
        <v/>
      </c>
      <c r="AX299" s="7">
        <f>IF(Y299=1,IF(ISNUMBER(AL299),AL299,0),0)</f>
        <v/>
      </c>
      <c r="AY299" s="7">
        <f>IF(Y299=1,IF(ISNUMBER(AL299),1,0),0)</f>
        <v/>
      </c>
      <c r="AZ299" s="7">
        <f>IF(Y299=1,IF(ISNUMBER(AN299),AN299,0),0)</f>
        <v/>
      </c>
      <c r="BA299" s="7">
        <f>IF(Y299=1,IF(ISNUMBER(AN299),1,0),0)</f>
        <v/>
      </c>
      <c r="BB299" s="7">
        <f>IF(Y299=1,IF(ISNUMBER(T299),T299,0),0)</f>
        <v/>
      </c>
      <c r="BC299" s="7">
        <f>IF(Y299=1,IF(ISNUMBER(T299),1,0),0)</f>
        <v/>
      </c>
      <c r="BD299" s="7">
        <f>IF(Y299=1,AQ299+ROW()/1E9,-1E9)</f>
        <v/>
      </c>
      <c r="BE299" s="7">
        <f>IF(Y299=1,AQ299+ROW()/1E9,1E9)</f>
        <v/>
      </c>
    </row>
    <row r="300">
      <c r="A300" s="16" t="n"/>
      <c r="B300" s="8">
        <f>IF($A300="","",BDP($A300,B$3))</f>
        <v/>
      </c>
      <c r="C300" s="8">
        <f>IF($A300="","",BDP($A300,C$3))</f>
        <v/>
      </c>
      <c r="D300" s="28">
        <f>IF($A300="","",BDP($A300,D$3))</f>
        <v/>
      </c>
      <c r="E300" s="29">
        <f>IF($A300="","",BDP($A300,E$3))</f>
        <v/>
      </c>
      <c r="F300" s="17">
        <f>IF($A300="","",BDP($A300,F$3))</f>
        <v/>
      </c>
      <c r="G300" s="8">
        <f>IF($A300="","",BDP($A300,G$3))</f>
        <v/>
      </c>
      <c r="H300" s="8">
        <f>IF($A300="","",BDP($A300,H$3))</f>
        <v/>
      </c>
      <c r="I300" s="8">
        <f>IF($A300="","",BDP($A300,I$3))</f>
        <v/>
      </c>
      <c r="J300" s="8">
        <f>IF($A300="","",BDP($A300,J$3))</f>
        <v/>
      </c>
      <c r="K300" s="8">
        <f>IF($A300="","",BDP($A300,K$3))</f>
        <v/>
      </c>
      <c r="L300" s="28">
        <f>IF($A300="","",BDP($A300,L$3))</f>
        <v/>
      </c>
      <c r="M300" s="28">
        <f>IF($A300="","",BDP($A300,M$3))</f>
        <v/>
      </c>
      <c r="N300" s="30">
        <f>IF($A300="","",BDP($A300,N$3))</f>
        <v/>
      </c>
      <c r="O300" s="31">
        <f>IF($A300="","",BDP($A300,O$3))</f>
        <v/>
      </c>
      <c r="P300" s="30">
        <f>IF($A300="","",BDH($A300,$N$3,'參數'!$B$5,'參數'!$B$5,"Days=A","Fill=P","Dates=H"))</f>
        <v/>
      </c>
      <c r="Q300" s="30">
        <f>IF($A300="","",BDH($A300,$N$3,'參數'!$B$6,'參數'!$B$6,"Days=A","Fill=P","Dates=H"))</f>
        <v/>
      </c>
      <c r="R300" s="30">
        <f>IF($A300="","",BDH($A300,$N$3,'參數'!$B$7,'參數'!$B$7,"Days=A","Fill=P","Dates=H"))</f>
        <v/>
      </c>
      <c r="S300" s="32">
        <f>IF($A300="","",IFERROR(INDEX('發行人'!$A$5:$A$44,MATCH(B300,'發行人'!$D$5:$D$44,0)),"未對應"))</f>
        <v/>
      </c>
      <c r="T300" s="24">
        <f>IF($A300="","",IFERROR(INDEX('發行人'!$G$5:$G$44,MATCH(B300,'發行人'!$D$5:$D$44,0))+0,""))</f>
        <v/>
      </c>
      <c r="U300" s="18">
        <f>IF(ISNUMBER(E300),YEARFRAC('參數'!$B$4,E300),"")</f>
        <v/>
      </c>
      <c r="V300" s="8">
        <f>IF(U300="","",IF(U300&lt;3,"1-3y",IF(U300&lt;5,"3-5y",IF(U300&lt;7,"5-7y",IF(U300&lt;10,"7-10y","10y+")))))</f>
        <v/>
      </c>
      <c r="W300" s="30">
        <f>IF($A300="","",IFERROR(INDEX('參數'!$B$24:$B$45,MATCH(G300,'參數'!$A$24:$A$45,0)),""))</f>
        <v/>
      </c>
      <c r="X300" s="8">
        <f>IF($A300="","",IFERROR(INDEX('參數'!$C$24:$C$45,MATCH(G300,'參數'!$A$24:$A$45,0)),""))</f>
        <v/>
      </c>
      <c r="Y300" s="30">
        <f>IF(AND(ISNUMBER(N300),ISNUMBER(O300),ISNUMBER(U300)),IF(AND(O300&gt;0,X300&lt;&gt;""),1,0),0)</f>
        <v/>
      </c>
      <c r="Z300" s="17">
        <f>IF(Y300=1,O300*N300,"")</f>
        <v/>
      </c>
      <c r="AA300" s="33">
        <f>IF(Y300=1,IF(ISNUMBER(Q300),N300-Q300,""),"")</f>
        <v/>
      </c>
      <c r="AB300" s="33">
        <f>IF(Y300=1,IF(AND(ISNUMBER(P300),ISNUMBER(R300)),R300*5/12-O300*(P300-R300),""),"")</f>
        <v/>
      </c>
      <c r="AC300" s="30">
        <f>IF(Y300=1,COUNTIFS($X$5:$X$404,X300,$V$5:$V$404,V300,$Y$5:$Y$404,1),"")</f>
        <v/>
      </c>
      <c r="AD300" s="30">
        <f>IF(Y300=1,IFERROR(IF(AC300&gt;='參數'!$B$9,INDEX('分群統計'!$G$13:$K$16,MATCH(X300,'分群統計'!$A$13:$A$16,0),MATCH(V300,'分群統計'!$G$12:$K$12,0)),INDEX('分群統計'!$I$5:$I$8,MATCH(X300,'分群統計'!$A$5:$A$8,0))),""),"")</f>
        <v/>
      </c>
      <c r="AE300" s="18">
        <f>IF(Y300=1,IFERROR(IF(AC300&gt;='參數'!$B$9,INDEX('分群統計'!$L$13:$P$16,MATCH(X300,'分群統計'!$A$13:$A$16,0),MATCH(V300,'分群統計'!$L$12:$P$12,0)),INDEX('分群統計'!$J$5:$J$8,MATCH(X300,'分群統計'!$A$5:$A$8,0))),""),"")</f>
        <v/>
      </c>
      <c r="AF300" s="31">
        <f>IF(ISNUMBER(AE300),IF(AE300&gt;0,MAX(-3,MIN(3,(N300-AD300)/AE300)),0),"")</f>
        <v/>
      </c>
      <c r="AG300" s="30">
        <f>IF(Y300=1,COUNTIFS($B$5:$B$404,B300,$Y$5:$Y$404,1),"")</f>
        <v/>
      </c>
      <c r="AH300" s="30">
        <f>IF(Y300=1,IFERROR(IF(ISNUMBER(INDEX('分群統計'!$G$20:$G$59,MATCH(B300,'分群統計'!$A$20:$A$59,0))),INDEX('分群統計'!$H$20:$H$59,MATCH(B300,'分群統計'!$A$20:$A$59,0))+INDEX('分群統計'!$G$20:$G$59,MATCH(B300,'分群統計'!$A$20:$A$59,0))*AU300,""),""),"")</f>
        <v/>
      </c>
      <c r="AI300" s="34">
        <f>IF(ISNUMBER(AH300),N300-AH300,"")</f>
        <v/>
      </c>
      <c r="AJ300" s="30">
        <f>IF(Y300=1,IFERROR(IF(ISNUMBER(INDEX('分群統計'!$G$5:$G$8,MATCH(X300,'分群統計'!$A$5:$A$8,0))),INDEX('分群統計'!$H$5:$H$8,MATCH(X300,'分群統計'!$A$5:$A$8,0))+INDEX('分群統計'!$G$5:$G$8,MATCH(X300,'分群統計'!$A$5:$A$8,0))*AU300,""),""),"")</f>
        <v/>
      </c>
      <c r="AK300" s="34">
        <f>IF(ISNUMBER(AJ300),N300-AJ300,"")</f>
        <v/>
      </c>
      <c r="AL300" s="21">
        <f>IF(ISNUMBER(AJ300),IF(AJ300&gt;0,AK300/AJ300,""),"")</f>
        <v/>
      </c>
      <c r="AM300" s="31">
        <f>IF(AY300&lt;&gt;1,"",IFERROR(IF(INDEX('分群統計'!$K$5:$K$8,MATCH(X300,'分群統計'!$A$5:$A$8,0))&lt;3,"",IF(INDEX('分群統計'!$M$5:$M$8,MATCH(X300,'分群統計'!$A$5:$A$8,0))&gt;0,MAX(-3,MIN(3,(AX300-INDEX('分群統計'!$L$5:$L$8,MATCH(X300,'分群統計'!$A$5:$A$8,0)))/INDEX('分群統計'!$M$5:$M$8,MATCH(X300,'分群統計'!$A$5:$A$8,0)))),0)),""))</f>
        <v/>
      </c>
      <c r="AN300" s="31">
        <f>IF(ISNUMBER(AB300),IF(Z300&gt;0,AB300/Z300*100,""),"")</f>
        <v/>
      </c>
      <c r="AO300" s="31">
        <f>IF(BA300&lt;&gt;1,"",IFERROR(IF(INDEX('分群統計'!$N$5:$N$8,MATCH(X300,'分群統計'!$A$5:$A$8,0))&lt;3,"",IF(INDEX('分群統計'!$P$5:$P$8,MATCH(X300,'分群統計'!$A$5:$A$8,0))&gt;0,MAX(-3,MIN(3,(AZ300-INDEX('分群統計'!$O$5:$O$8,MATCH(X300,'分群統計'!$A$5:$A$8,0)))/INDEX('分群統計'!$P$5:$P$8,MATCH(X300,'分群統計'!$A$5:$A$8,0)))),0)),""))</f>
        <v/>
      </c>
      <c r="AP300" s="31">
        <f>IF(BC300&lt;&gt;1,"",IFERROR(IF(INDEX('分群統計'!$Q$5:$Q$8,MATCH(X300,'分群統計'!$A$5:$A$8,0))&lt;3,"",IF(INDEX('分群統計'!$S$5:$S$8,MATCH(X300,'分群統計'!$A$5:$A$8,0))&gt;0,MAX(-3,MIN(3,(BB300-INDEX('分群統計'!$R$5:$R$8,MATCH(X300,'分群統計'!$A$5:$A$8,0)))/INDEX('分群統計'!$S$5:$S$8,MATCH(X300,'分群統計'!$A$5:$A$8,0)))),0)),""))</f>
        <v/>
      </c>
      <c r="AQ300" s="31">
        <f>IF(Y300=1,(IF(ISNUMBER(AF300),AF300,0)*'參數'!$B$13+IF(ISNUMBER(AM300),AM300,0)*'參數'!$B$14+IF(ISNUMBER(AO300),AO300,0)*'參數'!$B$15+IF(ISNUMBER(AP300),AP300,0)*'參數'!$B$16)/('參數'!$B$13+'參數'!$B$14+'參數'!$B$15+'參數'!$B$16),"")</f>
        <v/>
      </c>
      <c r="AR300" s="35">
        <f>IF(Y300=1,(SUMPRODUCT(($X$5:$X$404=X300)*($Y$5:$Y$404=1)*($BD$5:$BD$404&gt;BD300))+1)/COUNTIFS($X$5:$X$404,X300,$Y$5:$Y$404,1),"")</f>
        <v/>
      </c>
      <c r="AS300" s="8">
        <f>IF(ISNUMBER(AR300),IF(AR300&lt;='參數'!$B$18,"加碼候選",IF(AR300&gt;'參數'!$B$19,"減碼候選","")),"")</f>
        <v/>
      </c>
      <c r="AT300" s="7">
        <f>IF(Y300=1,N300,0)</f>
        <v/>
      </c>
      <c r="AU300" s="7">
        <f>IF(Y300=1,LN(O300),0)</f>
        <v/>
      </c>
      <c r="AV300" s="36">
        <f>IF(Y300=1,IF(ISNUMBER(F300),F300,0),0)</f>
        <v/>
      </c>
      <c r="AW300" s="7">
        <f>IF(Y300=1,Z300,0)</f>
        <v/>
      </c>
      <c r="AX300" s="7">
        <f>IF(Y300=1,IF(ISNUMBER(AL300),AL300,0),0)</f>
        <v/>
      </c>
      <c r="AY300" s="7">
        <f>IF(Y300=1,IF(ISNUMBER(AL300),1,0),0)</f>
        <v/>
      </c>
      <c r="AZ300" s="7">
        <f>IF(Y300=1,IF(ISNUMBER(AN300),AN300,0),0)</f>
        <v/>
      </c>
      <c r="BA300" s="7">
        <f>IF(Y300=1,IF(ISNUMBER(AN300),1,0),0)</f>
        <v/>
      </c>
      <c r="BB300" s="7">
        <f>IF(Y300=1,IF(ISNUMBER(T300),T300,0),0)</f>
        <v/>
      </c>
      <c r="BC300" s="7">
        <f>IF(Y300=1,IF(ISNUMBER(T300),1,0),0)</f>
        <v/>
      </c>
      <c r="BD300" s="7">
        <f>IF(Y300=1,AQ300+ROW()/1E9,-1E9)</f>
        <v/>
      </c>
      <c r="BE300" s="7">
        <f>IF(Y300=1,AQ300+ROW()/1E9,1E9)</f>
        <v/>
      </c>
    </row>
    <row r="301">
      <c r="A301" s="16" t="n"/>
      <c r="B301" s="8">
        <f>IF($A301="","",BDP($A301,B$3))</f>
        <v/>
      </c>
      <c r="C301" s="8">
        <f>IF($A301="","",BDP($A301,C$3))</f>
        <v/>
      </c>
      <c r="D301" s="28">
        <f>IF($A301="","",BDP($A301,D$3))</f>
        <v/>
      </c>
      <c r="E301" s="29">
        <f>IF($A301="","",BDP($A301,E$3))</f>
        <v/>
      </c>
      <c r="F301" s="17">
        <f>IF($A301="","",BDP($A301,F$3))</f>
        <v/>
      </c>
      <c r="G301" s="8">
        <f>IF($A301="","",BDP($A301,G$3))</f>
        <v/>
      </c>
      <c r="H301" s="8">
        <f>IF($A301="","",BDP($A301,H$3))</f>
        <v/>
      </c>
      <c r="I301" s="8">
        <f>IF($A301="","",BDP($A301,I$3))</f>
        <v/>
      </c>
      <c r="J301" s="8">
        <f>IF($A301="","",BDP($A301,J$3))</f>
        <v/>
      </c>
      <c r="K301" s="8">
        <f>IF($A301="","",BDP($A301,K$3))</f>
        <v/>
      </c>
      <c r="L301" s="28">
        <f>IF($A301="","",BDP($A301,L$3))</f>
        <v/>
      </c>
      <c r="M301" s="28">
        <f>IF($A301="","",BDP($A301,M$3))</f>
        <v/>
      </c>
      <c r="N301" s="30">
        <f>IF($A301="","",BDP($A301,N$3))</f>
        <v/>
      </c>
      <c r="O301" s="31">
        <f>IF($A301="","",BDP($A301,O$3))</f>
        <v/>
      </c>
      <c r="P301" s="30">
        <f>IF($A301="","",BDH($A301,$N$3,'參數'!$B$5,'參數'!$B$5,"Days=A","Fill=P","Dates=H"))</f>
        <v/>
      </c>
      <c r="Q301" s="30">
        <f>IF($A301="","",BDH($A301,$N$3,'參數'!$B$6,'參數'!$B$6,"Days=A","Fill=P","Dates=H"))</f>
        <v/>
      </c>
      <c r="R301" s="30">
        <f>IF($A301="","",BDH($A301,$N$3,'參數'!$B$7,'參數'!$B$7,"Days=A","Fill=P","Dates=H"))</f>
        <v/>
      </c>
      <c r="S301" s="32">
        <f>IF($A301="","",IFERROR(INDEX('發行人'!$A$5:$A$44,MATCH(B301,'發行人'!$D$5:$D$44,0)),"未對應"))</f>
        <v/>
      </c>
      <c r="T301" s="24">
        <f>IF($A301="","",IFERROR(INDEX('發行人'!$G$5:$G$44,MATCH(B301,'發行人'!$D$5:$D$44,0))+0,""))</f>
        <v/>
      </c>
      <c r="U301" s="18">
        <f>IF(ISNUMBER(E301),YEARFRAC('參數'!$B$4,E301),"")</f>
        <v/>
      </c>
      <c r="V301" s="8">
        <f>IF(U301="","",IF(U301&lt;3,"1-3y",IF(U301&lt;5,"3-5y",IF(U301&lt;7,"5-7y",IF(U301&lt;10,"7-10y","10y+")))))</f>
        <v/>
      </c>
      <c r="W301" s="30">
        <f>IF($A301="","",IFERROR(INDEX('參數'!$B$24:$B$45,MATCH(G301,'參數'!$A$24:$A$45,0)),""))</f>
        <v/>
      </c>
      <c r="X301" s="8">
        <f>IF($A301="","",IFERROR(INDEX('參數'!$C$24:$C$45,MATCH(G301,'參數'!$A$24:$A$45,0)),""))</f>
        <v/>
      </c>
      <c r="Y301" s="30">
        <f>IF(AND(ISNUMBER(N301),ISNUMBER(O301),ISNUMBER(U301)),IF(AND(O301&gt;0,X301&lt;&gt;""),1,0),0)</f>
        <v/>
      </c>
      <c r="Z301" s="17">
        <f>IF(Y301=1,O301*N301,"")</f>
        <v/>
      </c>
      <c r="AA301" s="33">
        <f>IF(Y301=1,IF(ISNUMBER(Q301),N301-Q301,""),"")</f>
        <v/>
      </c>
      <c r="AB301" s="33">
        <f>IF(Y301=1,IF(AND(ISNUMBER(P301),ISNUMBER(R301)),R301*5/12-O301*(P301-R301),""),"")</f>
        <v/>
      </c>
      <c r="AC301" s="30">
        <f>IF(Y301=1,COUNTIFS($X$5:$X$404,X301,$V$5:$V$404,V301,$Y$5:$Y$404,1),"")</f>
        <v/>
      </c>
      <c r="AD301" s="30">
        <f>IF(Y301=1,IFERROR(IF(AC301&gt;='參數'!$B$9,INDEX('分群統計'!$G$13:$K$16,MATCH(X301,'分群統計'!$A$13:$A$16,0),MATCH(V301,'分群統計'!$G$12:$K$12,0)),INDEX('分群統計'!$I$5:$I$8,MATCH(X301,'分群統計'!$A$5:$A$8,0))),""),"")</f>
        <v/>
      </c>
      <c r="AE301" s="18">
        <f>IF(Y301=1,IFERROR(IF(AC301&gt;='參數'!$B$9,INDEX('分群統計'!$L$13:$P$16,MATCH(X301,'分群統計'!$A$13:$A$16,0),MATCH(V301,'分群統計'!$L$12:$P$12,0)),INDEX('分群統計'!$J$5:$J$8,MATCH(X301,'分群統計'!$A$5:$A$8,0))),""),"")</f>
        <v/>
      </c>
      <c r="AF301" s="31">
        <f>IF(ISNUMBER(AE301),IF(AE301&gt;0,MAX(-3,MIN(3,(N301-AD301)/AE301)),0),"")</f>
        <v/>
      </c>
      <c r="AG301" s="30">
        <f>IF(Y301=1,COUNTIFS($B$5:$B$404,B301,$Y$5:$Y$404,1),"")</f>
        <v/>
      </c>
      <c r="AH301" s="30">
        <f>IF(Y301=1,IFERROR(IF(ISNUMBER(INDEX('分群統計'!$G$20:$G$59,MATCH(B301,'分群統計'!$A$20:$A$59,0))),INDEX('分群統計'!$H$20:$H$59,MATCH(B301,'分群統計'!$A$20:$A$59,0))+INDEX('分群統計'!$G$20:$G$59,MATCH(B301,'分群統計'!$A$20:$A$59,0))*AU301,""),""),"")</f>
        <v/>
      </c>
      <c r="AI301" s="34">
        <f>IF(ISNUMBER(AH301),N301-AH301,"")</f>
        <v/>
      </c>
      <c r="AJ301" s="30">
        <f>IF(Y301=1,IFERROR(IF(ISNUMBER(INDEX('分群統計'!$G$5:$G$8,MATCH(X301,'分群統計'!$A$5:$A$8,0))),INDEX('分群統計'!$H$5:$H$8,MATCH(X301,'分群統計'!$A$5:$A$8,0))+INDEX('分群統計'!$G$5:$G$8,MATCH(X301,'分群統計'!$A$5:$A$8,0))*AU301,""),""),"")</f>
        <v/>
      </c>
      <c r="AK301" s="34">
        <f>IF(ISNUMBER(AJ301),N301-AJ301,"")</f>
        <v/>
      </c>
      <c r="AL301" s="21">
        <f>IF(ISNUMBER(AJ301),IF(AJ301&gt;0,AK301/AJ301,""),"")</f>
        <v/>
      </c>
      <c r="AM301" s="31">
        <f>IF(AY301&lt;&gt;1,"",IFERROR(IF(INDEX('分群統計'!$K$5:$K$8,MATCH(X301,'分群統計'!$A$5:$A$8,0))&lt;3,"",IF(INDEX('分群統計'!$M$5:$M$8,MATCH(X301,'分群統計'!$A$5:$A$8,0))&gt;0,MAX(-3,MIN(3,(AX301-INDEX('分群統計'!$L$5:$L$8,MATCH(X301,'分群統計'!$A$5:$A$8,0)))/INDEX('分群統計'!$M$5:$M$8,MATCH(X301,'分群統計'!$A$5:$A$8,0)))),0)),""))</f>
        <v/>
      </c>
      <c r="AN301" s="31">
        <f>IF(ISNUMBER(AB301),IF(Z301&gt;0,AB301/Z301*100,""),"")</f>
        <v/>
      </c>
      <c r="AO301" s="31">
        <f>IF(BA301&lt;&gt;1,"",IFERROR(IF(INDEX('分群統計'!$N$5:$N$8,MATCH(X301,'分群統計'!$A$5:$A$8,0))&lt;3,"",IF(INDEX('分群統計'!$P$5:$P$8,MATCH(X301,'分群統計'!$A$5:$A$8,0))&gt;0,MAX(-3,MIN(3,(AZ301-INDEX('分群統計'!$O$5:$O$8,MATCH(X301,'分群統計'!$A$5:$A$8,0)))/INDEX('分群統計'!$P$5:$P$8,MATCH(X301,'分群統計'!$A$5:$A$8,0)))),0)),""))</f>
        <v/>
      </c>
      <c r="AP301" s="31">
        <f>IF(BC301&lt;&gt;1,"",IFERROR(IF(INDEX('分群統計'!$Q$5:$Q$8,MATCH(X301,'分群統計'!$A$5:$A$8,0))&lt;3,"",IF(INDEX('分群統計'!$S$5:$S$8,MATCH(X301,'分群統計'!$A$5:$A$8,0))&gt;0,MAX(-3,MIN(3,(BB301-INDEX('分群統計'!$R$5:$R$8,MATCH(X301,'分群統計'!$A$5:$A$8,0)))/INDEX('分群統計'!$S$5:$S$8,MATCH(X301,'分群統計'!$A$5:$A$8,0)))),0)),""))</f>
        <v/>
      </c>
      <c r="AQ301" s="31">
        <f>IF(Y301=1,(IF(ISNUMBER(AF301),AF301,0)*'參數'!$B$13+IF(ISNUMBER(AM301),AM301,0)*'參數'!$B$14+IF(ISNUMBER(AO301),AO301,0)*'參數'!$B$15+IF(ISNUMBER(AP301),AP301,0)*'參數'!$B$16)/('參數'!$B$13+'參數'!$B$14+'參數'!$B$15+'參數'!$B$16),"")</f>
        <v/>
      </c>
      <c r="AR301" s="35">
        <f>IF(Y301=1,(SUMPRODUCT(($X$5:$X$404=X301)*($Y$5:$Y$404=1)*($BD$5:$BD$404&gt;BD301))+1)/COUNTIFS($X$5:$X$404,X301,$Y$5:$Y$404,1),"")</f>
        <v/>
      </c>
      <c r="AS301" s="8">
        <f>IF(ISNUMBER(AR301),IF(AR301&lt;='參數'!$B$18,"加碼候選",IF(AR301&gt;'參數'!$B$19,"減碼候選","")),"")</f>
        <v/>
      </c>
      <c r="AT301" s="7">
        <f>IF(Y301=1,N301,0)</f>
        <v/>
      </c>
      <c r="AU301" s="7">
        <f>IF(Y301=1,LN(O301),0)</f>
        <v/>
      </c>
      <c r="AV301" s="36">
        <f>IF(Y301=1,IF(ISNUMBER(F301),F301,0),0)</f>
        <v/>
      </c>
      <c r="AW301" s="7">
        <f>IF(Y301=1,Z301,0)</f>
        <v/>
      </c>
      <c r="AX301" s="7">
        <f>IF(Y301=1,IF(ISNUMBER(AL301),AL301,0),0)</f>
        <v/>
      </c>
      <c r="AY301" s="7">
        <f>IF(Y301=1,IF(ISNUMBER(AL301),1,0),0)</f>
        <v/>
      </c>
      <c r="AZ301" s="7">
        <f>IF(Y301=1,IF(ISNUMBER(AN301),AN301,0),0)</f>
        <v/>
      </c>
      <c r="BA301" s="7">
        <f>IF(Y301=1,IF(ISNUMBER(AN301),1,0),0)</f>
        <v/>
      </c>
      <c r="BB301" s="7">
        <f>IF(Y301=1,IF(ISNUMBER(T301),T301,0),0)</f>
        <v/>
      </c>
      <c r="BC301" s="7">
        <f>IF(Y301=1,IF(ISNUMBER(T301),1,0),0)</f>
        <v/>
      </c>
      <c r="BD301" s="7">
        <f>IF(Y301=1,AQ301+ROW()/1E9,-1E9)</f>
        <v/>
      </c>
      <c r="BE301" s="7">
        <f>IF(Y301=1,AQ301+ROW()/1E9,1E9)</f>
        <v/>
      </c>
    </row>
    <row r="302">
      <c r="A302" s="16" t="n"/>
      <c r="B302" s="8">
        <f>IF($A302="","",BDP($A302,B$3))</f>
        <v/>
      </c>
      <c r="C302" s="8">
        <f>IF($A302="","",BDP($A302,C$3))</f>
        <v/>
      </c>
      <c r="D302" s="28">
        <f>IF($A302="","",BDP($A302,D$3))</f>
        <v/>
      </c>
      <c r="E302" s="29">
        <f>IF($A302="","",BDP($A302,E$3))</f>
        <v/>
      </c>
      <c r="F302" s="17">
        <f>IF($A302="","",BDP($A302,F$3))</f>
        <v/>
      </c>
      <c r="G302" s="8">
        <f>IF($A302="","",BDP($A302,G$3))</f>
        <v/>
      </c>
      <c r="H302" s="8">
        <f>IF($A302="","",BDP($A302,H$3))</f>
        <v/>
      </c>
      <c r="I302" s="8">
        <f>IF($A302="","",BDP($A302,I$3))</f>
        <v/>
      </c>
      <c r="J302" s="8">
        <f>IF($A302="","",BDP($A302,J$3))</f>
        <v/>
      </c>
      <c r="K302" s="8">
        <f>IF($A302="","",BDP($A302,K$3))</f>
        <v/>
      </c>
      <c r="L302" s="28">
        <f>IF($A302="","",BDP($A302,L$3))</f>
        <v/>
      </c>
      <c r="M302" s="28">
        <f>IF($A302="","",BDP($A302,M$3))</f>
        <v/>
      </c>
      <c r="N302" s="30">
        <f>IF($A302="","",BDP($A302,N$3))</f>
        <v/>
      </c>
      <c r="O302" s="31">
        <f>IF($A302="","",BDP($A302,O$3))</f>
        <v/>
      </c>
      <c r="P302" s="30">
        <f>IF($A302="","",BDH($A302,$N$3,'參數'!$B$5,'參數'!$B$5,"Days=A","Fill=P","Dates=H"))</f>
        <v/>
      </c>
      <c r="Q302" s="30">
        <f>IF($A302="","",BDH($A302,$N$3,'參數'!$B$6,'參數'!$B$6,"Days=A","Fill=P","Dates=H"))</f>
        <v/>
      </c>
      <c r="R302" s="30">
        <f>IF($A302="","",BDH($A302,$N$3,'參數'!$B$7,'參數'!$B$7,"Days=A","Fill=P","Dates=H"))</f>
        <v/>
      </c>
      <c r="S302" s="32">
        <f>IF($A302="","",IFERROR(INDEX('發行人'!$A$5:$A$44,MATCH(B302,'發行人'!$D$5:$D$44,0)),"未對應"))</f>
        <v/>
      </c>
      <c r="T302" s="24">
        <f>IF($A302="","",IFERROR(INDEX('發行人'!$G$5:$G$44,MATCH(B302,'發行人'!$D$5:$D$44,0))+0,""))</f>
        <v/>
      </c>
      <c r="U302" s="18">
        <f>IF(ISNUMBER(E302),YEARFRAC('參數'!$B$4,E302),"")</f>
        <v/>
      </c>
      <c r="V302" s="8">
        <f>IF(U302="","",IF(U302&lt;3,"1-3y",IF(U302&lt;5,"3-5y",IF(U302&lt;7,"5-7y",IF(U302&lt;10,"7-10y","10y+")))))</f>
        <v/>
      </c>
      <c r="W302" s="30">
        <f>IF($A302="","",IFERROR(INDEX('參數'!$B$24:$B$45,MATCH(G302,'參數'!$A$24:$A$45,0)),""))</f>
        <v/>
      </c>
      <c r="X302" s="8">
        <f>IF($A302="","",IFERROR(INDEX('參數'!$C$24:$C$45,MATCH(G302,'參數'!$A$24:$A$45,0)),""))</f>
        <v/>
      </c>
      <c r="Y302" s="30">
        <f>IF(AND(ISNUMBER(N302),ISNUMBER(O302),ISNUMBER(U302)),IF(AND(O302&gt;0,X302&lt;&gt;""),1,0),0)</f>
        <v/>
      </c>
      <c r="Z302" s="17">
        <f>IF(Y302=1,O302*N302,"")</f>
        <v/>
      </c>
      <c r="AA302" s="33">
        <f>IF(Y302=1,IF(ISNUMBER(Q302),N302-Q302,""),"")</f>
        <v/>
      </c>
      <c r="AB302" s="33">
        <f>IF(Y302=1,IF(AND(ISNUMBER(P302),ISNUMBER(R302)),R302*5/12-O302*(P302-R302),""),"")</f>
        <v/>
      </c>
      <c r="AC302" s="30">
        <f>IF(Y302=1,COUNTIFS($X$5:$X$404,X302,$V$5:$V$404,V302,$Y$5:$Y$404,1),"")</f>
        <v/>
      </c>
      <c r="AD302" s="30">
        <f>IF(Y302=1,IFERROR(IF(AC302&gt;='參數'!$B$9,INDEX('分群統計'!$G$13:$K$16,MATCH(X302,'分群統計'!$A$13:$A$16,0),MATCH(V302,'分群統計'!$G$12:$K$12,0)),INDEX('分群統計'!$I$5:$I$8,MATCH(X302,'分群統計'!$A$5:$A$8,0))),""),"")</f>
        <v/>
      </c>
      <c r="AE302" s="18">
        <f>IF(Y302=1,IFERROR(IF(AC302&gt;='參數'!$B$9,INDEX('分群統計'!$L$13:$P$16,MATCH(X302,'分群統計'!$A$13:$A$16,0),MATCH(V302,'分群統計'!$L$12:$P$12,0)),INDEX('分群統計'!$J$5:$J$8,MATCH(X302,'分群統計'!$A$5:$A$8,0))),""),"")</f>
        <v/>
      </c>
      <c r="AF302" s="31">
        <f>IF(ISNUMBER(AE302),IF(AE302&gt;0,MAX(-3,MIN(3,(N302-AD302)/AE302)),0),"")</f>
        <v/>
      </c>
      <c r="AG302" s="30">
        <f>IF(Y302=1,COUNTIFS($B$5:$B$404,B302,$Y$5:$Y$404,1),"")</f>
        <v/>
      </c>
      <c r="AH302" s="30">
        <f>IF(Y302=1,IFERROR(IF(ISNUMBER(INDEX('分群統計'!$G$20:$G$59,MATCH(B302,'分群統計'!$A$20:$A$59,0))),INDEX('分群統計'!$H$20:$H$59,MATCH(B302,'分群統計'!$A$20:$A$59,0))+INDEX('分群統計'!$G$20:$G$59,MATCH(B302,'分群統計'!$A$20:$A$59,0))*AU302,""),""),"")</f>
        <v/>
      </c>
      <c r="AI302" s="34">
        <f>IF(ISNUMBER(AH302),N302-AH302,"")</f>
        <v/>
      </c>
      <c r="AJ302" s="30">
        <f>IF(Y302=1,IFERROR(IF(ISNUMBER(INDEX('分群統計'!$G$5:$G$8,MATCH(X302,'分群統計'!$A$5:$A$8,0))),INDEX('分群統計'!$H$5:$H$8,MATCH(X302,'分群統計'!$A$5:$A$8,0))+INDEX('分群統計'!$G$5:$G$8,MATCH(X302,'分群統計'!$A$5:$A$8,0))*AU302,""),""),"")</f>
        <v/>
      </c>
      <c r="AK302" s="34">
        <f>IF(ISNUMBER(AJ302),N302-AJ302,"")</f>
        <v/>
      </c>
      <c r="AL302" s="21">
        <f>IF(ISNUMBER(AJ302),IF(AJ302&gt;0,AK302/AJ302,""),"")</f>
        <v/>
      </c>
      <c r="AM302" s="31">
        <f>IF(AY302&lt;&gt;1,"",IFERROR(IF(INDEX('分群統計'!$K$5:$K$8,MATCH(X302,'分群統計'!$A$5:$A$8,0))&lt;3,"",IF(INDEX('分群統計'!$M$5:$M$8,MATCH(X302,'分群統計'!$A$5:$A$8,0))&gt;0,MAX(-3,MIN(3,(AX302-INDEX('分群統計'!$L$5:$L$8,MATCH(X302,'分群統計'!$A$5:$A$8,0)))/INDEX('分群統計'!$M$5:$M$8,MATCH(X302,'分群統計'!$A$5:$A$8,0)))),0)),""))</f>
        <v/>
      </c>
      <c r="AN302" s="31">
        <f>IF(ISNUMBER(AB302),IF(Z302&gt;0,AB302/Z302*100,""),"")</f>
        <v/>
      </c>
      <c r="AO302" s="31">
        <f>IF(BA302&lt;&gt;1,"",IFERROR(IF(INDEX('分群統計'!$N$5:$N$8,MATCH(X302,'分群統計'!$A$5:$A$8,0))&lt;3,"",IF(INDEX('分群統計'!$P$5:$P$8,MATCH(X302,'分群統計'!$A$5:$A$8,0))&gt;0,MAX(-3,MIN(3,(AZ302-INDEX('分群統計'!$O$5:$O$8,MATCH(X302,'分群統計'!$A$5:$A$8,0)))/INDEX('分群統計'!$P$5:$P$8,MATCH(X302,'分群統計'!$A$5:$A$8,0)))),0)),""))</f>
        <v/>
      </c>
      <c r="AP302" s="31">
        <f>IF(BC302&lt;&gt;1,"",IFERROR(IF(INDEX('分群統計'!$Q$5:$Q$8,MATCH(X302,'分群統計'!$A$5:$A$8,0))&lt;3,"",IF(INDEX('分群統計'!$S$5:$S$8,MATCH(X302,'分群統計'!$A$5:$A$8,0))&gt;0,MAX(-3,MIN(3,(BB302-INDEX('分群統計'!$R$5:$R$8,MATCH(X302,'分群統計'!$A$5:$A$8,0)))/INDEX('分群統計'!$S$5:$S$8,MATCH(X302,'分群統計'!$A$5:$A$8,0)))),0)),""))</f>
        <v/>
      </c>
      <c r="AQ302" s="31">
        <f>IF(Y302=1,(IF(ISNUMBER(AF302),AF302,0)*'參數'!$B$13+IF(ISNUMBER(AM302),AM302,0)*'參數'!$B$14+IF(ISNUMBER(AO302),AO302,0)*'參數'!$B$15+IF(ISNUMBER(AP302),AP302,0)*'參數'!$B$16)/('參數'!$B$13+'參數'!$B$14+'參數'!$B$15+'參數'!$B$16),"")</f>
        <v/>
      </c>
      <c r="AR302" s="35">
        <f>IF(Y302=1,(SUMPRODUCT(($X$5:$X$404=X302)*($Y$5:$Y$404=1)*($BD$5:$BD$404&gt;BD302))+1)/COUNTIFS($X$5:$X$404,X302,$Y$5:$Y$404,1),"")</f>
        <v/>
      </c>
      <c r="AS302" s="8">
        <f>IF(ISNUMBER(AR302),IF(AR302&lt;='參數'!$B$18,"加碼候選",IF(AR302&gt;'參數'!$B$19,"減碼候選","")),"")</f>
        <v/>
      </c>
      <c r="AT302" s="7">
        <f>IF(Y302=1,N302,0)</f>
        <v/>
      </c>
      <c r="AU302" s="7">
        <f>IF(Y302=1,LN(O302),0)</f>
        <v/>
      </c>
      <c r="AV302" s="36">
        <f>IF(Y302=1,IF(ISNUMBER(F302),F302,0),0)</f>
        <v/>
      </c>
      <c r="AW302" s="7">
        <f>IF(Y302=1,Z302,0)</f>
        <v/>
      </c>
      <c r="AX302" s="7">
        <f>IF(Y302=1,IF(ISNUMBER(AL302),AL302,0),0)</f>
        <v/>
      </c>
      <c r="AY302" s="7">
        <f>IF(Y302=1,IF(ISNUMBER(AL302),1,0),0)</f>
        <v/>
      </c>
      <c r="AZ302" s="7">
        <f>IF(Y302=1,IF(ISNUMBER(AN302),AN302,0),0)</f>
        <v/>
      </c>
      <c r="BA302" s="7">
        <f>IF(Y302=1,IF(ISNUMBER(AN302),1,0),0)</f>
        <v/>
      </c>
      <c r="BB302" s="7">
        <f>IF(Y302=1,IF(ISNUMBER(T302),T302,0),0)</f>
        <v/>
      </c>
      <c r="BC302" s="7">
        <f>IF(Y302=1,IF(ISNUMBER(T302),1,0),0)</f>
        <v/>
      </c>
      <c r="BD302" s="7">
        <f>IF(Y302=1,AQ302+ROW()/1E9,-1E9)</f>
        <v/>
      </c>
      <c r="BE302" s="7">
        <f>IF(Y302=1,AQ302+ROW()/1E9,1E9)</f>
        <v/>
      </c>
    </row>
    <row r="303">
      <c r="A303" s="16" t="n"/>
      <c r="B303" s="8">
        <f>IF($A303="","",BDP($A303,B$3))</f>
        <v/>
      </c>
      <c r="C303" s="8">
        <f>IF($A303="","",BDP($A303,C$3))</f>
        <v/>
      </c>
      <c r="D303" s="28">
        <f>IF($A303="","",BDP($A303,D$3))</f>
        <v/>
      </c>
      <c r="E303" s="29">
        <f>IF($A303="","",BDP($A303,E$3))</f>
        <v/>
      </c>
      <c r="F303" s="17">
        <f>IF($A303="","",BDP($A303,F$3))</f>
        <v/>
      </c>
      <c r="G303" s="8">
        <f>IF($A303="","",BDP($A303,G$3))</f>
        <v/>
      </c>
      <c r="H303" s="8">
        <f>IF($A303="","",BDP($A303,H$3))</f>
        <v/>
      </c>
      <c r="I303" s="8">
        <f>IF($A303="","",BDP($A303,I$3))</f>
        <v/>
      </c>
      <c r="J303" s="8">
        <f>IF($A303="","",BDP($A303,J$3))</f>
        <v/>
      </c>
      <c r="K303" s="8">
        <f>IF($A303="","",BDP($A303,K$3))</f>
        <v/>
      </c>
      <c r="L303" s="28">
        <f>IF($A303="","",BDP($A303,L$3))</f>
        <v/>
      </c>
      <c r="M303" s="28">
        <f>IF($A303="","",BDP($A303,M$3))</f>
        <v/>
      </c>
      <c r="N303" s="30">
        <f>IF($A303="","",BDP($A303,N$3))</f>
        <v/>
      </c>
      <c r="O303" s="31">
        <f>IF($A303="","",BDP($A303,O$3))</f>
        <v/>
      </c>
      <c r="P303" s="30">
        <f>IF($A303="","",BDH($A303,$N$3,'參數'!$B$5,'參數'!$B$5,"Days=A","Fill=P","Dates=H"))</f>
        <v/>
      </c>
      <c r="Q303" s="30">
        <f>IF($A303="","",BDH($A303,$N$3,'參數'!$B$6,'參數'!$B$6,"Days=A","Fill=P","Dates=H"))</f>
        <v/>
      </c>
      <c r="R303" s="30">
        <f>IF($A303="","",BDH($A303,$N$3,'參數'!$B$7,'參數'!$B$7,"Days=A","Fill=P","Dates=H"))</f>
        <v/>
      </c>
      <c r="S303" s="32">
        <f>IF($A303="","",IFERROR(INDEX('發行人'!$A$5:$A$44,MATCH(B303,'發行人'!$D$5:$D$44,0)),"未對應"))</f>
        <v/>
      </c>
      <c r="T303" s="24">
        <f>IF($A303="","",IFERROR(INDEX('發行人'!$G$5:$G$44,MATCH(B303,'發行人'!$D$5:$D$44,0))+0,""))</f>
        <v/>
      </c>
      <c r="U303" s="18">
        <f>IF(ISNUMBER(E303),YEARFRAC('參數'!$B$4,E303),"")</f>
        <v/>
      </c>
      <c r="V303" s="8">
        <f>IF(U303="","",IF(U303&lt;3,"1-3y",IF(U303&lt;5,"3-5y",IF(U303&lt;7,"5-7y",IF(U303&lt;10,"7-10y","10y+")))))</f>
        <v/>
      </c>
      <c r="W303" s="30">
        <f>IF($A303="","",IFERROR(INDEX('參數'!$B$24:$B$45,MATCH(G303,'參數'!$A$24:$A$45,0)),""))</f>
        <v/>
      </c>
      <c r="X303" s="8">
        <f>IF($A303="","",IFERROR(INDEX('參數'!$C$24:$C$45,MATCH(G303,'參數'!$A$24:$A$45,0)),""))</f>
        <v/>
      </c>
      <c r="Y303" s="30">
        <f>IF(AND(ISNUMBER(N303),ISNUMBER(O303),ISNUMBER(U303)),IF(AND(O303&gt;0,X303&lt;&gt;""),1,0),0)</f>
        <v/>
      </c>
      <c r="Z303" s="17">
        <f>IF(Y303=1,O303*N303,"")</f>
        <v/>
      </c>
      <c r="AA303" s="33">
        <f>IF(Y303=1,IF(ISNUMBER(Q303),N303-Q303,""),"")</f>
        <v/>
      </c>
      <c r="AB303" s="33">
        <f>IF(Y303=1,IF(AND(ISNUMBER(P303),ISNUMBER(R303)),R303*5/12-O303*(P303-R303),""),"")</f>
        <v/>
      </c>
      <c r="AC303" s="30">
        <f>IF(Y303=1,COUNTIFS($X$5:$X$404,X303,$V$5:$V$404,V303,$Y$5:$Y$404,1),"")</f>
        <v/>
      </c>
      <c r="AD303" s="30">
        <f>IF(Y303=1,IFERROR(IF(AC303&gt;='參數'!$B$9,INDEX('分群統計'!$G$13:$K$16,MATCH(X303,'分群統計'!$A$13:$A$16,0),MATCH(V303,'分群統計'!$G$12:$K$12,0)),INDEX('分群統計'!$I$5:$I$8,MATCH(X303,'分群統計'!$A$5:$A$8,0))),""),"")</f>
        <v/>
      </c>
      <c r="AE303" s="18">
        <f>IF(Y303=1,IFERROR(IF(AC303&gt;='參數'!$B$9,INDEX('分群統計'!$L$13:$P$16,MATCH(X303,'分群統計'!$A$13:$A$16,0),MATCH(V303,'分群統計'!$L$12:$P$12,0)),INDEX('分群統計'!$J$5:$J$8,MATCH(X303,'分群統計'!$A$5:$A$8,0))),""),"")</f>
        <v/>
      </c>
      <c r="AF303" s="31">
        <f>IF(ISNUMBER(AE303),IF(AE303&gt;0,MAX(-3,MIN(3,(N303-AD303)/AE303)),0),"")</f>
        <v/>
      </c>
      <c r="AG303" s="30">
        <f>IF(Y303=1,COUNTIFS($B$5:$B$404,B303,$Y$5:$Y$404,1),"")</f>
        <v/>
      </c>
      <c r="AH303" s="30">
        <f>IF(Y303=1,IFERROR(IF(ISNUMBER(INDEX('分群統計'!$G$20:$G$59,MATCH(B303,'分群統計'!$A$20:$A$59,0))),INDEX('分群統計'!$H$20:$H$59,MATCH(B303,'分群統計'!$A$20:$A$59,0))+INDEX('分群統計'!$G$20:$G$59,MATCH(B303,'分群統計'!$A$20:$A$59,0))*AU303,""),""),"")</f>
        <v/>
      </c>
      <c r="AI303" s="34">
        <f>IF(ISNUMBER(AH303),N303-AH303,"")</f>
        <v/>
      </c>
      <c r="AJ303" s="30">
        <f>IF(Y303=1,IFERROR(IF(ISNUMBER(INDEX('分群統計'!$G$5:$G$8,MATCH(X303,'分群統計'!$A$5:$A$8,0))),INDEX('分群統計'!$H$5:$H$8,MATCH(X303,'分群統計'!$A$5:$A$8,0))+INDEX('分群統計'!$G$5:$G$8,MATCH(X303,'分群統計'!$A$5:$A$8,0))*AU303,""),""),"")</f>
        <v/>
      </c>
      <c r="AK303" s="34">
        <f>IF(ISNUMBER(AJ303),N303-AJ303,"")</f>
        <v/>
      </c>
      <c r="AL303" s="21">
        <f>IF(ISNUMBER(AJ303),IF(AJ303&gt;0,AK303/AJ303,""),"")</f>
        <v/>
      </c>
      <c r="AM303" s="31">
        <f>IF(AY303&lt;&gt;1,"",IFERROR(IF(INDEX('分群統計'!$K$5:$K$8,MATCH(X303,'分群統計'!$A$5:$A$8,0))&lt;3,"",IF(INDEX('分群統計'!$M$5:$M$8,MATCH(X303,'分群統計'!$A$5:$A$8,0))&gt;0,MAX(-3,MIN(3,(AX303-INDEX('分群統計'!$L$5:$L$8,MATCH(X303,'分群統計'!$A$5:$A$8,0)))/INDEX('分群統計'!$M$5:$M$8,MATCH(X303,'分群統計'!$A$5:$A$8,0)))),0)),""))</f>
        <v/>
      </c>
      <c r="AN303" s="31">
        <f>IF(ISNUMBER(AB303),IF(Z303&gt;0,AB303/Z303*100,""),"")</f>
        <v/>
      </c>
      <c r="AO303" s="31">
        <f>IF(BA303&lt;&gt;1,"",IFERROR(IF(INDEX('分群統計'!$N$5:$N$8,MATCH(X303,'分群統計'!$A$5:$A$8,0))&lt;3,"",IF(INDEX('分群統計'!$P$5:$P$8,MATCH(X303,'分群統計'!$A$5:$A$8,0))&gt;0,MAX(-3,MIN(3,(AZ303-INDEX('分群統計'!$O$5:$O$8,MATCH(X303,'分群統計'!$A$5:$A$8,0)))/INDEX('分群統計'!$P$5:$P$8,MATCH(X303,'分群統計'!$A$5:$A$8,0)))),0)),""))</f>
        <v/>
      </c>
      <c r="AP303" s="31">
        <f>IF(BC303&lt;&gt;1,"",IFERROR(IF(INDEX('分群統計'!$Q$5:$Q$8,MATCH(X303,'分群統計'!$A$5:$A$8,0))&lt;3,"",IF(INDEX('分群統計'!$S$5:$S$8,MATCH(X303,'分群統計'!$A$5:$A$8,0))&gt;0,MAX(-3,MIN(3,(BB303-INDEX('分群統計'!$R$5:$R$8,MATCH(X303,'分群統計'!$A$5:$A$8,0)))/INDEX('分群統計'!$S$5:$S$8,MATCH(X303,'分群統計'!$A$5:$A$8,0)))),0)),""))</f>
        <v/>
      </c>
      <c r="AQ303" s="31">
        <f>IF(Y303=1,(IF(ISNUMBER(AF303),AF303,0)*'參數'!$B$13+IF(ISNUMBER(AM303),AM303,0)*'參數'!$B$14+IF(ISNUMBER(AO303),AO303,0)*'參數'!$B$15+IF(ISNUMBER(AP303),AP303,0)*'參數'!$B$16)/('參數'!$B$13+'參數'!$B$14+'參數'!$B$15+'參數'!$B$16),"")</f>
        <v/>
      </c>
      <c r="AR303" s="35">
        <f>IF(Y303=1,(SUMPRODUCT(($X$5:$X$404=X303)*($Y$5:$Y$404=1)*($BD$5:$BD$404&gt;BD303))+1)/COUNTIFS($X$5:$X$404,X303,$Y$5:$Y$404,1),"")</f>
        <v/>
      </c>
      <c r="AS303" s="8">
        <f>IF(ISNUMBER(AR303),IF(AR303&lt;='參數'!$B$18,"加碼候選",IF(AR303&gt;'參數'!$B$19,"減碼候選","")),"")</f>
        <v/>
      </c>
      <c r="AT303" s="7">
        <f>IF(Y303=1,N303,0)</f>
        <v/>
      </c>
      <c r="AU303" s="7">
        <f>IF(Y303=1,LN(O303),0)</f>
        <v/>
      </c>
      <c r="AV303" s="36">
        <f>IF(Y303=1,IF(ISNUMBER(F303),F303,0),0)</f>
        <v/>
      </c>
      <c r="AW303" s="7">
        <f>IF(Y303=1,Z303,0)</f>
        <v/>
      </c>
      <c r="AX303" s="7">
        <f>IF(Y303=1,IF(ISNUMBER(AL303),AL303,0),0)</f>
        <v/>
      </c>
      <c r="AY303" s="7">
        <f>IF(Y303=1,IF(ISNUMBER(AL303),1,0),0)</f>
        <v/>
      </c>
      <c r="AZ303" s="7">
        <f>IF(Y303=1,IF(ISNUMBER(AN303),AN303,0),0)</f>
        <v/>
      </c>
      <c r="BA303" s="7">
        <f>IF(Y303=1,IF(ISNUMBER(AN303),1,0),0)</f>
        <v/>
      </c>
      <c r="BB303" s="7">
        <f>IF(Y303=1,IF(ISNUMBER(T303),T303,0),0)</f>
        <v/>
      </c>
      <c r="BC303" s="7">
        <f>IF(Y303=1,IF(ISNUMBER(T303),1,0),0)</f>
        <v/>
      </c>
      <c r="BD303" s="7">
        <f>IF(Y303=1,AQ303+ROW()/1E9,-1E9)</f>
        <v/>
      </c>
      <c r="BE303" s="7">
        <f>IF(Y303=1,AQ303+ROW()/1E9,1E9)</f>
        <v/>
      </c>
    </row>
    <row r="304">
      <c r="A304" s="16" t="n"/>
      <c r="B304" s="8">
        <f>IF($A304="","",BDP($A304,B$3))</f>
        <v/>
      </c>
      <c r="C304" s="8">
        <f>IF($A304="","",BDP($A304,C$3))</f>
        <v/>
      </c>
      <c r="D304" s="28">
        <f>IF($A304="","",BDP($A304,D$3))</f>
        <v/>
      </c>
      <c r="E304" s="29">
        <f>IF($A304="","",BDP($A304,E$3))</f>
        <v/>
      </c>
      <c r="F304" s="17">
        <f>IF($A304="","",BDP($A304,F$3))</f>
        <v/>
      </c>
      <c r="G304" s="8">
        <f>IF($A304="","",BDP($A304,G$3))</f>
        <v/>
      </c>
      <c r="H304" s="8">
        <f>IF($A304="","",BDP($A304,H$3))</f>
        <v/>
      </c>
      <c r="I304" s="8">
        <f>IF($A304="","",BDP($A304,I$3))</f>
        <v/>
      </c>
      <c r="J304" s="8">
        <f>IF($A304="","",BDP($A304,J$3))</f>
        <v/>
      </c>
      <c r="K304" s="8">
        <f>IF($A304="","",BDP($A304,K$3))</f>
        <v/>
      </c>
      <c r="L304" s="28">
        <f>IF($A304="","",BDP($A304,L$3))</f>
        <v/>
      </c>
      <c r="M304" s="28">
        <f>IF($A304="","",BDP($A304,M$3))</f>
        <v/>
      </c>
      <c r="N304" s="30">
        <f>IF($A304="","",BDP($A304,N$3))</f>
        <v/>
      </c>
      <c r="O304" s="31">
        <f>IF($A304="","",BDP($A304,O$3))</f>
        <v/>
      </c>
      <c r="P304" s="30">
        <f>IF($A304="","",BDH($A304,$N$3,'參數'!$B$5,'參數'!$B$5,"Days=A","Fill=P","Dates=H"))</f>
        <v/>
      </c>
      <c r="Q304" s="30">
        <f>IF($A304="","",BDH($A304,$N$3,'參數'!$B$6,'參數'!$B$6,"Days=A","Fill=P","Dates=H"))</f>
        <v/>
      </c>
      <c r="R304" s="30">
        <f>IF($A304="","",BDH($A304,$N$3,'參數'!$B$7,'參數'!$B$7,"Days=A","Fill=P","Dates=H"))</f>
        <v/>
      </c>
      <c r="S304" s="32">
        <f>IF($A304="","",IFERROR(INDEX('發行人'!$A$5:$A$44,MATCH(B304,'發行人'!$D$5:$D$44,0)),"未對應"))</f>
        <v/>
      </c>
      <c r="T304" s="24">
        <f>IF($A304="","",IFERROR(INDEX('發行人'!$G$5:$G$44,MATCH(B304,'發行人'!$D$5:$D$44,0))+0,""))</f>
        <v/>
      </c>
      <c r="U304" s="18">
        <f>IF(ISNUMBER(E304),YEARFRAC('參數'!$B$4,E304),"")</f>
        <v/>
      </c>
      <c r="V304" s="8">
        <f>IF(U304="","",IF(U304&lt;3,"1-3y",IF(U304&lt;5,"3-5y",IF(U304&lt;7,"5-7y",IF(U304&lt;10,"7-10y","10y+")))))</f>
        <v/>
      </c>
      <c r="W304" s="30">
        <f>IF($A304="","",IFERROR(INDEX('參數'!$B$24:$B$45,MATCH(G304,'參數'!$A$24:$A$45,0)),""))</f>
        <v/>
      </c>
      <c r="X304" s="8">
        <f>IF($A304="","",IFERROR(INDEX('參數'!$C$24:$C$45,MATCH(G304,'參數'!$A$24:$A$45,0)),""))</f>
        <v/>
      </c>
      <c r="Y304" s="30">
        <f>IF(AND(ISNUMBER(N304),ISNUMBER(O304),ISNUMBER(U304)),IF(AND(O304&gt;0,X304&lt;&gt;""),1,0),0)</f>
        <v/>
      </c>
      <c r="Z304" s="17">
        <f>IF(Y304=1,O304*N304,"")</f>
        <v/>
      </c>
      <c r="AA304" s="33">
        <f>IF(Y304=1,IF(ISNUMBER(Q304),N304-Q304,""),"")</f>
        <v/>
      </c>
      <c r="AB304" s="33">
        <f>IF(Y304=1,IF(AND(ISNUMBER(P304),ISNUMBER(R304)),R304*5/12-O304*(P304-R304),""),"")</f>
        <v/>
      </c>
      <c r="AC304" s="30">
        <f>IF(Y304=1,COUNTIFS($X$5:$X$404,X304,$V$5:$V$404,V304,$Y$5:$Y$404,1),"")</f>
        <v/>
      </c>
      <c r="AD304" s="30">
        <f>IF(Y304=1,IFERROR(IF(AC304&gt;='參數'!$B$9,INDEX('分群統計'!$G$13:$K$16,MATCH(X304,'分群統計'!$A$13:$A$16,0),MATCH(V304,'分群統計'!$G$12:$K$12,0)),INDEX('分群統計'!$I$5:$I$8,MATCH(X304,'分群統計'!$A$5:$A$8,0))),""),"")</f>
        <v/>
      </c>
      <c r="AE304" s="18">
        <f>IF(Y304=1,IFERROR(IF(AC304&gt;='參數'!$B$9,INDEX('分群統計'!$L$13:$P$16,MATCH(X304,'分群統計'!$A$13:$A$16,0),MATCH(V304,'分群統計'!$L$12:$P$12,0)),INDEX('分群統計'!$J$5:$J$8,MATCH(X304,'分群統計'!$A$5:$A$8,0))),""),"")</f>
        <v/>
      </c>
      <c r="AF304" s="31">
        <f>IF(ISNUMBER(AE304),IF(AE304&gt;0,MAX(-3,MIN(3,(N304-AD304)/AE304)),0),"")</f>
        <v/>
      </c>
      <c r="AG304" s="30">
        <f>IF(Y304=1,COUNTIFS($B$5:$B$404,B304,$Y$5:$Y$404,1),"")</f>
        <v/>
      </c>
      <c r="AH304" s="30">
        <f>IF(Y304=1,IFERROR(IF(ISNUMBER(INDEX('分群統計'!$G$20:$G$59,MATCH(B304,'分群統計'!$A$20:$A$59,0))),INDEX('分群統計'!$H$20:$H$59,MATCH(B304,'分群統計'!$A$20:$A$59,0))+INDEX('分群統計'!$G$20:$G$59,MATCH(B304,'分群統計'!$A$20:$A$59,0))*AU304,""),""),"")</f>
        <v/>
      </c>
      <c r="AI304" s="34">
        <f>IF(ISNUMBER(AH304),N304-AH304,"")</f>
        <v/>
      </c>
      <c r="AJ304" s="30">
        <f>IF(Y304=1,IFERROR(IF(ISNUMBER(INDEX('分群統計'!$G$5:$G$8,MATCH(X304,'分群統計'!$A$5:$A$8,0))),INDEX('分群統計'!$H$5:$H$8,MATCH(X304,'分群統計'!$A$5:$A$8,0))+INDEX('分群統計'!$G$5:$G$8,MATCH(X304,'分群統計'!$A$5:$A$8,0))*AU304,""),""),"")</f>
        <v/>
      </c>
      <c r="AK304" s="34">
        <f>IF(ISNUMBER(AJ304),N304-AJ304,"")</f>
        <v/>
      </c>
      <c r="AL304" s="21">
        <f>IF(ISNUMBER(AJ304),IF(AJ304&gt;0,AK304/AJ304,""),"")</f>
        <v/>
      </c>
      <c r="AM304" s="31">
        <f>IF(AY304&lt;&gt;1,"",IFERROR(IF(INDEX('分群統計'!$K$5:$K$8,MATCH(X304,'分群統計'!$A$5:$A$8,0))&lt;3,"",IF(INDEX('分群統計'!$M$5:$M$8,MATCH(X304,'分群統計'!$A$5:$A$8,0))&gt;0,MAX(-3,MIN(3,(AX304-INDEX('分群統計'!$L$5:$L$8,MATCH(X304,'分群統計'!$A$5:$A$8,0)))/INDEX('分群統計'!$M$5:$M$8,MATCH(X304,'分群統計'!$A$5:$A$8,0)))),0)),""))</f>
        <v/>
      </c>
      <c r="AN304" s="31">
        <f>IF(ISNUMBER(AB304),IF(Z304&gt;0,AB304/Z304*100,""),"")</f>
        <v/>
      </c>
      <c r="AO304" s="31">
        <f>IF(BA304&lt;&gt;1,"",IFERROR(IF(INDEX('分群統計'!$N$5:$N$8,MATCH(X304,'分群統計'!$A$5:$A$8,0))&lt;3,"",IF(INDEX('分群統計'!$P$5:$P$8,MATCH(X304,'分群統計'!$A$5:$A$8,0))&gt;0,MAX(-3,MIN(3,(AZ304-INDEX('分群統計'!$O$5:$O$8,MATCH(X304,'分群統計'!$A$5:$A$8,0)))/INDEX('分群統計'!$P$5:$P$8,MATCH(X304,'分群統計'!$A$5:$A$8,0)))),0)),""))</f>
        <v/>
      </c>
      <c r="AP304" s="31">
        <f>IF(BC304&lt;&gt;1,"",IFERROR(IF(INDEX('分群統計'!$Q$5:$Q$8,MATCH(X304,'分群統計'!$A$5:$A$8,0))&lt;3,"",IF(INDEX('分群統計'!$S$5:$S$8,MATCH(X304,'分群統計'!$A$5:$A$8,0))&gt;0,MAX(-3,MIN(3,(BB304-INDEX('分群統計'!$R$5:$R$8,MATCH(X304,'分群統計'!$A$5:$A$8,0)))/INDEX('分群統計'!$S$5:$S$8,MATCH(X304,'分群統計'!$A$5:$A$8,0)))),0)),""))</f>
        <v/>
      </c>
      <c r="AQ304" s="31">
        <f>IF(Y304=1,(IF(ISNUMBER(AF304),AF304,0)*'參數'!$B$13+IF(ISNUMBER(AM304),AM304,0)*'參數'!$B$14+IF(ISNUMBER(AO304),AO304,0)*'參數'!$B$15+IF(ISNUMBER(AP304),AP304,0)*'參數'!$B$16)/('參數'!$B$13+'參數'!$B$14+'參數'!$B$15+'參數'!$B$16),"")</f>
        <v/>
      </c>
      <c r="AR304" s="35">
        <f>IF(Y304=1,(SUMPRODUCT(($X$5:$X$404=X304)*($Y$5:$Y$404=1)*($BD$5:$BD$404&gt;BD304))+1)/COUNTIFS($X$5:$X$404,X304,$Y$5:$Y$404,1),"")</f>
        <v/>
      </c>
      <c r="AS304" s="8">
        <f>IF(ISNUMBER(AR304),IF(AR304&lt;='參數'!$B$18,"加碼候選",IF(AR304&gt;'參數'!$B$19,"減碼候選","")),"")</f>
        <v/>
      </c>
      <c r="AT304" s="7">
        <f>IF(Y304=1,N304,0)</f>
        <v/>
      </c>
      <c r="AU304" s="7">
        <f>IF(Y304=1,LN(O304),0)</f>
        <v/>
      </c>
      <c r="AV304" s="36">
        <f>IF(Y304=1,IF(ISNUMBER(F304),F304,0),0)</f>
        <v/>
      </c>
      <c r="AW304" s="7">
        <f>IF(Y304=1,Z304,0)</f>
        <v/>
      </c>
      <c r="AX304" s="7">
        <f>IF(Y304=1,IF(ISNUMBER(AL304),AL304,0),0)</f>
        <v/>
      </c>
      <c r="AY304" s="7">
        <f>IF(Y304=1,IF(ISNUMBER(AL304),1,0),0)</f>
        <v/>
      </c>
      <c r="AZ304" s="7">
        <f>IF(Y304=1,IF(ISNUMBER(AN304),AN304,0),0)</f>
        <v/>
      </c>
      <c r="BA304" s="7">
        <f>IF(Y304=1,IF(ISNUMBER(AN304),1,0),0)</f>
        <v/>
      </c>
      <c r="BB304" s="7">
        <f>IF(Y304=1,IF(ISNUMBER(T304),T304,0),0)</f>
        <v/>
      </c>
      <c r="BC304" s="7">
        <f>IF(Y304=1,IF(ISNUMBER(T304),1,0),0)</f>
        <v/>
      </c>
      <c r="BD304" s="7">
        <f>IF(Y304=1,AQ304+ROW()/1E9,-1E9)</f>
        <v/>
      </c>
      <c r="BE304" s="7">
        <f>IF(Y304=1,AQ304+ROW()/1E9,1E9)</f>
        <v/>
      </c>
    </row>
    <row r="305">
      <c r="A305" s="16" t="n"/>
      <c r="B305" s="8">
        <f>IF($A305="","",BDP($A305,B$3))</f>
        <v/>
      </c>
      <c r="C305" s="8">
        <f>IF($A305="","",BDP($A305,C$3))</f>
        <v/>
      </c>
      <c r="D305" s="28">
        <f>IF($A305="","",BDP($A305,D$3))</f>
        <v/>
      </c>
      <c r="E305" s="29">
        <f>IF($A305="","",BDP($A305,E$3))</f>
        <v/>
      </c>
      <c r="F305" s="17">
        <f>IF($A305="","",BDP($A305,F$3))</f>
        <v/>
      </c>
      <c r="G305" s="8">
        <f>IF($A305="","",BDP($A305,G$3))</f>
        <v/>
      </c>
      <c r="H305" s="8">
        <f>IF($A305="","",BDP($A305,H$3))</f>
        <v/>
      </c>
      <c r="I305" s="8">
        <f>IF($A305="","",BDP($A305,I$3))</f>
        <v/>
      </c>
      <c r="J305" s="8">
        <f>IF($A305="","",BDP($A305,J$3))</f>
        <v/>
      </c>
      <c r="K305" s="8">
        <f>IF($A305="","",BDP($A305,K$3))</f>
        <v/>
      </c>
      <c r="L305" s="28">
        <f>IF($A305="","",BDP($A305,L$3))</f>
        <v/>
      </c>
      <c r="M305" s="28">
        <f>IF($A305="","",BDP($A305,M$3))</f>
        <v/>
      </c>
      <c r="N305" s="30">
        <f>IF($A305="","",BDP($A305,N$3))</f>
        <v/>
      </c>
      <c r="O305" s="31">
        <f>IF($A305="","",BDP($A305,O$3))</f>
        <v/>
      </c>
      <c r="P305" s="30">
        <f>IF($A305="","",BDH($A305,$N$3,'參數'!$B$5,'參數'!$B$5,"Days=A","Fill=P","Dates=H"))</f>
        <v/>
      </c>
      <c r="Q305" s="30">
        <f>IF($A305="","",BDH($A305,$N$3,'參數'!$B$6,'參數'!$B$6,"Days=A","Fill=P","Dates=H"))</f>
        <v/>
      </c>
      <c r="R305" s="30">
        <f>IF($A305="","",BDH($A305,$N$3,'參數'!$B$7,'參數'!$B$7,"Days=A","Fill=P","Dates=H"))</f>
        <v/>
      </c>
      <c r="S305" s="32">
        <f>IF($A305="","",IFERROR(INDEX('發行人'!$A$5:$A$44,MATCH(B305,'發行人'!$D$5:$D$44,0)),"未對應"))</f>
        <v/>
      </c>
      <c r="T305" s="24">
        <f>IF($A305="","",IFERROR(INDEX('發行人'!$G$5:$G$44,MATCH(B305,'發行人'!$D$5:$D$44,0))+0,""))</f>
        <v/>
      </c>
      <c r="U305" s="18">
        <f>IF(ISNUMBER(E305),YEARFRAC('參數'!$B$4,E305),"")</f>
        <v/>
      </c>
      <c r="V305" s="8">
        <f>IF(U305="","",IF(U305&lt;3,"1-3y",IF(U305&lt;5,"3-5y",IF(U305&lt;7,"5-7y",IF(U305&lt;10,"7-10y","10y+")))))</f>
        <v/>
      </c>
      <c r="W305" s="30">
        <f>IF($A305="","",IFERROR(INDEX('參數'!$B$24:$B$45,MATCH(G305,'參數'!$A$24:$A$45,0)),""))</f>
        <v/>
      </c>
      <c r="X305" s="8">
        <f>IF($A305="","",IFERROR(INDEX('參數'!$C$24:$C$45,MATCH(G305,'參數'!$A$24:$A$45,0)),""))</f>
        <v/>
      </c>
      <c r="Y305" s="30">
        <f>IF(AND(ISNUMBER(N305),ISNUMBER(O305),ISNUMBER(U305)),IF(AND(O305&gt;0,X305&lt;&gt;""),1,0),0)</f>
        <v/>
      </c>
      <c r="Z305" s="17">
        <f>IF(Y305=1,O305*N305,"")</f>
        <v/>
      </c>
      <c r="AA305" s="33">
        <f>IF(Y305=1,IF(ISNUMBER(Q305),N305-Q305,""),"")</f>
        <v/>
      </c>
      <c r="AB305" s="33">
        <f>IF(Y305=1,IF(AND(ISNUMBER(P305),ISNUMBER(R305)),R305*5/12-O305*(P305-R305),""),"")</f>
        <v/>
      </c>
      <c r="AC305" s="30">
        <f>IF(Y305=1,COUNTIFS($X$5:$X$404,X305,$V$5:$V$404,V305,$Y$5:$Y$404,1),"")</f>
        <v/>
      </c>
      <c r="AD305" s="30">
        <f>IF(Y305=1,IFERROR(IF(AC305&gt;='參數'!$B$9,INDEX('分群統計'!$G$13:$K$16,MATCH(X305,'分群統計'!$A$13:$A$16,0),MATCH(V305,'分群統計'!$G$12:$K$12,0)),INDEX('分群統計'!$I$5:$I$8,MATCH(X305,'分群統計'!$A$5:$A$8,0))),""),"")</f>
        <v/>
      </c>
      <c r="AE305" s="18">
        <f>IF(Y305=1,IFERROR(IF(AC305&gt;='參數'!$B$9,INDEX('分群統計'!$L$13:$P$16,MATCH(X305,'分群統計'!$A$13:$A$16,0),MATCH(V305,'分群統計'!$L$12:$P$12,0)),INDEX('分群統計'!$J$5:$J$8,MATCH(X305,'分群統計'!$A$5:$A$8,0))),""),"")</f>
        <v/>
      </c>
      <c r="AF305" s="31">
        <f>IF(ISNUMBER(AE305),IF(AE305&gt;0,MAX(-3,MIN(3,(N305-AD305)/AE305)),0),"")</f>
        <v/>
      </c>
      <c r="AG305" s="30">
        <f>IF(Y305=1,COUNTIFS($B$5:$B$404,B305,$Y$5:$Y$404,1),"")</f>
        <v/>
      </c>
      <c r="AH305" s="30">
        <f>IF(Y305=1,IFERROR(IF(ISNUMBER(INDEX('分群統計'!$G$20:$G$59,MATCH(B305,'分群統計'!$A$20:$A$59,0))),INDEX('分群統計'!$H$20:$H$59,MATCH(B305,'分群統計'!$A$20:$A$59,0))+INDEX('分群統計'!$G$20:$G$59,MATCH(B305,'分群統計'!$A$20:$A$59,0))*AU305,""),""),"")</f>
        <v/>
      </c>
      <c r="AI305" s="34">
        <f>IF(ISNUMBER(AH305),N305-AH305,"")</f>
        <v/>
      </c>
      <c r="AJ305" s="30">
        <f>IF(Y305=1,IFERROR(IF(ISNUMBER(INDEX('分群統計'!$G$5:$G$8,MATCH(X305,'分群統計'!$A$5:$A$8,0))),INDEX('分群統計'!$H$5:$H$8,MATCH(X305,'分群統計'!$A$5:$A$8,0))+INDEX('分群統計'!$G$5:$G$8,MATCH(X305,'分群統計'!$A$5:$A$8,0))*AU305,""),""),"")</f>
        <v/>
      </c>
      <c r="AK305" s="34">
        <f>IF(ISNUMBER(AJ305),N305-AJ305,"")</f>
        <v/>
      </c>
      <c r="AL305" s="21">
        <f>IF(ISNUMBER(AJ305),IF(AJ305&gt;0,AK305/AJ305,""),"")</f>
        <v/>
      </c>
      <c r="AM305" s="31">
        <f>IF(AY305&lt;&gt;1,"",IFERROR(IF(INDEX('分群統計'!$K$5:$K$8,MATCH(X305,'分群統計'!$A$5:$A$8,0))&lt;3,"",IF(INDEX('分群統計'!$M$5:$M$8,MATCH(X305,'分群統計'!$A$5:$A$8,0))&gt;0,MAX(-3,MIN(3,(AX305-INDEX('分群統計'!$L$5:$L$8,MATCH(X305,'分群統計'!$A$5:$A$8,0)))/INDEX('分群統計'!$M$5:$M$8,MATCH(X305,'分群統計'!$A$5:$A$8,0)))),0)),""))</f>
        <v/>
      </c>
      <c r="AN305" s="31">
        <f>IF(ISNUMBER(AB305),IF(Z305&gt;0,AB305/Z305*100,""),"")</f>
        <v/>
      </c>
      <c r="AO305" s="31">
        <f>IF(BA305&lt;&gt;1,"",IFERROR(IF(INDEX('分群統計'!$N$5:$N$8,MATCH(X305,'分群統計'!$A$5:$A$8,0))&lt;3,"",IF(INDEX('分群統計'!$P$5:$P$8,MATCH(X305,'分群統計'!$A$5:$A$8,0))&gt;0,MAX(-3,MIN(3,(AZ305-INDEX('分群統計'!$O$5:$O$8,MATCH(X305,'分群統計'!$A$5:$A$8,0)))/INDEX('分群統計'!$P$5:$P$8,MATCH(X305,'分群統計'!$A$5:$A$8,0)))),0)),""))</f>
        <v/>
      </c>
      <c r="AP305" s="31">
        <f>IF(BC305&lt;&gt;1,"",IFERROR(IF(INDEX('分群統計'!$Q$5:$Q$8,MATCH(X305,'分群統計'!$A$5:$A$8,0))&lt;3,"",IF(INDEX('分群統計'!$S$5:$S$8,MATCH(X305,'分群統計'!$A$5:$A$8,0))&gt;0,MAX(-3,MIN(3,(BB305-INDEX('分群統計'!$R$5:$R$8,MATCH(X305,'分群統計'!$A$5:$A$8,0)))/INDEX('分群統計'!$S$5:$S$8,MATCH(X305,'分群統計'!$A$5:$A$8,0)))),0)),""))</f>
        <v/>
      </c>
      <c r="AQ305" s="31">
        <f>IF(Y305=1,(IF(ISNUMBER(AF305),AF305,0)*'參數'!$B$13+IF(ISNUMBER(AM305),AM305,0)*'參數'!$B$14+IF(ISNUMBER(AO305),AO305,0)*'參數'!$B$15+IF(ISNUMBER(AP305),AP305,0)*'參數'!$B$16)/('參數'!$B$13+'參數'!$B$14+'參數'!$B$15+'參數'!$B$16),"")</f>
        <v/>
      </c>
      <c r="AR305" s="35">
        <f>IF(Y305=1,(SUMPRODUCT(($X$5:$X$404=X305)*($Y$5:$Y$404=1)*($BD$5:$BD$404&gt;BD305))+1)/COUNTIFS($X$5:$X$404,X305,$Y$5:$Y$404,1),"")</f>
        <v/>
      </c>
      <c r="AS305" s="8">
        <f>IF(ISNUMBER(AR305),IF(AR305&lt;='參數'!$B$18,"加碼候選",IF(AR305&gt;'參數'!$B$19,"減碼候選","")),"")</f>
        <v/>
      </c>
      <c r="AT305" s="7">
        <f>IF(Y305=1,N305,0)</f>
        <v/>
      </c>
      <c r="AU305" s="7">
        <f>IF(Y305=1,LN(O305),0)</f>
        <v/>
      </c>
      <c r="AV305" s="36">
        <f>IF(Y305=1,IF(ISNUMBER(F305),F305,0),0)</f>
        <v/>
      </c>
      <c r="AW305" s="7">
        <f>IF(Y305=1,Z305,0)</f>
        <v/>
      </c>
      <c r="AX305" s="7">
        <f>IF(Y305=1,IF(ISNUMBER(AL305),AL305,0),0)</f>
        <v/>
      </c>
      <c r="AY305" s="7">
        <f>IF(Y305=1,IF(ISNUMBER(AL305),1,0),0)</f>
        <v/>
      </c>
      <c r="AZ305" s="7">
        <f>IF(Y305=1,IF(ISNUMBER(AN305),AN305,0),0)</f>
        <v/>
      </c>
      <c r="BA305" s="7">
        <f>IF(Y305=1,IF(ISNUMBER(AN305),1,0),0)</f>
        <v/>
      </c>
      <c r="BB305" s="7">
        <f>IF(Y305=1,IF(ISNUMBER(T305),T305,0),0)</f>
        <v/>
      </c>
      <c r="BC305" s="7">
        <f>IF(Y305=1,IF(ISNUMBER(T305),1,0),0)</f>
        <v/>
      </c>
      <c r="BD305" s="7">
        <f>IF(Y305=1,AQ305+ROW()/1E9,-1E9)</f>
        <v/>
      </c>
      <c r="BE305" s="7">
        <f>IF(Y305=1,AQ305+ROW()/1E9,1E9)</f>
        <v/>
      </c>
    </row>
    <row r="306">
      <c r="A306" s="16" t="n"/>
      <c r="B306" s="8">
        <f>IF($A306="","",BDP($A306,B$3))</f>
        <v/>
      </c>
      <c r="C306" s="8">
        <f>IF($A306="","",BDP($A306,C$3))</f>
        <v/>
      </c>
      <c r="D306" s="28">
        <f>IF($A306="","",BDP($A306,D$3))</f>
        <v/>
      </c>
      <c r="E306" s="29">
        <f>IF($A306="","",BDP($A306,E$3))</f>
        <v/>
      </c>
      <c r="F306" s="17">
        <f>IF($A306="","",BDP($A306,F$3))</f>
        <v/>
      </c>
      <c r="G306" s="8">
        <f>IF($A306="","",BDP($A306,G$3))</f>
        <v/>
      </c>
      <c r="H306" s="8">
        <f>IF($A306="","",BDP($A306,H$3))</f>
        <v/>
      </c>
      <c r="I306" s="8">
        <f>IF($A306="","",BDP($A306,I$3))</f>
        <v/>
      </c>
      <c r="J306" s="8">
        <f>IF($A306="","",BDP($A306,J$3))</f>
        <v/>
      </c>
      <c r="K306" s="8">
        <f>IF($A306="","",BDP($A306,K$3))</f>
        <v/>
      </c>
      <c r="L306" s="28">
        <f>IF($A306="","",BDP($A306,L$3))</f>
        <v/>
      </c>
      <c r="M306" s="28">
        <f>IF($A306="","",BDP($A306,M$3))</f>
        <v/>
      </c>
      <c r="N306" s="30">
        <f>IF($A306="","",BDP($A306,N$3))</f>
        <v/>
      </c>
      <c r="O306" s="31">
        <f>IF($A306="","",BDP($A306,O$3))</f>
        <v/>
      </c>
      <c r="P306" s="30">
        <f>IF($A306="","",BDH($A306,$N$3,'參數'!$B$5,'參數'!$B$5,"Days=A","Fill=P","Dates=H"))</f>
        <v/>
      </c>
      <c r="Q306" s="30">
        <f>IF($A306="","",BDH($A306,$N$3,'參數'!$B$6,'參數'!$B$6,"Days=A","Fill=P","Dates=H"))</f>
        <v/>
      </c>
      <c r="R306" s="30">
        <f>IF($A306="","",BDH($A306,$N$3,'參數'!$B$7,'參數'!$B$7,"Days=A","Fill=P","Dates=H"))</f>
        <v/>
      </c>
      <c r="S306" s="32">
        <f>IF($A306="","",IFERROR(INDEX('發行人'!$A$5:$A$44,MATCH(B306,'發行人'!$D$5:$D$44,0)),"未對應"))</f>
        <v/>
      </c>
      <c r="T306" s="24">
        <f>IF($A306="","",IFERROR(INDEX('發行人'!$G$5:$G$44,MATCH(B306,'發行人'!$D$5:$D$44,0))+0,""))</f>
        <v/>
      </c>
      <c r="U306" s="18">
        <f>IF(ISNUMBER(E306),YEARFRAC('參數'!$B$4,E306),"")</f>
        <v/>
      </c>
      <c r="V306" s="8">
        <f>IF(U306="","",IF(U306&lt;3,"1-3y",IF(U306&lt;5,"3-5y",IF(U306&lt;7,"5-7y",IF(U306&lt;10,"7-10y","10y+")))))</f>
        <v/>
      </c>
      <c r="W306" s="30">
        <f>IF($A306="","",IFERROR(INDEX('參數'!$B$24:$B$45,MATCH(G306,'參數'!$A$24:$A$45,0)),""))</f>
        <v/>
      </c>
      <c r="X306" s="8">
        <f>IF($A306="","",IFERROR(INDEX('參數'!$C$24:$C$45,MATCH(G306,'參數'!$A$24:$A$45,0)),""))</f>
        <v/>
      </c>
      <c r="Y306" s="30">
        <f>IF(AND(ISNUMBER(N306),ISNUMBER(O306),ISNUMBER(U306)),IF(AND(O306&gt;0,X306&lt;&gt;""),1,0),0)</f>
        <v/>
      </c>
      <c r="Z306" s="17">
        <f>IF(Y306=1,O306*N306,"")</f>
        <v/>
      </c>
      <c r="AA306" s="33">
        <f>IF(Y306=1,IF(ISNUMBER(Q306),N306-Q306,""),"")</f>
        <v/>
      </c>
      <c r="AB306" s="33">
        <f>IF(Y306=1,IF(AND(ISNUMBER(P306),ISNUMBER(R306)),R306*5/12-O306*(P306-R306),""),"")</f>
        <v/>
      </c>
      <c r="AC306" s="30">
        <f>IF(Y306=1,COUNTIFS($X$5:$X$404,X306,$V$5:$V$404,V306,$Y$5:$Y$404,1),"")</f>
        <v/>
      </c>
      <c r="AD306" s="30">
        <f>IF(Y306=1,IFERROR(IF(AC306&gt;='參數'!$B$9,INDEX('分群統計'!$G$13:$K$16,MATCH(X306,'分群統計'!$A$13:$A$16,0),MATCH(V306,'分群統計'!$G$12:$K$12,0)),INDEX('分群統計'!$I$5:$I$8,MATCH(X306,'分群統計'!$A$5:$A$8,0))),""),"")</f>
        <v/>
      </c>
      <c r="AE306" s="18">
        <f>IF(Y306=1,IFERROR(IF(AC306&gt;='參數'!$B$9,INDEX('分群統計'!$L$13:$P$16,MATCH(X306,'分群統計'!$A$13:$A$16,0),MATCH(V306,'分群統計'!$L$12:$P$12,0)),INDEX('分群統計'!$J$5:$J$8,MATCH(X306,'分群統計'!$A$5:$A$8,0))),""),"")</f>
        <v/>
      </c>
      <c r="AF306" s="31">
        <f>IF(ISNUMBER(AE306),IF(AE306&gt;0,MAX(-3,MIN(3,(N306-AD306)/AE306)),0),"")</f>
        <v/>
      </c>
      <c r="AG306" s="30">
        <f>IF(Y306=1,COUNTIFS($B$5:$B$404,B306,$Y$5:$Y$404,1),"")</f>
        <v/>
      </c>
      <c r="AH306" s="30">
        <f>IF(Y306=1,IFERROR(IF(ISNUMBER(INDEX('分群統計'!$G$20:$G$59,MATCH(B306,'分群統計'!$A$20:$A$59,0))),INDEX('分群統計'!$H$20:$H$59,MATCH(B306,'分群統計'!$A$20:$A$59,0))+INDEX('分群統計'!$G$20:$G$59,MATCH(B306,'分群統計'!$A$20:$A$59,0))*AU306,""),""),"")</f>
        <v/>
      </c>
      <c r="AI306" s="34">
        <f>IF(ISNUMBER(AH306),N306-AH306,"")</f>
        <v/>
      </c>
      <c r="AJ306" s="30">
        <f>IF(Y306=1,IFERROR(IF(ISNUMBER(INDEX('分群統計'!$G$5:$G$8,MATCH(X306,'分群統計'!$A$5:$A$8,0))),INDEX('分群統計'!$H$5:$H$8,MATCH(X306,'分群統計'!$A$5:$A$8,0))+INDEX('分群統計'!$G$5:$G$8,MATCH(X306,'分群統計'!$A$5:$A$8,0))*AU306,""),""),"")</f>
        <v/>
      </c>
      <c r="AK306" s="34">
        <f>IF(ISNUMBER(AJ306),N306-AJ306,"")</f>
        <v/>
      </c>
      <c r="AL306" s="21">
        <f>IF(ISNUMBER(AJ306),IF(AJ306&gt;0,AK306/AJ306,""),"")</f>
        <v/>
      </c>
      <c r="AM306" s="31">
        <f>IF(AY306&lt;&gt;1,"",IFERROR(IF(INDEX('分群統計'!$K$5:$K$8,MATCH(X306,'分群統計'!$A$5:$A$8,0))&lt;3,"",IF(INDEX('分群統計'!$M$5:$M$8,MATCH(X306,'分群統計'!$A$5:$A$8,0))&gt;0,MAX(-3,MIN(3,(AX306-INDEX('分群統計'!$L$5:$L$8,MATCH(X306,'分群統計'!$A$5:$A$8,0)))/INDEX('分群統計'!$M$5:$M$8,MATCH(X306,'分群統計'!$A$5:$A$8,0)))),0)),""))</f>
        <v/>
      </c>
      <c r="AN306" s="31">
        <f>IF(ISNUMBER(AB306),IF(Z306&gt;0,AB306/Z306*100,""),"")</f>
        <v/>
      </c>
      <c r="AO306" s="31">
        <f>IF(BA306&lt;&gt;1,"",IFERROR(IF(INDEX('分群統計'!$N$5:$N$8,MATCH(X306,'分群統計'!$A$5:$A$8,0))&lt;3,"",IF(INDEX('分群統計'!$P$5:$P$8,MATCH(X306,'分群統計'!$A$5:$A$8,0))&gt;0,MAX(-3,MIN(3,(AZ306-INDEX('分群統計'!$O$5:$O$8,MATCH(X306,'分群統計'!$A$5:$A$8,0)))/INDEX('分群統計'!$P$5:$P$8,MATCH(X306,'分群統計'!$A$5:$A$8,0)))),0)),""))</f>
        <v/>
      </c>
      <c r="AP306" s="31">
        <f>IF(BC306&lt;&gt;1,"",IFERROR(IF(INDEX('分群統計'!$Q$5:$Q$8,MATCH(X306,'分群統計'!$A$5:$A$8,0))&lt;3,"",IF(INDEX('分群統計'!$S$5:$S$8,MATCH(X306,'分群統計'!$A$5:$A$8,0))&gt;0,MAX(-3,MIN(3,(BB306-INDEX('分群統計'!$R$5:$R$8,MATCH(X306,'分群統計'!$A$5:$A$8,0)))/INDEX('分群統計'!$S$5:$S$8,MATCH(X306,'分群統計'!$A$5:$A$8,0)))),0)),""))</f>
        <v/>
      </c>
      <c r="AQ306" s="31">
        <f>IF(Y306=1,(IF(ISNUMBER(AF306),AF306,0)*'參數'!$B$13+IF(ISNUMBER(AM306),AM306,0)*'參數'!$B$14+IF(ISNUMBER(AO306),AO306,0)*'參數'!$B$15+IF(ISNUMBER(AP306),AP306,0)*'參數'!$B$16)/('參數'!$B$13+'參數'!$B$14+'參數'!$B$15+'參數'!$B$16),"")</f>
        <v/>
      </c>
      <c r="AR306" s="35">
        <f>IF(Y306=1,(SUMPRODUCT(($X$5:$X$404=X306)*($Y$5:$Y$404=1)*($BD$5:$BD$404&gt;BD306))+1)/COUNTIFS($X$5:$X$404,X306,$Y$5:$Y$404,1),"")</f>
        <v/>
      </c>
      <c r="AS306" s="8">
        <f>IF(ISNUMBER(AR306),IF(AR306&lt;='參數'!$B$18,"加碼候選",IF(AR306&gt;'參數'!$B$19,"減碼候選","")),"")</f>
        <v/>
      </c>
      <c r="AT306" s="7">
        <f>IF(Y306=1,N306,0)</f>
        <v/>
      </c>
      <c r="AU306" s="7">
        <f>IF(Y306=1,LN(O306),0)</f>
        <v/>
      </c>
      <c r="AV306" s="36">
        <f>IF(Y306=1,IF(ISNUMBER(F306),F306,0),0)</f>
        <v/>
      </c>
      <c r="AW306" s="7">
        <f>IF(Y306=1,Z306,0)</f>
        <v/>
      </c>
      <c r="AX306" s="7">
        <f>IF(Y306=1,IF(ISNUMBER(AL306),AL306,0),0)</f>
        <v/>
      </c>
      <c r="AY306" s="7">
        <f>IF(Y306=1,IF(ISNUMBER(AL306),1,0),0)</f>
        <v/>
      </c>
      <c r="AZ306" s="7">
        <f>IF(Y306=1,IF(ISNUMBER(AN306),AN306,0),0)</f>
        <v/>
      </c>
      <c r="BA306" s="7">
        <f>IF(Y306=1,IF(ISNUMBER(AN306),1,0),0)</f>
        <v/>
      </c>
      <c r="BB306" s="7">
        <f>IF(Y306=1,IF(ISNUMBER(T306),T306,0),0)</f>
        <v/>
      </c>
      <c r="BC306" s="7">
        <f>IF(Y306=1,IF(ISNUMBER(T306),1,0),0)</f>
        <v/>
      </c>
      <c r="BD306" s="7">
        <f>IF(Y306=1,AQ306+ROW()/1E9,-1E9)</f>
        <v/>
      </c>
      <c r="BE306" s="7">
        <f>IF(Y306=1,AQ306+ROW()/1E9,1E9)</f>
        <v/>
      </c>
    </row>
    <row r="307">
      <c r="A307" s="16" t="n"/>
      <c r="B307" s="8">
        <f>IF($A307="","",BDP($A307,B$3))</f>
        <v/>
      </c>
      <c r="C307" s="8">
        <f>IF($A307="","",BDP($A307,C$3))</f>
        <v/>
      </c>
      <c r="D307" s="28">
        <f>IF($A307="","",BDP($A307,D$3))</f>
        <v/>
      </c>
      <c r="E307" s="29">
        <f>IF($A307="","",BDP($A307,E$3))</f>
        <v/>
      </c>
      <c r="F307" s="17">
        <f>IF($A307="","",BDP($A307,F$3))</f>
        <v/>
      </c>
      <c r="G307" s="8">
        <f>IF($A307="","",BDP($A307,G$3))</f>
        <v/>
      </c>
      <c r="H307" s="8">
        <f>IF($A307="","",BDP($A307,H$3))</f>
        <v/>
      </c>
      <c r="I307" s="8">
        <f>IF($A307="","",BDP($A307,I$3))</f>
        <v/>
      </c>
      <c r="J307" s="8">
        <f>IF($A307="","",BDP($A307,J$3))</f>
        <v/>
      </c>
      <c r="K307" s="8">
        <f>IF($A307="","",BDP($A307,K$3))</f>
        <v/>
      </c>
      <c r="L307" s="28">
        <f>IF($A307="","",BDP($A307,L$3))</f>
        <v/>
      </c>
      <c r="M307" s="28">
        <f>IF($A307="","",BDP($A307,M$3))</f>
        <v/>
      </c>
      <c r="N307" s="30">
        <f>IF($A307="","",BDP($A307,N$3))</f>
        <v/>
      </c>
      <c r="O307" s="31">
        <f>IF($A307="","",BDP($A307,O$3))</f>
        <v/>
      </c>
      <c r="P307" s="30">
        <f>IF($A307="","",BDH($A307,$N$3,'參數'!$B$5,'參數'!$B$5,"Days=A","Fill=P","Dates=H"))</f>
        <v/>
      </c>
      <c r="Q307" s="30">
        <f>IF($A307="","",BDH($A307,$N$3,'參數'!$B$6,'參數'!$B$6,"Days=A","Fill=P","Dates=H"))</f>
        <v/>
      </c>
      <c r="R307" s="30">
        <f>IF($A307="","",BDH($A307,$N$3,'參數'!$B$7,'參數'!$B$7,"Days=A","Fill=P","Dates=H"))</f>
        <v/>
      </c>
      <c r="S307" s="32">
        <f>IF($A307="","",IFERROR(INDEX('發行人'!$A$5:$A$44,MATCH(B307,'發行人'!$D$5:$D$44,0)),"未對應"))</f>
        <v/>
      </c>
      <c r="T307" s="24">
        <f>IF($A307="","",IFERROR(INDEX('發行人'!$G$5:$G$44,MATCH(B307,'發行人'!$D$5:$D$44,0))+0,""))</f>
        <v/>
      </c>
      <c r="U307" s="18">
        <f>IF(ISNUMBER(E307),YEARFRAC('參數'!$B$4,E307),"")</f>
        <v/>
      </c>
      <c r="V307" s="8">
        <f>IF(U307="","",IF(U307&lt;3,"1-3y",IF(U307&lt;5,"3-5y",IF(U307&lt;7,"5-7y",IF(U307&lt;10,"7-10y","10y+")))))</f>
        <v/>
      </c>
      <c r="W307" s="30">
        <f>IF($A307="","",IFERROR(INDEX('參數'!$B$24:$B$45,MATCH(G307,'參數'!$A$24:$A$45,0)),""))</f>
        <v/>
      </c>
      <c r="X307" s="8">
        <f>IF($A307="","",IFERROR(INDEX('參數'!$C$24:$C$45,MATCH(G307,'參數'!$A$24:$A$45,0)),""))</f>
        <v/>
      </c>
      <c r="Y307" s="30">
        <f>IF(AND(ISNUMBER(N307),ISNUMBER(O307),ISNUMBER(U307)),IF(AND(O307&gt;0,X307&lt;&gt;""),1,0),0)</f>
        <v/>
      </c>
      <c r="Z307" s="17">
        <f>IF(Y307=1,O307*N307,"")</f>
        <v/>
      </c>
      <c r="AA307" s="33">
        <f>IF(Y307=1,IF(ISNUMBER(Q307),N307-Q307,""),"")</f>
        <v/>
      </c>
      <c r="AB307" s="33">
        <f>IF(Y307=1,IF(AND(ISNUMBER(P307),ISNUMBER(R307)),R307*5/12-O307*(P307-R307),""),"")</f>
        <v/>
      </c>
      <c r="AC307" s="30">
        <f>IF(Y307=1,COUNTIFS($X$5:$X$404,X307,$V$5:$V$404,V307,$Y$5:$Y$404,1),"")</f>
        <v/>
      </c>
      <c r="AD307" s="30">
        <f>IF(Y307=1,IFERROR(IF(AC307&gt;='參數'!$B$9,INDEX('分群統計'!$G$13:$K$16,MATCH(X307,'分群統計'!$A$13:$A$16,0),MATCH(V307,'分群統計'!$G$12:$K$12,0)),INDEX('分群統計'!$I$5:$I$8,MATCH(X307,'分群統計'!$A$5:$A$8,0))),""),"")</f>
        <v/>
      </c>
      <c r="AE307" s="18">
        <f>IF(Y307=1,IFERROR(IF(AC307&gt;='參數'!$B$9,INDEX('分群統計'!$L$13:$P$16,MATCH(X307,'分群統計'!$A$13:$A$16,0),MATCH(V307,'分群統計'!$L$12:$P$12,0)),INDEX('分群統計'!$J$5:$J$8,MATCH(X307,'分群統計'!$A$5:$A$8,0))),""),"")</f>
        <v/>
      </c>
      <c r="AF307" s="31">
        <f>IF(ISNUMBER(AE307),IF(AE307&gt;0,MAX(-3,MIN(3,(N307-AD307)/AE307)),0),"")</f>
        <v/>
      </c>
      <c r="AG307" s="30">
        <f>IF(Y307=1,COUNTIFS($B$5:$B$404,B307,$Y$5:$Y$404,1),"")</f>
        <v/>
      </c>
      <c r="AH307" s="30">
        <f>IF(Y307=1,IFERROR(IF(ISNUMBER(INDEX('分群統計'!$G$20:$G$59,MATCH(B307,'分群統計'!$A$20:$A$59,0))),INDEX('分群統計'!$H$20:$H$59,MATCH(B307,'分群統計'!$A$20:$A$59,0))+INDEX('分群統計'!$G$20:$G$59,MATCH(B307,'分群統計'!$A$20:$A$59,0))*AU307,""),""),"")</f>
        <v/>
      </c>
      <c r="AI307" s="34">
        <f>IF(ISNUMBER(AH307),N307-AH307,"")</f>
        <v/>
      </c>
      <c r="AJ307" s="30">
        <f>IF(Y307=1,IFERROR(IF(ISNUMBER(INDEX('分群統計'!$G$5:$G$8,MATCH(X307,'分群統計'!$A$5:$A$8,0))),INDEX('分群統計'!$H$5:$H$8,MATCH(X307,'分群統計'!$A$5:$A$8,0))+INDEX('分群統計'!$G$5:$G$8,MATCH(X307,'分群統計'!$A$5:$A$8,0))*AU307,""),""),"")</f>
        <v/>
      </c>
      <c r="AK307" s="34">
        <f>IF(ISNUMBER(AJ307),N307-AJ307,"")</f>
        <v/>
      </c>
      <c r="AL307" s="21">
        <f>IF(ISNUMBER(AJ307),IF(AJ307&gt;0,AK307/AJ307,""),"")</f>
        <v/>
      </c>
      <c r="AM307" s="31">
        <f>IF(AY307&lt;&gt;1,"",IFERROR(IF(INDEX('分群統計'!$K$5:$K$8,MATCH(X307,'分群統計'!$A$5:$A$8,0))&lt;3,"",IF(INDEX('分群統計'!$M$5:$M$8,MATCH(X307,'分群統計'!$A$5:$A$8,0))&gt;0,MAX(-3,MIN(3,(AX307-INDEX('分群統計'!$L$5:$L$8,MATCH(X307,'分群統計'!$A$5:$A$8,0)))/INDEX('分群統計'!$M$5:$M$8,MATCH(X307,'分群統計'!$A$5:$A$8,0)))),0)),""))</f>
        <v/>
      </c>
      <c r="AN307" s="31">
        <f>IF(ISNUMBER(AB307),IF(Z307&gt;0,AB307/Z307*100,""),"")</f>
        <v/>
      </c>
      <c r="AO307" s="31">
        <f>IF(BA307&lt;&gt;1,"",IFERROR(IF(INDEX('分群統計'!$N$5:$N$8,MATCH(X307,'分群統計'!$A$5:$A$8,0))&lt;3,"",IF(INDEX('分群統計'!$P$5:$P$8,MATCH(X307,'分群統計'!$A$5:$A$8,0))&gt;0,MAX(-3,MIN(3,(AZ307-INDEX('分群統計'!$O$5:$O$8,MATCH(X307,'分群統計'!$A$5:$A$8,0)))/INDEX('分群統計'!$P$5:$P$8,MATCH(X307,'分群統計'!$A$5:$A$8,0)))),0)),""))</f>
        <v/>
      </c>
      <c r="AP307" s="31">
        <f>IF(BC307&lt;&gt;1,"",IFERROR(IF(INDEX('分群統計'!$Q$5:$Q$8,MATCH(X307,'分群統計'!$A$5:$A$8,0))&lt;3,"",IF(INDEX('分群統計'!$S$5:$S$8,MATCH(X307,'分群統計'!$A$5:$A$8,0))&gt;0,MAX(-3,MIN(3,(BB307-INDEX('分群統計'!$R$5:$R$8,MATCH(X307,'分群統計'!$A$5:$A$8,0)))/INDEX('分群統計'!$S$5:$S$8,MATCH(X307,'分群統計'!$A$5:$A$8,0)))),0)),""))</f>
        <v/>
      </c>
      <c r="AQ307" s="31">
        <f>IF(Y307=1,(IF(ISNUMBER(AF307),AF307,0)*'參數'!$B$13+IF(ISNUMBER(AM307),AM307,0)*'參數'!$B$14+IF(ISNUMBER(AO307),AO307,0)*'參數'!$B$15+IF(ISNUMBER(AP307),AP307,0)*'參數'!$B$16)/('參數'!$B$13+'參數'!$B$14+'參數'!$B$15+'參數'!$B$16),"")</f>
        <v/>
      </c>
      <c r="AR307" s="35">
        <f>IF(Y307=1,(SUMPRODUCT(($X$5:$X$404=X307)*($Y$5:$Y$404=1)*($BD$5:$BD$404&gt;BD307))+1)/COUNTIFS($X$5:$X$404,X307,$Y$5:$Y$404,1),"")</f>
        <v/>
      </c>
      <c r="AS307" s="8">
        <f>IF(ISNUMBER(AR307),IF(AR307&lt;='參數'!$B$18,"加碼候選",IF(AR307&gt;'參數'!$B$19,"減碼候選","")),"")</f>
        <v/>
      </c>
      <c r="AT307" s="7">
        <f>IF(Y307=1,N307,0)</f>
        <v/>
      </c>
      <c r="AU307" s="7">
        <f>IF(Y307=1,LN(O307),0)</f>
        <v/>
      </c>
      <c r="AV307" s="36">
        <f>IF(Y307=1,IF(ISNUMBER(F307),F307,0),0)</f>
        <v/>
      </c>
      <c r="AW307" s="7">
        <f>IF(Y307=1,Z307,0)</f>
        <v/>
      </c>
      <c r="AX307" s="7">
        <f>IF(Y307=1,IF(ISNUMBER(AL307),AL307,0),0)</f>
        <v/>
      </c>
      <c r="AY307" s="7">
        <f>IF(Y307=1,IF(ISNUMBER(AL307),1,0),0)</f>
        <v/>
      </c>
      <c r="AZ307" s="7">
        <f>IF(Y307=1,IF(ISNUMBER(AN307),AN307,0),0)</f>
        <v/>
      </c>
      <c r="BA307" s="7">
        <f>IF(Y307=1,IF(ISNUMBER(AN307),1,0),0)</f>
        <v/>
      </c>
      <c r="BB307" s="7">
        <f>IF(Y307=1,IF(ISNUMBER(T307),T307,0),0)</f>
        <v/>
      </c>
      <c r="BC307" s="7">
        <f>IF(Y307=1,IF(ISNUMBER(T307),1,0),0)</f>
        <v/>
      </c>
      <c r="BD307" s="7">
        <f>IF(Y307=1,AQ307+ROW()/1E9,-1E9)</f>
        <v/>
      </c>
      <c r="BE307" s="7">
        <f>IF(Y307=1,AQ307+ROW()/1E9,1E9)</f>
        <v/>
      </c>
    </row>
    <row r="308">
      <c r="A308" s="16" t="n"/>
      <c r="B308" s="8">
        <f>IF($A308="","",BDP($A308,B$3))</f>
        <v/>
      </c>
      <c r="C308" s="8">
        <f>IF($A308="","",BDP($A308,C$3))</f>
        <v/>
      </c>
      <c r="D308" s="28">
        <f>IF($A308="","",BDP($A308,D$3))</f>
        <v/>
      </c>
      <c r="E308" s="29">
        <f>IF($A308="","",BDP($A308,E$3))</f>
        <v/>
      </c>
      <c r="F308" s="17">
        <f>IF($A308="","",BDP($A308,F$3))</f>
        <v/>
      </c>
      <c r="G308" s="8">
        <f>IF($A308="","",BDP($A308,G$3))</f>
        <v/>
      </c>
      <c r="H308" s="8">
        <f>IF($A308="","",BDP($A308,H$3))</f>
        <v/>
      </c>
      <c r="I308" s="8">
        <f>IF($A308="","",BDP($A308,I$3))</f>
        <v/>
      </c>
      <c r="J308" s="8">
        <f>IF($A308="","",BDP($A308,J$3))</f>
        <v/>
      </c>
      <c r="K308" s="8">
        <f>IF($A308="","",BDP($A308,K$3))</f>
        <v/>
      </c>
      <c r="L308" s="28">
        <f>IF($A308="","",BDP($A308,L$3))</f>
        <v/>
      </c>
      <c r="M308" s="28">
        <f>IF($A308="","",BDP($A308,M$3))</f>
        <v/>
      </c>
      <c r="N308" s="30">
        <f>IF($A308="","",BDP($A308,N$3))</f>
        <v/>
      </c>
      <c r="O308" s="31">
        <f>IF($A308="","",BDP($A308,O$3))</f>
        <v/>
      </c>
      <c r="P308" s="30">
        <f>IF($A308="","",BDH($A308,$N$3,'參數'!$B$5,'參數'!$B$5,"Days=A","Fill=P","Dates=H"))</f>
        <v/>
      </c>
      <c r="Q308" s="30">
        <f>IF($A308="","",BDH($A308,$N$3,'參數'!$B$6,'參數'!$B$6,"Days=A","Fill=P","Dates=H"))</f>
        <v/>
      </c>
      <c r="R308" s="30">
        <f>IF($A308="","",BDH($A308,$N$3,'參數'!$B$7,'參數'!$B$7,"Days=A","Fill=P","Dates=H"))</f>
        <v/>
      </c>
      <c r="S308" s="32">
        <f>IF($A308="","",IFERROR(INDEX('發行人'!$A$5:$A$44,MATCH(B308,'發行人'!$D$5:$D$44,0)),"未對應"))</f>
        <v/>
      </c>
      <c r="T308" s="24">
        <f>IF($A308="","",IFERROR(INDEX('發行人'!$G$5:$G$44,MATCH(B308,'發行人'!$D$5:$D$44,0))+0,""))</f>
        <v/>
      </c>
      <c r="U308" s="18">
        <f>IF(ISNUMBER(E308),YEARFRAC('參數'!$B$4,E308),"")</f>
        <v/>
      </c>
      <c r="V308" s="8">
        <f>IF(U308="","",IF(U308&lt;3,"1-3y",IF(U308&lt;5,"3-5y",IF(U308&lt;7,"5-7y",IF(U308&lt;10,"7-10y","10y+")))))</f>
        <v/>
      </c>
      <c r="W308" s="30">
        <f>IF($A308="","",IFERROR(INDEX('參數'!$B$24:$B$45,MATCH(G308,'參數'!$A$24:$A$45,0)),""))</f>
        <v/>
      </c>
      <c r="X308" s="8">
        <f>IF($A308="","",IFERROR(INDEX('參數'!$C$24:$C$45,MATCH(G308,'參數'!$A$24:$A$45,0)),""))</f>
        <v/>
      </c>
      <c r="Y308" s="30">
        <f>IF(AND(ISNUMBER(N308),ISNUMBER(O308),ISNUMBER(U308)),IF(AND(O308&gt;0,X308&lt;&gt;""),1,0),0)</f>
        <v/>
      </c>
      <c r="Z308" s="17">
        <f>IF(Y308=1,O308*N308,"")</f>
        <v/>
      </c>
      <c r="AA308" s="33">
        <f>IF(Y308=1,IF(ISNUMBER(Q308),N308-Q308,""),"")</f>
        <v/>
      </c>
      <c r="AB308" s="33">
        <f>IF(Y308=1,IF(AND(ISNUMBER(P308),ISNUMBER(R308)),R308*5/12-O308*(P308-R308),""),"")</f>
        <v/>
      </c>
      <c r="AC308" s="30">
        <f>IF(Y308=1,COUNTIFS($X$5:$X$404,X308,$V$5:$V$404,V308,$Y$5:$Y$404,1),"")</f>
        <v/>
      </c>
      <c r="AD308" s="30">
        <f>IF(Y308=1,IFERROR(IF(AC308&gt;='參數'!$B$9,INDEX('分群統計'!$G$13:$K$16,MATCH(X308,'分群統計'!$A$13:$A$16,0),MATCH(V308,'分群統計'!$G$12:$K$12,0)),INDEX('分群統計'!$I$5:$I$8,MATCH(X308,'分群統計'!$A$5:$A$8,0))),""),"")</f>
        <v/>
      </c>
      <c r="AE308" s="18">
        <f>IF(Y308=1,IFERROR(IF(AC308&gt;='參數'!$B$9,INDEX('分群統計'!$L$13:$P$16,MATCH(X308,'分群統計'!$A$13:$A$16,0),MATCH(V308,'分群統計'!$L$12:$P$12,0)),INDEX('分群統計'!$J$5:$J$8,MATCH(X308,'分群統計'!$A$5:$A$8,0))),""),"")</f>
        <v/>
      </c>
      <c r="AF308" s="31">
        <f>IF(ISNUMBER(AE308),IF(AE308&gt;0,MAX(-3,MIN(3,(N308-AD308)/AE308)),0),"")</f>
        <v/>
      </c>
      <c r="AG308" s="30">
        <f>IF(Y308=1,COUNTIFS($B$5:$B$404,B308,$Y$5:$Y$404,1),"")</f>
        <v/>
      </c>
      <c r="AH308" s="30">
        <f>IF(Y308=1,IFERROR(IF(ISNUMBER(INDEX('分群統計'!$G$20:$G$59,MATCH(B308,'分群統計'!$A$20:$A$59,0))),INDEX('分群統計'!$H$20:$H$59,MATCH(B308,'分群統計'!$A$20:$A$59,0))+INDEX('分群統計'!$G$20:$G$59,MATCH(B308,'分群統計'!$A$20:$A$59,0))*AU308,""),""),"")</f>
        <v/>
      </c>
      <c r="AI308" s="34">
        <f>IF(ISNUMBER(AH308),N308-AH308,"")</f>
        <v/>
      </c>
      <c r="AJ308" s="30">
        <f>IF(Y308=1,IFERROR(IF(ISNUMBER(INDEX('分群統計'!$G$5:$G$8,MATCH(X308,'分群統計'!$A$5:$A$8,0))),INDEX('分群統計'!$H$5:$H$8,MATCH(X308,'分群統計'!$A$5:$A$8,0))+INDEX('分群統計'!$G$5:$G$8,MATCH(X308,'分群統計'!$A$5:$A$8,0))*AU308,""),""),"")</f>
        <v/>
      </c>
      <c r="AK308" s="34">
        <f>IF(ISNUMBER(AJ308),N308-AJ308,"")</f>
        <v/>
      </c>
      <c r="AL308" s="21">
        <f>IF(ISNUMBER(AJ308),IF(AJ308&gt;0,AK308/AJ308,""),"")</f>
        <v/>
      </c>
      <c r="AM308" s="31">
        <f>IF(AY308&lt;&gt;1,"",IFERROR(IF(INDEX('分群統計'!$K$5:$K$8,MATCH(X308,'分群統計'!$A$5:$A$8,0))&lt;3,"",IF(INDEX('分群統計'!$M$5:$M$8,MATCH(X308,'分群統計'!$A$5:$A$8,0))&gt;0,MAX(-3,MIN(3,(AX308-INDEX('分群統計'!$L$5:$L$8,MATCH(X308,'分群統計'!$A$5:$A$8,0)))/INDEX('分群統計'!$M$5:$M$8,MATCH(X308,'分群統計'!$A$5:$A$8,0)))),0)),""))</f>
        <v/>
      </c>
      <c r="AN308" s="31">
        <f>IF(ISNUMBER(AB308),IF(Z308&gt;0,AB308/Z308*100,""),"")</f>
        <v/>
      </c>
      <c r="AO308" s="31">
        <f>IF(BA308&lt;&gt;1,"",IFERROR(IF(INDEX('分群統計'!$N$5:$N$8,MATCH(X308,'分群統計'!$A$5:$A$8,0))&lt;3,"",IF(INDEX('分群統計'!$P$5:$P$8,MATCH(X308,'分群統計'!$A$5:$A$8,0))&gt;0,MAX(-3,MIN(3,(AZ308-INDEX('分群統計'!$O$5:$O$8,MATCH(X308,'分群統計'!$A$5:$A$8,0)))/INDEX('分群統計'!$P$5:$P$8,MATCH(X308,'分群統計'!$A$5:$A$8,0)))),0)),""))</f>
        <v/>
      </c>
      <c r="AP308" s="31">
        <f>IF(BC308&lt;&gt;1,"",IFERROR(IF(INDEX('分群統計'!$Q$5:$Q$8,MATCH(X308,'分群統計'!$A$5:$A$8,0))&lt;3,"",IF(INDEX('分群統計'!$S$5:$S$8,MATCH(X308,'分群統計'!$A$5:$A$8,0))&gt;0,MAX(-3,MIN(3,(BB308-INDEX('分群統計'!$R$5:$R$8,MATCH(X308,'分群統計'!$A$5:$A$8,0)))/INDEX('分群統計'!$S$5:$S$8,MATCH(X308,'分群統計'!$A$5:$A$8,0)))),0)),""))</f>
        <v/>
      </c>
      <c r="AQ308" s="31">
        <f>IF(Y308=1,(IF(ISNUMBER(AF308),AF308,0)*'參數'!$B$13+IF(ISNUMBER(AM308),AM308,0)*'參數'!$B$14+IF(ISNUMBER(AO308),AO308,0)*'參數'!$B$15+IF(ISNUMBER(AP308),AP308,0)*'參數'!$B$16)/('參數'!$B$13+'參數'!$B$14+'參數'!$B$15+'參數'!$B$16),"")</f>
        <v/>
      </c>
      <c r="AR308" s="35">
        <f>IF(Y308=1,(SUMPRODUCT(($X$5:$X$404=X308)*($Y$5:$Y$404=1)*($BD$5:$BD$404&gt;BD308))+1)/COUNTIFS($X$5:$X$404,X308,$Y$5:$Y$404,1),"")</f>
        <v/>
      </c>
      <c r="AS308" s="8">
        <f>IF(ISNUMBER(AR308),IF(AR308&lt;='參數'!$B$18,"加碼候選",IF(AR308&gt;'參數'!$B$19,"減碼候選","")),"")</f>
        <v/>
      </c>
      <c r="AT308" s="7">
        <f>IF(Y308=1,N308,0)</f>
        <v/>
      </c>
      <c r="AU308" s="7">
        <f>IF(Y308=1,LN(O308),0)</f>
        <v/>
      </c>
      <c r="AV308" s="36">
        <f>IF(Y308=1,IF(ISNUMBER(F308),F308,0),0)</f>
        <v/>
      </c>
      <c r="AW308" s="7">
        <f>IF(Y308=1,Z308,0)</f>
        <v/>
      </c>
      <c r="AX308" s="7">
        <f>IF(Y308=1,IF(ISNUMBER(AL308),AL308,0),0)</f>
        <v/>
      </c>
      <c r="AY308" s="7">
        <f>IF(Y308=1,IF(ISNUMBER(AL308),1,0),0)</f>
        <v/>
      </c>
      <c r="AZ308" s="7">
        <f>IF(Y308=1,IF(ISNUMBER(AN308),AN308,0),0)</f>
        <v/>
      </c>
      <c r="BA308" s="7">
        <f>IF(Y308=1,IF(ISNUMBER(AN308),1,0),0)</f>
        <v/>
      </c>
      <c r="BB308" s="7">
        <f>IF(Y308=1,IF(ISNUMBER(T308),T308,0),0)</f>
        <v/>
      </c>
      <c r="BC308" s="7">
        <f>IF(Y308=1,IF(ISNUMBER(T308),1,0),0)</f>
        <v/>
      </c>
      <c r="BD308" s="7">
        <f>IF(Y308=1,AQ308+ROW()/1E9,-1E9)</f>
        <v/>
      </c>
      <c r="BE308" s="7">
        <f>IF(Y308=1,AQ308+ROW()/1E9,1E9)</f>
        <v/>
      </c>
    </row>
    <row r="309">
      <c r="A309" s="16" t="n"/>
      <c r="B309" s="8">
        <f>IF($A309="","",BDP($A309,B$3))</f>
        <v/>
      </c>
      <c r="C309" s="8">
        <f>IF($A309="","",BDP($A309,C$3))</f>
        <v/>
      </c>
      <c r="D309" s="28">
        <f>IF($A309="","",BDP($A309,D$3))</f>
        <v/>
      </c>
      <c r="E309" s="29">
        <f>IF($A309="","",BDP($A309,E$3))</f>
        <v/>
      </c>
      <c r="F309" s="17">
        <f>IF($A309="","",BDP($A309,F$3))</f>
        <v/>
      </c>
      <c r="G309" s="8">
        <f>IF($A309="","",BDP($A309,G$3))</f>
        <v/>
      </c>
      <c r="H309" s="8">
        <f>IF($A309="","",BDP($A309,H$3))</f>
        <v/>
      </c>
      <c r="I309" s="8">
        <f>IF($A309="","",BDP($A309,I$3))</f>
        <v/>
      </c>
      <c r="J309" s="8">
        <f>IF($A309="","",BDP($A309,J$3))</f>
        <v/>
      </c>
      <c r="K309" s="8">
        <f>IF($A309="","",BDP($A309,K$3))</f>
        <v/>
      </c>
      <c r="L309" s="28">
        <f>IF($A309="","",BDP($A309,L$3))</f>
        <v/>
      </c>
      <c r="M309" s="28">
        <f>IF($A309="","",BDP($A309,M$3))</f>
        <v/>
      </c>
      <c r="N309" s="30">
        <f>IF($A309="","",BDP($A309,N$3))</f>
        <v/>
      </c>
      <c r="O309" s="31">
        <f>IF($A309="","",BDP($A309,O$3))</f>
        <v/>
      </c>
      <c r="P309" s="30">
        <f>IF($A309="","",BDH($A309,$N$3,'參數'!$B$5,'參數'!$B$5,"Days=A","Fill=P","Dates=H"))</f>
        <v/>
      </c>
      <c r="Q309" s="30">
        <f>IF($A309="","",BDH($A309,$N$3,'參數'!$B$6,'參數'!$B$6,"Days=A","Fill=P","Dates=H"))</f>
        <v/>
      </c>
      <c r="R309" s="30">
        <f>IF($A309="","",BDH($A309,$N$3,'參數'!$B$7,'參數'!$B$7,"Days=A","Fill=P","Dates=H"))</f>
        <v/>
      </c>
      <c r="S309" s="32">
        <f>IF($A309="","",IFERROR(INDEX('發行人'!$A$5:$A$44,MATCH(B309,'發行人'!$D$5:$D$44,0)),"未對應"))</f>
        <v/>
      </c>
      <c r="T309" s="24">
        <f>IF($A309="","",IFERROR(INDEX('發行人'!$G$5:$G$44,MATCH(B309,'發行人'!$D$5:$D$44,0))+0,""))</f>
        <v/>
      </c>
      <c r="U309" s="18">
        <f>IF(ISNUMBER(E309),YEARFRAC('參數'!$B$4,E309),"")</f>
        <v/>
      </c>
      <c r="V309" s="8">
        <f>IF(U309="","",IF(U309&lt;3,"1-3y",IF(U309&lt;5,"3-5y",IF(U309&lt;7,"5-7y",IF(U309&lt;10,"7-10y","10y+")))))</f>
        <v/>
      </c>
      <c r="W309" s="30">
        <f>IF($A309="","",IFERROR(INDEX('參數'!$B$24:$B$45,MATCH(G309,'參數'!$A$24:$A$45,0)),""))</f>
        <v/>
      </c>
      <c r="X309" s="8">
        <f>IF($A309="","",IFERROR(INDEX('參數'!$C$24:$C$45,MATCH(G309,'參數'!$A$24:$A$45,0)),""))</f>
        <v/>
      </c>
      <c r="Y309" s="30">
        <f>IF(AND(ISNUMBER(N309),ISNUMBER(O309),ISNUMBER(U309)),IF(AND(O309&gt;0,X309&lt;&gt;""),1,0),0)</f>
        <v/>
      </c>
      <c r="Z309" s="17">
        <f>IF(Y309=1,O309*N309,"")</f>
        <v/>
      </c>
      <c r="AA309" s="33">
        <f>IF(Y309=1,IF(ISNUMBER(Q309),N309-Q309,""),"")</f>
        <v/>
      </c>
      <c r="AB309" s="33">
        <f>IF(Y309=1,IF(AND(ISNUMBER(P309),ISNUMBER(R309)),R309*5/12-O309*(P309-R309),""),"")</f>
        <v/>
      </c>
      <c r="AC309" s="30">
        <f>IF(Y309=1,COUNTIFS($X$5:$X$404,X309,$V$5:$V$404,V309,$Y$5:$Y$404,1),"")</f>
        <v/>
      </c>
      <c r="AD309" s="30">
        <f>IF(Y309=1,IFERROR(IF(AC309&gt;='參數'!$B$9,INDEX('分群統計'!$G$13:$K$16,MATCH(X309,'分群統計'!$A$13:$A$16,0),MATCH(V309,'分群統計'!$G$12:$K$12,0)),INDEX('分群統計'!$I$5:$I$8,MATCH(X309,'分群統計'!$A$5:$A$8,0))),""),"")</f>
        <v/>
      </c>
      <c r="AE309" s="18">
        <f>IF(Y309=1,IFERROR(IF(AC309&gt;='參數'!$B$9,INDEX('分群統計'!$L$13:$P$16,MATCH(X309,'分群統計'!$A$13:$A$16,0),MATCH(V309,'分群統計'!$L$12:$P$12,0)),INDEX('分群統計'!$J$5:$J$8,MATCH(X309,'分群統計'!$A$5:$A$8,0))),""),"")</f>
        <v/>
      </c>
      <c r="AF309" s="31">
        <f>IF(ISNUMBER(AE309),IF(AE309&gt;0,MAX(-3,MIN(3,(N309-AD309)/AE309)),0),"")</f>
        <v/>
      </c>
      <c r="AG309" s="30">
        <f>IF(Y309=1,COUNTIFS($B$5:$B$404,B309,$Y$5:$Y$404,1),"")</f>
        <v/>
      </c>
      <c r="AH309" s="30">
        <f>IF(Y309=1,IFERROR(IF(ISNUMBER(INDEX('分群統計'!$G$20:$G$59,MATCH(B309,'分群統計'!$A$20:$A$59,0))),INDEX('分群統計'!$H$20:$H$59,MATCH(B309,'分群統計'!$A$20:$A$59,0))+INDEX('分群統計'!$G$20:$G$59,MATCH(B309,'分群統計'!$A$20:$A$59,0))*AU309,""),""),"")</f>
        <v/>
      </c>
      <c r="AI309" s="34">
        <f>IF(ISNUMBER(AH309),N309-AH309,"")</f>
        <v/>
      </c>
      <c r="AJ309" s="30">
        <f>IF(Y309=1,IFERROR(IF(ISNUMBER(INDEX('分群統計'!$G$5:$G$8,MATCH(X309,'分群統計'!$A$5:$A$8,0))),INDEX('分群統計'!$H$5:$H$8,MATCH(X309,'分群統計'!$A$5:$A$8,0))+INDEX('分群統計'!$G$5:$G$8,MATCH(X309,'分群統計'!$A$5:$A$8,0))*AU309,""),""),"")</f>
        <v/>
      </c>
      <c r="AK309" s="34">
        <f>IF(ISNUMBER(AJ309),N309-AJ309,"")</f>
        <v/>
      </c>
      <c r="AL309" s="21">
        <f>IF(ISNUMBER(AJ309),IF(AJ309&gt;0,AK309/AJ309,""),"")</f>
        <v/>
      </c>
      <c r="AM309" s="31">
        <f>IF(AY309&lt;&gt;1,"",IFERROR(IF(INDEX('分群統計'!$K$5:$K$8,MATCH(X309,'分群統計'!$A$5:$A$8,0))&lt;3,"",IF(INDEX('分群統計'!$M$5:$M$8,MATCH(X309,'分群統計'!$A$5:$A$8,0))&gt;0,MAX(-3,MIN(3,(AX309-INDEX('分群統計'!$L$5:$L$8,MATCH(X309,'分群統計'!$A$5:$A$8,0)))/INDEX('分群統計'!$M$5:$M$8,MATCH(X309,'分群統計'!$A$5:$A$8,0)))),0)),""))</f>
        <v/>
      </c>
      <c r="AN309" s="31">
        <f>IF(ISNUMBER(AB309),IF(Z309&gt;0,AB309/Z309*100,""),"")</f>
        <v/>
      </c>
      <c r="AO309" s="31">
        <f>IF(BA309&lt;&gt;1,"",IFERROR(IF(INDEX('分群統計'!$N$5:$N$8,MATCH(X309,'分群統計'!$A$5:$A$8,0))&lt;3,"",IF(INDEX('分群統計'!$P$5:$P$8,MATCH(X309,'分群統計'!$A$5:$A$8,0))&gt;0,MAX(-3,MIN(3,(AZ309-INDEX('分群統計'!$O$5:$O$8,MATCH(X309,'分群統計'!$A$5:$A$8,0)))/INDEX('分群統計'!$P$5:$P$8,MATCH(X309,'分群統計'!$A$5:$A$8,0)))),0)),""))</f>
        <v/>
      </c>
      <c r="AP309" s="31">
        <f>IF(BC309&lt;&gt;1,"",IFERROR(IF(INDEX('分群統計'!$Q$5:$Q$8,MATCH(X309,'分群統計'!$A$5:$A$8,0))&lt;3,"",IF(INDEX('分群統計'!$S$5:$S$8,MATCH(X309,'分群統計'!$A$5:$A$8,0))&gt;0,MAX(-3,MIN(3,(BB309-INDEX('分群統計'!$R$5:$R$8,MATCH(X309,'分群統計'!$A$5:$A$8,0)))/INDEX('分群統計'!$S$5:$S$8,MATCH(X309,'分群統計'!$A$5:$A$8,0)))),0)),""))</f>
        <v/>
      </c>
      <c r="AQ309" s="31">
        <f>IF(Y309=1,(IF(ISNUMBER(AF309),AF309,0)*'參數'!$B$13+IF(ISNUMBER(AM309),AM309,0)*'參數'!$B$14+IF(ISNUMBER(AO309),AO309,0)*'參數'!$B$15+IF(ISNUMBER(AP309),AP309,0)*'參數'!$B$16)/('參數'!$B$13+'參數'!$B$14+'參數'!$B$15+'參數'!$B$16),"")</f>
        <v/>
      </c>
      <c r="AR309" s="35">
        <f>IF(Y309=1,(SUMPRODUCT(($X$5:$X$404=X309)*($Y$5:$Y$404=1)*($BD$5:$BD$404&gt;BD309))+1)/COUNTIFS($X$5:$X$404,X309,$Y$5:$Y$404,1),"")</f>
        <v/>
      </c>
      <c r="AS309" s="8">
        <f>IF(ISNUMBER(AR309),IF(AR309&lt;='參數'!$B$18,"加碼候選",IF(AR309&gt;'參數'!$B$19,"減碼候選","")),"")</f>
        <v/>
      </c>
      <c r="AT309" s="7">
        <f>IF(Y309=1,N309,0)</f>
        <v/>
      </c>
      <c r="AU309" s="7">
        <f>IF(Y309=1,LN(O309),0)</f>
        <v/>
      </c>
      <c r="AV309" s="36">
        <f>IF(Y309=1,IF(ISNUMBER(F309),F309,0),0)</f>
        <v/>
      </c>
      <c r="AW309" s="7">
        <f>IF(Y309=1,Z309,0)</f>
        <v/>
      </c>
      <c r="AX309" s="7">
        <f>IF(Y309=1,IF(ISNUMBER(AL309),AL309,0),0)</f>
        <v/>
      </c>
      <c r="AY309" s="7">
        <f>IF(Y309=1,IF(ISNUMBER(AL309),1,0),0)</f>
        <v/>
      </c>
      <c r="AZ309" s="7">
        <f>IF(Y309=1,IF(ISNUMBER(AN309),AN309,0),0)</f>
        <v/>
      </c>
      <c r="BA309" s="7">
        <f>IF(Y309=1,IF(ISNUMBER(AN309),1,0),0)</f>
        <v/>
      </c>
      <c r="BB309" s="7">
        <f>IF(Y309=1,IF(ISNUMBER(T309),T309,0),0)</f>
        <v/>
      </c>
      <c r="BC309" s="7">
        <f>IF(Y309=1,IF(ISNUMBER(T309),1,0),0)</f>
        <v/>
      </c>
      <c r="BD309" s="7">
        <f>IF(Y309=1,AQ309+ROW()/1E9,-1E9)</f>
        <v/>
      </c>
      <c r="BE309" s="7">
        <f>IF(Y309=1,AQ309+ROW()/1E9,1E9)</f>
        <v/>
      </c>
    </row>
    <row r="310">
      <c r="A310" s="16" t="n"/>
      <c r="B310" s="8">
        <f>IF($A310="","",BDP($A310,B$3))</f>
        <v/>
      </c>
      <c r="C310" s="8">
        <f>IF($A310="","",BDP($A310,C$3))</f>
        <v/>
      </c>
      <c r="D310" s="28">
        <f>IF($A310="","",BDP($A310,D$3))</f>
        <v/>
      </c>
      <c r="E310" s="29">
        <f>IF($A310="","",BDP($A310,E$3))</f>
        <v/>
      </c>
      <c r="F310" s="17">
        <f>IF($A310="","",BDP($A310,F$3))</f>
        <v/>
      </c>
      <c r="G310" s="8">
        <f>IF($A310="","",BDP($A310,G$3))</f>
        <v/>
      </c>
      <c r="H310" s="8">
        <f>IF($A310="","",BDP($A310,H$3))</f>
        <v/>
      </c>
      <c r="I310" s="8">
        <f>IF($A310="","",BDP($A310,I$3))</f>
        <v/>
      </c>
      <c r="J310" s="8">
        <f>IF($A310="","",BDP($A310,J$3))</f>
        <v/>
      </c>
      <c r="K310" s="8">
        <f>IF($A310="","",BDP($A310,K$3))</f>
        <v/>
      </c>
      <c r="L310" s="28">
        <f>IF($A310="","",BDP($A310,L$3))</f>
        <v/>
      </c>
      <c r="M310" s="28">
        <f>IF($A310="","",BDP($A310,M$3))</f>
        <v/>
      </c>
      <c r="N310" s="30">
        <f>IF($A310="","",BDP($A310,N$3))</f>
        <v/>
      </c>
      <c r="O310" s="31">
        <f>IF($A310="","",BDP($A310,O$3))</f>
        <v/>
      </c>
      <c r="P310" s="30">
        <f>IF($A310="","",BDH($A310,$N$3,'參數'!$B$5,'參數'!$B$5,"Days=A","Fill=P","Dates=H"))</f>
        <v/>
      </c>
      <c r="Q310" s="30">
        <f>IF($A310="","",BDH($A310,$N$3,'參數'!$B$6,'參數'!$B$6,"Days=A","Fill=P","Dates=H"))</f>
        <v/>
      </c>
      <c r="R310" s="30">
        <f>IF($A310="","",BDH($A310,$N$3,'參數'!$B$7,'參數'!$B$7,"Days=A","Fill=P","Dates=H"))</f>
        <v/>
      </c>
      <c r="S310" s="32">
        <f>IF($A310="","",IFERROR(INDEX('發行人'!$A$5:$A$44,MATCH(B310,'發行人'!$D$5:$D$44,0)),"未對應"))</f>
        <v/>
      </c>
      <c r="T310" s="24">
        <f>IF($A310="","",IFERROR(INDEX('發行人'!$G$5:$G$44,MATCH(B310,'發行人'!$D$5:$D$44,0))+0,""))</f>
        <v/>
      </c>
      <c r="U310" s="18">
        <f>IF(ISNUMBER(E310),YEARFRAC('參數'!$B$4,E310),"")</f>
        <v/>
      </c>
      <c r="V310" s="8">
        <f>IF(U310="","",IF(U310&lt;3,"1-3y",IF(U310&lt;5,"3-5y",IF(U310&lt;7,"5-7y",IF(U310&lt;10,"7-10y","10y+")))))</f>
        <v/>
      </c>
      <c r="W310" s="30">
        <f>IF($A310="","",IFERROR(INDEX('參數'!$B$24:$B$45,MATCH(G310,'參數'!$A$24:$A$45,0)),""))</f>
        <v/>
      </c>
      <c r="X310" s="8">
        <f>IF($A310="","",IFERROR(INDEX('參數'!$C$24:$C$45,MATCH(G310,'參數'!$A$24:$A$45,0)),""))</f>
        <v/>
      </c>
      <c r="Y310" s="30">
        <f>IF(AND(ISNUMBER(N310),ISNUMBER(O310),ISNUMBER(U310)),IF(AND(O310&gt;0,X310&lt;&gt;""),1,0),0)</f>
        <v/>
      </c>
      <c r="Z310" s="17">
        <f>IF(Y310=1,O310*N310,"")</f>
        <v/>
      </c>
      <c r="AA310" s="33">
        <f>IF(Y310=1,IF(ISNUMBER(Q310),N310-Q310,""),"")</f>
        <v/>
      </c>
      <c r="AB310" s="33">
        <f>IF(Y310=1,IF(AND(ISNUMBER(P310),ISNUMBER(R310)),R310*5/12-O310*(P310-R310),""),"")</f>
        <v/>
      </c>
      <c r="AC310" s="30">
        <f>IF(Y310=1,COUNTIFS($X$5:$X$404,X310,$V$5:$V$404,V310,$Y$5:$Y$404,1),"")</f>
        <v/>
      </c>
      <c r="AD310" s="30">
        <f>IF(Y310=1,IFERROR(IF(AC310&gt;='參數'!$B$9,INDEX('分群統計'!$G$13:$K$16,MATCH(X310,'分群統計'!$A$13:$A$16,0),MATCH(V310,'分群統計'!$G$12:$K$12,0)),INDEX('分群統計'!$I$5:$I$8,MATCH(X310,'分群統計'!$A$5:$A$8,0))),""),"")</f>
        <v/>
      </c>
      <c r="AE310" s="18">
        <f>IF(Y310=1,IFERROR(IF(AC310&gt;='參數'!$B$9,INDEX('分群統計'!$L$13:$P$16,MATCH(X310,'分群統計'!$A$13:$A$16,0),MATCH(V310,'分群統計'!$L$12:$P$12,0)),INDEX('分群統計'!$J$5:$J$8,MATCH(X310,'分群統計'!$A$5:$A$8,0))),""),"")</f>
        <v/>
      </c>
      <c r="AF310" s="31">
        <f>IF(ISNUMBER(AE310),IF(AE310&gt;0,MAX(-3,MIN(3,(N310-AD310)/AE310)),0),"")</f>
        <v/>
      </c>
      <c r="AG310" s="30">
        <f>IF(Y310=1,COUNTIFS($B$5:$B$404,B310,$Y$5:$Y$404,1),"")</f>
        <v/>
      </c>
      <c r="AH310" s="30">
        <f>IF(Y310=1,IFERROR(IF(ISNUMBER(INDEX('分群統計'!$G$20:$G$59,MATCH(B310,'分群統計'!$A$20:$A$59,0))),INDEX('分群統計'!$H$20:$H$59,MATCH(B310,'分群統計'!$A$20:$A$59,0))+INDEX('分群統計'!$G$20:$G$59,MATCH(B310,'分群統計'!$A$20:$A$59,0))*AU310,""),""),"")</f>
        <v/>
      </c>
      <c r="AI310" s="34">
        <f>IF(ISNUMBER(AH310),N310-AH310,"")</f>
        <v/>
      </c>
      <c r="AJ310" s="30">
        <f>IF(Y310=1,IFERROR(IF(ISNUMBER(INDEX('分群統計'!$G$5:$G$8,MATCH(X310,'分群統計'!$A$5:$A$8,0))),INDEX('分群統計'!$H$5:$H$8,MATCH(X310,'分群統計'!$A$5:$A$8,0))+INDEX('分群統計'!$G$5:$G$8,MATCH(X310,'分群統計'!$A$5:$A$8,0))*AU310,""),""),"")</f>
        <v/>
      </c>
      <c r="AK310" s="34">
        <f>IF(ISNUMBER(AJ310),N310-AJ310,"")</f>
        <v/>
      </c>
      <c r="AL310" s="21">
        <f>IF(ISNUMBER(AJ310),IF(AJ310&gt;0,AK310/AJ310,""),"")</f>
        <v/>
      </c>
      <c r="AM310" s="31">
        <f>IF(AY310&lt;&gt;1,"",IFERROR(IF(INDEX('分群統計'!$K$5:$K$8,MATCH(X310,'分群統計'!$A$5:$A$8,0))&lt;3,"",IF(INDEX('分群統計'!$M$5:$M$8,MATCH(X310,'分群統計'!$A$5:$A$8,0))&gt;0,MAX(-3,MIN(3,(AX310-INDEX('分群統計'!$L$5:$L$8,MATCH(X310,'分群統計'!$A$5:$A$8,0)))/INDEX('分群統計'!$M$5:$M$8,MATCH(X310,'分群統計'!$A$5:$A$8,0)))),0)),""))</f>
        <v/>
      </c>
      <c r="AN310" s="31">
        <f>IF(ISNUMBER(AB310),IF(Z310&gt;0,AB310/Z310*100,""),"")</f>
        <v/>
      </c>
      <c r="AO310" s="31">
        <f>IF(BA310&lt;&gt;1,"",IFERROR(IF(INDEX('分群統計'!$N$5:$N$8,MATCH(X310,'分群統計'!$A$5:$A$8,0))&lt;3,"",IF(INDEX('分群統計'!$P$5:$P$8,MATCH(X310,'分群統計'!$A$5:$A$8,0))&gt;0,MAX(-3,MIN(3,(AZ310-INDEX('分群統計'!$O$5:$O$8,MATCH(X310,'分群統計'!$A$5:$A$8,0)))/INDEX('分群統計'!$P$5:$P$8,MATCH(X310,'分群統計'!$A$5:$A$8,0)))),0)),""))</f>
        <v/>
      </c>
      <c r="AP310" s="31">
        <f>IF(BC310&lt;&gt;1,"",IFERROR(IF(INDEX('分群統計'!$Q$5:$Q$8,MATCH(X310,'分群統計'!$A$5:$A$8,0))&lt;3,"",IF(INDEX('分群統計'!$S$5:$S$8,MATCH(X310,'分群統計'!$A$5:$A$8,0))&gt;0,MAX(-3,MIN(3,(BB310-INDEX('分群統計'!$R$5:$R$8,MATCH(X310,'分群統計'!$A$5:$A$8,0)))/INDEX('分群統計'!$S$5:$S$8,MATCH(X310,'分群統計'!$A$5:$A$8,0)))),0)),""))</f>
        <v/>
      </c>
      <c r="AQ310" s="31">
        <f>IF(Y310=1,(IF(ISNUMBER(AF310),AF310,0)*'參數'!$B$13+IF(ISNUMBER(AM310),AM310,0)*'參數'!$B$14+IF(ISNUMBER(AO310),AO310,0)*'參數'!$B$15+IF(ISNUMBER(AP310),AP310,0)*'參數'!$B$16)/('參數'!$B$13+'參數'!$B$14+'參數'!$B$15+'參數'!$B$16),"")</f>
        <v/>
      </c>
      <c r="AR310" s="35">
        <f>IF(Y310=1,(SUMPRODUCT(($X$5:$X$404=X310)*($Y$5:$Y$404=1)*($BD$5:$BD$404&gt;BD310))+1)/COUNTIFS($X$5:$X$404,X310,$Y$5:$Y$404,1),"")</f>
        <v/>
      </c>
      <c r="AS310" s="8">
        <f>IF(ISNUMBER(AR310),IF(AR310&lt;='參數'!$B$18,"加碼候選",IF(AR310&gt;'參數'!$B$19,"減碼候選","")),"")</f>
        <v/>
      </c>
      <c r="AT310" s="7">
        <f>IF(Y310=1,N310,0)</f>
        <v/>
      </c>
      <c r="AU310" s="7">
        <f>IF(Y310=1,LN(O310),0)</f>
        <v/>
      </c>
      <c r="AV310" s="36">
        <f>IF(Y310=1,IF(ISNUMBER(F310),F310,0),0)</f>
        <v/>
      </c>
      <c r="AW310" s="7">
        <f>IF(Y310=1,Z310,0)</f>
        <v/>
      </c>
      <c r="AX310" s="7">
        <f>IF(Y310=1,IF(ISNUMBER(AL310),AL310,0),0)</f>
        <v/>
      </c>
      <c r="AY310" s="7">
        <f>IF(Y310=1,IF(ISNUMBER(AL310),1,0),0)</f>
        <v/>
      </c>
      <c r="AZ310" s="7">
        <f>IF(Y310=1,IF(ISNUMBER(AN310),AN310,0),0)</f>
        <v/>
      </c>
      <c r="BA310" s="7">
        <f>IF(Y310=1,IF(ISNUMBER(AN310),1,0),0)</f>
        <v/>
      </c>
      <c r="BB310" s="7">
        <f>IF(Y310=1,IF(ISNUMBER(T310),T310,0),0)</f>
        <v/>
      </c>
      <c r="BC310" s="7">
        <f>IF(Y310=1,IF(ISNUMBER(T310),1,0),0)</f>
        <v/>
      </c>
      <c r="BD310" s="7">
        <f>IF(Y310=1,AQ310+ROW()/1E9,-1E9)</f>
        <v/>
      </c>
      <c r="BE310" s="7">
        <f>IF(Y310=1,AQ310+ROW()/1E9,1E9)</f>
        <v/>
      </c>
    </row>
    <row r="311">
      <c r="A311" s="16" t="n"/>
      <c r="B311" s="8">
        <f>IF($A311="","",BDP($A311,B$3))</f>
        <v/>
      </c>
      <c r="C311" s="8">
        <f>IF($A311="","",BDP($A311,C$3))</f>
        <v/>
      </c>
      <c r="D311" s="28">
        <f>IF($A311="","",BDP($A311,D$3))</f>
        <v/>
      </c>
      <c r="E311" s="29">
        <f>IF($A311="","",BDP($A311,E$3))</f>
        <v/>
      </c>
      <c r="F311" s="17">
        <f>IF($A311="","",BDP($A311,F$3))</f>
        <v/>
      </c>
      <c r="G311" s="8">
        <f>IF($A311="","",BDP($A311,G$3))</f>
        <v/>
      </c>
      <c r="H311" s="8">
        <f>IF($A311="","",BDP($A311,H$3))</f>
        <v/>
      </c>
      <c r="I311" s="8">
        <f>IF($A311="","",BDP($A311,I$3))</f>
        <v/>
      </c>
      <c r="J311" s="8">
        <f>IF($A311="","",BDP($A311,J$3))</f>
        <v/>
      </c>
      <c r="K311" s="8">
        <f>IF($A311="","",BDP($A311,K$3))</f>
        <v/>
      </c>
      <c r="L311" s="28">
        <f>IF($A311="","",BDP($A311,L$3))</f>
        <v/>
      </c>
      <c r="M311" s="28">
        <f>IF($A311="","",BDP($A311,M$3))</f>
        <v/>
      </c>
      <c r="N311" s="30">
        <f>IF($A311="","",BDP($A311,N$3))</f>
        <v/>
      </c>
      <c r="O311" s="31">
        <f>IF($A311="","",BDP($A311,O$3))</f>
        <v/>
      </c>
      <c r="P311" s="30">
        <f>IF($A311="","",BDH($A311,$N$3,'參數'!$B$5,'參數'!$B$5,"Days=A","Fill=P","Dates=H"))</f>
        <v/>
      </c>
      <c r="Q311" s="30">
        <f>IF($A311="","",BDH($A311,$N$3,'參數'!$B$6,'參數'!$B$6,"Days=A","Fill=P","Dates=H"))</f>
        <v/>
      </c>
      <c r="R311" s="30">
        <f>IF($A311="","",BDH($A311,$N$3,'參數'!$B$7,'參數'!$B$7,"Days=A","Fill=P","Dates=H"))</f>
        <v/>
      </c>
      <c r="S311" s="32">
        <f>IF($A311="","",IFERROR(INDEX('發行人'!$A$5:$A$44,MATCH(B311,'發行人'!$D$5:$D$44,0)),"未對應"))</f>
        <v/>
      </c>
      <c r="T311" s="24">
        <f>IF($A311="","",IFERROR(INDEX('發行人'!$G$5:$G$44,MATCH(B311,'發行人'!$D$5:$D$44,0))+0,""))</f>
        <v/>
      </c>
      <c r="U311" s="18">
        <f>IF(ISNUMBER(E311),YEARFRAC('參數'!$B$4,E311),"")</f>
        <v/>
      </c>
      <c r="V311" s="8">
        <f>IF(U311="","",IF(U311&lt;3,"1-3y",IF(U311&lt;5,"3-5y",IF(U311&lt;7,"5-7y",IF(U311&lt;10,"7-10y","10y+")))))</f>
        <v/>
      </c>
      <c r="W311" s="30">
        <f>IF($A311="","",IFERROR(INDEX('參數'!$B$24:$B$45,MATCH(G311,'參數'!$A$24:$A$45,0)),""))</f>
        <v/>
      </c>
      <c r="X311" s="8">
        <f>IF($A311="","",IFERROR(INDEX('參數'!$C$24:$C$45,MATCH(G311,'參數'!$A$24:$A$45,0)),""))</f>
        <v/>
      </c>
      <c r="Y311" s="30">
        <f>IF(AND(ISNUMBER(N311),ISNUMBER(O311),ISNUMBER(U311)),IF(AND(O311&gt;0,X311&lt;&gt;""),1,0),0)</f>
        <v/>
      </c>
      <c r="Z311" s="17">
        <f>IF(Y311=1,O311*N311,"")</f>
        <v/>
      </c>
      <c r="AA311" s="33">
        <f>IF(Y311=1,IF(ISNUMBER(Q311),N311-Q311,""),"")</f>
        <v/>
      </c>
      <c r="AB311" s="33">
        <f>IF(Y311=1,IF(AND(ISNUMBER(P311),ISNUMBER(R311)),R311*5/12-O311*(P311-R311),""),"")</f>
        <v/>
      </c>
      <c r="AC311" s="30">
        <f>IF(Y311=1,COUNTIFS($X$5:$X$404,X311,$V$5:$V$404,V311,$Y$5:$Y$404,1),"")</f>
        <v/>
      </c>
      <c r="AD311" s="30">
        <f>IF(Y311=1,IFERROR(IF(AC311&gt;='參數'!$B$9,INDEX('分群統計'!$G$13:$K$16,MATCH(X311,'分群統計'!$A$13:$A$16,0),MATCH(V311,'分群統計'!$G$12:$K$12,0)),INDEX('分群統計'!$I$5:$I$8,MATCH(X311,'分群統計'!$A$5:$A$8,0))),""),"")</f>
        <v/>
      </c>
      <c r="AE311" s="18">
        <f>IF(Y311=1,IFERROR(IF(AC311&gt;='參數'!$B$9,INDEX('分群統計'!$L$13:$P$16,MATCH(X311,'分群統計'!$A$13:$A$16,0),MATCH(V311,'分群統計'!$L$12:$P$12,0)),INDEX('分群統計'!$J$5:$J$8,MATCH(X311,'分群統計'!$A$5:$A$8,0))),""),"")</f>
        <v/>
      </c>
      <c r="AF311" s="31">
        <f>IF(ISNUMBER(AE311),IF(AE311&gt;0,MAX(-3,MIN(3,(N311-AD311)/AE311)),0),"")</f>
        <v/>
      </c>
      <c r="AG311" s="30">
        <f>IF(Y311=1,COUNTIFS($B$5:$B$404,B311,$Y$5:$Y$404,1),"")</f>
        <v/>
      </c>
      <c r="AH311" s="30">
        <f>IF(Y311=1,IFERROR(IF(ISNUMBER(INDEX('分群統計'!$G$20:$G$59,MATCH(B311,'分群統計'!$A$20:$A$59,0))),INDEX('分群統計'!$H$20:$H$59,MATCH(B311,'分群統計'!$A$20:$A$59,0))+INDEX('分群統計'!$G$20:$G$59,MATCH(B311,'分群統計'!$A$20:$A$59,0))*AU311,""),""),"")</f>
        <v/>
      </c>
      <c r="AI311" s="34">
        <f>IF(ISNUMBER(AH311),N311-AH311,"")</f>
        <v/>
      </c>
      <c r="AJ311" s="30">
        <f>IF(Y311=1,IFERROR(IF(ISNUMBER(INDEX('分群統計'!$G$5:$G$8,MATCH(X311,'分群統計'!$A$5:$A$8,0))),INDEX('分群統計'!$H$5:$H$8,MATCH(X311,'分群統計'!$A$5:$A$8,0))+INDEX('分群統計'!$G$5:$G$8,MATCH(X311,'分群統計'!$A$5:$A$8,0))*AU311,""),""),"")</f>
        <v/>
      </c>
      <c r="AK311" s="34">
        <f>IF(ISNUMBER(AJ311),N311-AJ311,"")</f>
        <v/>
      </c>
      <c r="AL311" s="21">
        <f>IF(ISNUMBER(AJ311),IF(AJ311&gt;0,AK311/AJ311,""),"")</f>
        <v/>
      </c>
      <c r="AM311" s="31">
        <f>IF(AY311&lt;&gt;1,"",IFERROR(IF(INDEX('分群統計'!$K$5:$K$8,MATCH(X311,'分群統計'!$A$5:$A$8,0))&lt;3,"",IF(INDEX('分群統計'!$M$5:$M$8,MATCH(X311,'分群統計'!$A$5:$A$8,0))&gt;0,MAX(-3,MIN(3,(AX311-INDEX('分群統計'!$L$5:$L$8,MATCH(X311,'分群統計'!$A$5:$A$8,0)))/INDEX('分群統計'!$M$5:$M$8,MATCH(X311,'分群統計'!$A$5:$A$8,0)))),0)),""))</f>
        <v/>
      </c>
      <c r="AN311" s="31">
        <f>IF(ISNUMBER(AB311),IF(Z311&gt;0,AB311/Z311*100,""),"")</f>
        <v/>
      </c>
      <c r="AO311" s="31">
        <f>IF(BA311&lt;&gt;1,"",IFERROR(IF(INDEX('分群統計'!$N$5:$N$8,MATCH(X311,'分群統計'!$A$5:$A$8,0))&lt;3,"",IF(INDEX('分群統計'!$P$5:$P$8,MATCH(X311,'分群統計'!$A$5:$A$8,0))&gt;0,MAX(-3,MIN(3,(AZ311-INDEX('分群統計'!$O$5:$O$8,MATCH(X311,'分群統計'!$A$5:$A$8,0)))/INDEX('分群統計'!$P$5:$P$8,MATCH(X311,'分群統計'!$A$5:$A$8,0)))),0)),""))</f>
        <v/>
      </c>
      <c r="AP311" s="31">
        <f>IF(BC311&lt;&gt;1,"",IFERROR(IF(INDEX('分群統計'!$Q$5:$Q$8,MATCH(X311,'分群統計'!$A$5:$A$8,0))&lt;3,"",IF(INDEX('分群統計'!$S$5:$S$8,MATCH(X311,'分群統計'!$A$5:$A$8,0))&gt;0,MAX(-3,MIN(3,(BB311-INDEX('分群統計'!$R$5:$R$8,MATCH(X311,'分群統計'!$A$5:$A$8,0)))/INDEX('分群統計'!$S$5:$S$8,MATCH(X311,'分群統計'!$A$5:$A$8,0)))),0)),""))</f>
        <v/>
      </c>
      <c r="AQ311" s="31">
        <f>IF(Y311=1,(IF(ISNUMBER(AF311),AF311,0)*'參數'!$B$13+IF(ISNUMBER(AM311),AM311,0)*'參數'!$B$14+IF(ISNUMBER(AO311),AO311,0)*'參數'!$B$15+IF(ISNUMBER(AP311),AP311,0)*'參數'!$B$16)/('參數'!$B$13+'參數'!$B$14+'參數'!$B$15+'參數'!$B$16),"")</f>
        <v/>
      </c>
      <c r="AR311" s="35">
        <f>IF(Y311=1,(SUMPRODUCT(($X$5:$X$404=X311)*($Y$5:$Y$404=1)*($BD$5:$BD$404&gt;BD311))+1)/COUNTIFS($X$5:$X$404,X311,$Y$5:$Y$404,1),"")</f>
        <v/>
      </c>
      <c r="AS311" s="8">
        <f>IF(ISNUMBER(AR311),IF(AR311&lt;='參數'!$B$18,"加碼候選",IF(AR311&gt;'參數'!$B$19,"減碼候選","")),"")</f>
        <v/>
      </c>
      <c r="AT311" s="7">
        <f>IF(Y311=1,N311,0)</f>
        <v/>
      </c>
      <c r="AU311" s="7">
        <f>IF(Y311=1,LN(O311),0)</f>
        <v/>
      </c>
      <c r="AV311" s="36">
        <f>IF(Y311=1,IF(ISNUMBER(F311),F311,0),0)</f>
        <v/>
      </c>
      <c r="AW311" s="7">
        <f>IF(Y311=1,Z311,0)</f>
        <v/>
      </c>
      <c r="AX311" s="7">
        <f>IF(Y311=1,IF(ISNUMBER(AL311),AL311,0),0)</f>
        <v/>
      </c>
      <c r="AY311" s="7">
        <f>IF(Y311=1,IF(ISNUMBER(AL311),1,0),0)</f>
        <v/>
      </c>
      <c r="AZ311" s="7">
        <f>IF(Y311=1,IF(ISNUMBER(AN311),AN311,0),0)</f>
        <v/>
      </c>
      <c r="BA311" s="7">
        <f>IF(Y311=1,IF(ISNUMBER(AN311),1,0),0)</f>
        <v/>
      </c>
      <c r="BB311" s="7">
        <f>IF(Y311=1,IF(ISNUMBER(T311),T311,0),0)</f>
        <v/>
      </c>
      <c r="BC311" s="7">
        <f>IF(Y311=1,IF(ISNUMBER(T311),1,0),0)</f>
        <v/>
      </c>
      <c r="BD311" s="7">
        <f>IF(Y311=1,AQ311+ROW()/1E9,-1E9)</f>
        <v/>
      </c>
      <c r="BE311" s="7">
        <f>IF(Y311=1,AQ311+ROW()/1E9,1E9)</f>
        <v/>
      </c>
    </row>
    <row r="312">
      <c r="A312" s="16" t="n"/>
      <c r="B312" s="8">
        <f>IF($A312="","",BDP($A312,B$3))</f>
        <v/>
      </c>
      <c r="C312" s="8">
        <f>IF($A312="","",BDP($A312,C$3))</f>
        <v/>
      </c>
      <c r="D312" s="28">
        <f>IF($A312="","",BDP($A312,D$3))</f>
        <v/>
      </c>
      <c r="E312" s="29">
        <f>IF($A312="","",BDP($A312,E$3))</f>
        <v/>
      </c>
      <c r="F312" s="17">
        <f>IF($A312="","",BDP($A312,F$3))</f>
        <v/>
      </c>
      <c r="G312" s="8">
        <f>IF($A312="","",BDP($A312,G$3))</f>
        <v/>
      </c>
      <c r="H312" s="8">
        <f>IF($A312="","",BDP($A312,H$3))</f>
        <v/>
      </c>
      <c r="I312" s="8">
        <f>IF($A312="","",BDP($A312,I$3))</f>
        <v/>
      </c>
      <c r="J312" s="8">
        <f>IF($A312="","",BDP($A312,J$3))</f>
        <v/>
      </c>
      <c r="K312" s="8">
        <f>IF($A312="","",BDP($A312,K$3))</f>
        <v/>
      </c>
      <c r="L312" s="28">
        <f>IF($A312="","",BDP($A312,L$3))</f>
        <v/>
      </c>
      <c r="M312" s="28">
        <f>IF($A312="","",BDP($A312,M$3))</f>
        <v/>
      </c>
      <c r="N312" s="30">
        <f>IF($A312="","",BDP($A312,N$3))</f>
        <v/>
      </c>
      <c r="O312" s="31">
        <f>IF($A312="","",BDP($A312,O$3))</f>
        <v/>
      </c>
      <c r="P312" s="30">
        <f>IF($A312="","",BDH($A312,$N$3,'參數'!$B$5,'參數'!$B$5,"Days=A","Fill=P","Dates=H"))</f>
        <v/>
      </c>
      <c r="Q312" s="30">
        <f>IF($A312="","",BDH($A312,$N$3,'參數'!$B$6,'參數'!$B$6,"Days=A","Fill=P","Dates=H"))</f>
        <v/>
      </c>
      <c r="R312" s="30">
        <f>IF($A312="","",BDH($A312,$N$3,'參數'!$B$7,'參數'!$B$7,"Days=A","Fill=P","Dates=H"))</f>
        <v/>
      </c>
      <c r="S312" s="32">
        <f>IF($A312="","",IFERROR(INDEX('發行人'!$A$5:$A$44,MATCH(B312,'發行人'!$D$5:$D$44,0)),"未對應"))</f>
        <v/>
      </c>
      <c r="T312" s="24">
        <f>IF($A312="","",IFERROR(INDEX('發行人'!$G$5:$G$44,MATCH(B312,'發行人'!$D$5:$D$44,0))+0,""))</f>
        <v/>
      </c>
      <c r="U312" s="18">
        <f>IF(ISNUMBER(E312),YEARFRAC('參數'!$B$4,E312),"")</f>
        <v/>
      </c>
      <c r="V312" s="8">
        <f>IF(U312="","",IF(U312&lt;3,"1-3y",IF(U312&lt;5,"3-5y",IF(U312&lt;7,"5-7y",IF(U312&lt;10,"7-10y","10y+")))))</f>
        <v/>
      </c>
      <c r="W312" s="30">
        <f>IF($A312="","",IFERROR(INDEX('參數'!$B$24:$B$45,MATCH(G312,'參數'!$A$24:$A$45,0)),""))</f>
        <v/>
      </c>
      <c r="X312" s="8">
        <f>IF($A312="","",IFERROR(INDEX('參數'!$C$24:$C$45,MATCH(G312,'參數'!$A$24:$A$45,0)),""))</f>
        <v/>
      </c>
      <c r="Y312" s="30">
        <f>IF(AND(ISNUMBER(N312),ISNUMBER(O312),ISNUMBER(U312)),IF(AND(O312&gt;0,X312&lt;&gt;""),1,0),0)</f>
        <v/>
      </c>
      <c r="Z312" s="17">
        <f>IF(Y312=1,O312*N312,"")</f>
        <v/>
      </c>
      <c r="AA312" s="33">
        <f>IF(Y312=1,IF(ISNUMBER(Q312),N312-Q312,""),"")</f>
        <v/>
      </c>
      <c r="AB312" s="33">
        <f>IF(Y312=1,IF(AND(ISNUMBER(P312),ISNUMBER(R312)),R312*5/12-O312*(P312-R312),""),"")</f>
        <v/>
      </c>
      <c r="AC312" s="30">
        <f>IF(Y312=1,COUNTIFS($X$5:$X$404,X312,$V$5:$V$404,V312,$Y$5:$Y$404,1),"")</f>
        <v/>
      </c>
      <c r="AD312" s="30">
        <f>IF(Y312=1,IFERROR(IF(AC312&gt;='參數'!$B$9,INDEX('分群統計'!$G$13:$K$16,MATCH(X312,'分群統計'!$A$13:$A$16,0),MATCH(V312,'分群統計'!$G$12:$K$12,0)),INDEX('分群統計'!$I$5:$I$8,MATCH(X312,'分群統計'!$A$5:$A$8,0))),""),"")</f>
        <v/>
      </c>
      <c r="AE312" s="18">
        <f>IF(Y312=1,IFERROR(IF(AC312&gt;='參數'!$B$9,INDEX('分群統計'!$L$13:$P$16,MATCH(X312,'分群統計'!$A$13:$A$16,0),MATCH(V312,'分群統計'!$L$12:$P$12,0)),INDEX('分群統計'!$J$5:$J$8,MATCH(X312,'分群統計'!$A$5:$A$8,0))),""),"")</f>
        <v/>
      </c>
      <c r="AF312" s="31">
        <f>IF(ISNUMBER(AE312),IF(AE312&gt;0,MAX(-3,MIN(3,(N312-AD312)/AE312)),0),"")</f>
        <v/>
      </c>
      <c r="AG312" s="30">
        <f>IF(Y312=1,COUNTIFS($B$5:$B$404,B312,$Y$5:$Y$404,1),"")</f>
        <v/>
      </c>
      <c r="AH312" s="30">
        <f>IF(Y312=1,IFERROR(IF(ISNUMBER(INDEX('分群統計'!$G$20:$G$59,MATCH(B312,'分群統計'!$A$20:$A$59,0))),INDEX('分群統計'!$H$20:$H$59,MATCH(B312,'分群統計'!$A$20:$A$59,0))+INDEX('分群統計'!$G$20:$G$59,MATCH(B312,'分群統計'!$A$20:$A$59,0))*AU312,""),""),"")</f>
        <v/>
      </c>
      <c r="AI312" s="34">
        <f>IF(ISNUMBER(AH312),N312-AH312,"")</f>
        <v/>
      </c>
      <c r="AJ312" s="30">
        <f>IF(Y312=1,IFERROR(IF(ISNUMBER(INDEX('分群統計'!$G$5:$G$8,MATCH(X312,'分群統計'!$A$5:$A$8,0))),INDEX('分群統計'!$H$5:$H$8,MATCH(X312,'分群統計'!$A$5:$A$8,0))+INDEX('分群統計'!$G$5:$G$8,MATCH(X312,'分群統計'!$A$5:$A$8,0))*AU312,""),""),"")</f>
        <v/>
      </c>
      <c r="AK312" s="34">
        <f>IF(ISNUMBER(AJ312),N312-AJ312,"")</f>
        <v/>
      </c>
      <c r="AL312" s="21">
        <f>IF(ISNUMBER(AJ312),IF(AJ312&gt;0,AK312/AJ312,""),"")</f>
        <v/>
      </c>
      <c r="AM312" s="31">
        <f>IF(AY312&lt;&gt;1,"",IFERROR(IF(INDEX('分群統計'!$K$5:$K$8,MATCH(X312,'分群統計'!$A$5:$A$8,0))&lt;3,"",IF(INDEX('分群統計'!$M$5:$M$8,MATCH(X312,'分群統計'!$A$5:$A$8,0))&gt;0,MAX(-3,MIN(3,(AX312-INDEX('分群統計'!$L$5:$L$8,MATCH(X312,'分群統計'!$A$5:$A$8,0)))/INDEX('分群統計'!$M$5:$M$8,MATCH(X312,'分群統計'!$A$5:$A$8,0)))),0)),""))</f>
        <v/>
      </c>
      <c r="AN312" s="31">
        <f>IF(ISNUMBER(AB312),IF(Z312&gt;0,AB312/Z312*100,""),"")</f>
        <v/>
      </c>
      <c r="AO312" s="31">
        <f>IF(BA312&lt;&gt;1,"",IFERROR(IF(INDEX('分群統計'!$N$5:$N$8,MATCH(X312,'分群統計'!$A$5:$A$8,0))&lt;3,"",IF(INDEX('分群統計'!$P$5:$P$8,MATCH(X312,'分群統計'!$A$5:$A$8,0))&gt;0,MAX(-3,MIN(3,(AZ312-INDEX('分群統計'!$O$5:$O$8,MATCH(X312,'分群統計'!$A$5:$A$8,0)))/INDEX('分群統計'!$P$5:$P$8,MATCH(X312,'分群統計'!$A$5:$A$8,0)))),0)),""))</f>
        <v/>
      </c>
      <c r="AP312" s="31">
        <f>IF(BC312&lt;&gt;1,"",IFERROR(IF(INDEX('分群統計'!$Q$5:$Q$8,MATCH(X312,'分群統計'!$A$5:$A$8,0))&lt;3,"",IF(INDEX('分群統計'!$S$5:$S$8,MATCH(X312,'分群統計'!$A$5:$A$8,0))&gt;0,MAX(-3,MIN(3,(BB312-INDEX('分群統計'!$R$5:$R$8,MATCH(X312,'分群統計'!$A$5:$A$8,0)))/INDEX('分群統計'!$S$5:$S$8,MATCH(X312,'分群統計'!$A$5:$A$8,0)))),0)),""))</f>
        <v/>
      </c>
      <c r="AQ312" s="31">
        <f>IF(Y312=1,(IF(ISNUMBER(AF312),AF312,0)*'參數'!$B$13+IF(ISNUMBER(AM312),AM312,0)*'參數'!$B$14+IF(ISNUMBER(AO312),AO312,0)*'參數'!$B$15+IF(ISNUMBER(AP312),AP312,0)*'參數'!$B$16)/('參數'!$B$13+'參數'!$B$14+'參數'!$B$15+'參數'!$B$16),"")</f>
        <v/>
      </c>
      <c r="AR312" s="35">
        <f>IF(Y312=1,(SUMPRODUCT(($X$5:$X$404=X312)*($Y$5:$Y$404=1)*($BD$5:$BD$404&gt;BD312))+1)/COUNTIFS($X$5:$X$404,X312,$Y$5:$Y$404,1),"")</f>
        <v/>
      </c>
      <c r="AS312" s="8">
        <f>IF(ISNUMBER(AR312),IF(AR312&lt;='參數'!$B$18,"加碼候選",IF(AR312&gt;'參數'!$B$19,"減碼候選","")),"")</f>
        <v/>
      </c>
      <c r="AT312" s="7">
        <f>IF(Y312=1,N312,0)</f>
        <v/>
      </c>
      <c r="AU312" s="7">
        <f>IF(Y312=1,LN(O312),0)</f>
        <v/>
      </c>
      <c r="AV312" s="36">
        <f>IF(Y312=1,IF(ISNUMBER(F312),F312,0),0)</f>
        <v/>
      </c>
      <c r="AW312" s="7">
        <f>IF(Y312=1,Z312,0)</f>
        <v/>
      </c>
      <c r="AX312" s="7">
        <f>IF(Y312=1,IF(ISNUMBER(AL312),AL312,0),0)</f>
        <v/>
      </c>
      <c r="AY312" s="7">
        <f>IF(Y312=1,IF(ISNUMBER(AL312),1,0),0)</f>
        <v/>
      </c>
      <c r="AZ312" s="7">
        <f>IF(Y312=1,IF(ISNUMBER(AN312),AN312,0),0)</f>
        <v/>
      </c>
      <c r="BA312" s="7">
        <f>IF(Y312=1,IF(ISNUMBER(AN312),1,0),0)</f>
        <v/>
      </c>
      <c r="BB312" s="7">
        <f>IF(Y312=1,IF(ISNUMBER(T312),T312,0),0)</f>
        <v/>
      </c>
      <c r="BC312" s="7">
        <f>IF(Y312=1,IF(ISNUMBER(T312),1,0),0)</f>
        <v/>
      </c>
      <c r="BD312" s="7">
        <f>IF(Y312=1,AQ312+ROW()/1E9,-1E9)</f>
        <v/>
      </c>
      <c r="BE312" s="7">
        <f>IF(Y312=1,AQ312+ROW()/1E9,1E9)</f>
        <v/>
      </c>
    </row>
    <row r="313">
      <c r="A313" s="16" t="n"/>
      <c r="B313" s="8">
        <f>IF($A313="","",BDP($A313,B$3))</f>
        <v/>
      </c>
      <c r="C313" s="8">
        <f>IF($A313="","",BDP($A313,C$3))</f>
        <v/>
      </c>
      <c r="D313" s="28">
        <f>IF($A313="","",BDP($A313,D$3))</f>
        <v/>
      </c>
      <c r="E313" s="29">
        <f>IF($A313="","",BDP($A313,E$3))</f>
        <v/>
      </c>
      <c r="F313" s="17">
        <f>IF($A313="","",BDP($A313,F$3))</f>
        <v/>
      </c>
      <c r="G313" s="8">
        <f>IF($A313="","",BDP($A313,G$3))</f>
        <v/>
      </c>
      <c r="H313" s="8">
        <f>IF($A313="","",BDP($A313,H$3))</f>
        <v/>
      </c>
      <c r="I313" s="8">
        <f>IF($A313="","",BDP($A313,I$3))</f>
        <v/>
      </c>
      <c r="J313" s="8">
        <f>IF($A313="","",BDP($A313,J$3))</f>
        <v/>
      </c>
      <c r="K313" s="8">
        <f>IF($A313="","",BDP($A313,K$3))</f>
        <v/>
      </c>
      <c r="L313" s="28">
        <f>IF($A313="","",BDP($A313,L$3))</f>
        <v/>
      </c>
      <c r="M313" s="28">
        <f>IF($A313="","",BDP($A313,M$3))</f>
        <v/>
      </c>
      <c r="N313" s="30">
        <f>IF($A313="","",BDP($A313,N$3))</f>
        <v/>
      </c>
      <c r="O313" s="31">
        <f>IF($A313="","",BDP($A313,O$3))</f>
        <v/>
      </c>
      <c r="P313" s="30">
        <f>IF($A313="","",BDH($A313,$N$3,'參數'!$B$5,'參數'!$B$5,"Days=A","Fill=P","Dates=H"))</f>
        <v/>
      </c>
      <c r="Q313" s="30">
        <f>IF($A313="","",BDH($A313,$N$3,'參數'!$B$6,'參數'!$B$6,"Days=A","Fill=P","Dates=H"))</f>
        <v/>
      </c>
      <c r="R313" s="30">
        <f>IF($A313="","",BDH($A313,$N$3,'參數'!$B$7,'參數'!$B$7,"Days=A","Fill=P","Dates=H"))</f>
        <v/>
      </c>
      <c r="S313" s="32">
        <f>IF($A313="","",IFERROR(INDEX('發行人'!$A$5:$A$44,MATCH(B313,'發行人'!$D$5:$D$44,0)),"未對應"))</f>
        <v/>
      </c>
      <c r="T313" s="24">
        <f>IF($A313="","",IFERROR(INDEX('發行人'!$G$5:$G$44,MATCH(B313,'發行人'!$D$5:$D$44,0))+0,""))</f>
        <v/>
      </c>
      <c r="U313" s="18">
        <f>IF(ISNUMBER(E313),YEARFRAC('參數'!$B$4,E313),"")</f>
        <v/>
      </c>
      <c r="V313" s="8">
        <f>IF(U313="","",IF(U313&lt;3,"1-3y",IF(U313&lt;5,"3-5y",IF(U313&lt;7,"5-7y",IF(U313&lt;10,"7-10y","10y+")))))</f>
        <v/>
      </c>
      <c r="W313" s="30">
        <f>IF($A313="","",IFERROR(INDEX('參數'!$B$24:$B$45,MATCH(G313,'參數'!$A$24:$A$45,0)),""))</f>
        <v/>
      </c>
      <c r="X313" s="8">
        <f>IF($A313="","",IFERROR(INDEX('參數'!$C$24:$C$45,MATCH(G313,'參數'!$A$24:$A$45,0)),""))</f>
        <v/>
      </c>
      <c r="Y313" s="30">
        <f>IF(AND(ISNUMBER(N313),ISNUMBER(O313),ISNUMBER(U313)),IF(AND(O313&gt;0,X313&lt;&gt;""),1,0),0)</f>
        <v/>
      </c>
      <c r="Z313" s="17">
        <f>IF(Y313=1,O313*N313,"")</f>
        <v/>
      </c>
      <c r="AA313" s="33">
        <f>IF(Y313=1,IF(ISNUMBER(Q313),N313-Q313,""),"")</f>
        <v/>
      </c>
      <c r="AB313" s="33">
        <f>IF(Y313=1,IF(AND(ISNUMBER(P313),ISNUMBER(R313)),R313*5/12-O313*(P313-R313),""),"")</f>
        <v/>
      </c>
      <c r="AC313" s="30">
        <f>IF(Y313=1,COUNTIFS($X$5:$X$404,X313,$V$5:$V$404,V313,$Y$5:$Y$404,1),"")</f>
        <v/>
      </c>
      <c r="AD313" s="30">
        <f>IF(Y313=1,IFERROR(IF(AC313&gt;='參數'!$B$9,INDEX('分群統計'!$G$13:$K$16,MATCH(X313,'分群統計'!$A$13:$A$16,0),MATCH(V313,'分群統計'!$G$12:$K$12,0)),INDEX('分群統計'!$I$5:$I$8,MATCH(X313,'分群統計'!$A$5:$A$8,0))),""),"")</f>
        <v/>
      </c>
      <c r="AE313" s="18">
        <f>IF(Y313=1,IFERROR(IF(AC313&gt;='參數'!$B$9,INDEX('分群統計'!$L$13:$P$16,MATCH(X313,'分群統計'!$A$13:$A$16,0),MATCH(V313,'分群統計'!$L$12:$P$12,0)),INDEX('分群統計'!$J$5:$J$8,MATCH(X313,'分群統計'!$A$5:$A$8,0))),""),"")</f>
        <v/>
      </c>
      <c r="AF313" s="31">
        <f>IF(ISNUMBER(AE313),IF(AE313&gt;0,MAX(-3,MIN(3,(N313-AD313)/AE313)),0),"")</f>
        <v/>
      </c>
      <c r="AG313" s="30">
        <f>IF(Y313=1,COUNTIFS($B$5:$B$404,B313,$Y$5:$Y$404,1),"")</f>
        <v/>
      </c>
      <c r="AH313" s="30">
        <f>IF(Y313=1,IFERROR(IF(ISNUMBER(INDEX('分群統計'!$G$20:$G$59,MATCH(B313,'分群統計'!$A$20:$A$59,0))),INDEX('分群統計'!$H$20:$H$59,MATCH(B313,'分群統計'!$A$20:$A$59,0))+INDEX('分群統計'!$G$20:$G$59,MATCH(B313,'分群統計'!$A$20:$A$59,0))*AU313,""),""),"")</f>
        <v/>
      </c>
      <c r="AI313" s="34">
        <f>IF(ISNUMBER(AH313),N313-AH313,"")</f>
        <v/>
      </c>
      <c r="AJ313" s="30">
        <f>IF(Y313=1,IFERROR(IF(ISNUMBER(INDEX('分群統計'!$G$5:$G$8,MATCH(X313,'分群統計'!$A$5:$A$8,0))),INDEX('分群統計'!$H$5:$H$8,MATCH(X313,'分群統計'!$A$5:$A$8,0))+INDEX('分群統計'!$G$5:$G$8,MATCH(X313,'分群統計'!$A$5:$A$8,0))*AU313,""),""),"")</f>
        <v/>
      </c>
      <c r="AK313" s="34">
        <f>IF(ISNUMBER(AJ313),N313-AJ313,"")</f>
        <v/>
      </c>
      <c r="AL313" s="21">
        <f>IF(ISNUMBER(AJ313),IF(AJ313&gt;0,AK313/AJ313,""),"")</f>
        <v/>
      </c>
      <c r="AM313" s="31">
        <f>IF(AY313&lt;&gt;1,"",IFERROR(IF(INDEX('分群統計'!$K$5:$K$8,MATCH(X313,'分群統計'!$A$5:$A$8,0))&lt;3,"",IF(INDEX('分群統計'!$M$5:$M$8,MATCH(X313,'分群統計'!$A$5:$A$8,0))&gt;0,MAX(-3,MIN(3,(AX313-INDEX('分群統計'!$L$5:$L$8,MATCH(X313,'分群統計'!$A$5:$A$8,0)))/INDEX('分群統計'!$M$5:$M$8,MATCH(X313,'分群統計'!$A$5:$A$8,0)))),0)),""))</f>
        <v/>
      </c>
      <c r="AN313" s="31">
        <f>IF(ISNUMBER(AB313),IF(Z313&gt;0,AB313/Z313*100,""),"")</f>
        <v/>
      </c>
      <c r="AO313" s="31">
        <f>IF(BA313&lt;&gt;1,"",IFERROR(IF(INDEX('分群統計'!$N$5:$N$8,MATCH(X313,'分群統計'!$A$5:$A$8,0))&lt;3,"",IF(INDEX('分群統計'!$P$5:$P$8,MATCH(X313,'分群統計'!$A$5:$A$8,0))&gt;0,MAX(-3,MIN(3,(AZ313-INDEX('分群統計'!$O$5:$O$8,MATCH(X313,'分群統計'!$A$5:$A$8,0)))/INDEX('分群統計'!$P$5:$P$8,MATCH(X313,'分群統計'!$A$5:$A$8,0)))),0)),""))</f>
        <v/>
      </c>
      <c r="AP313" s="31">
        <f>IF(BC313&lt;&gt;1,"",IFERROR(IF(INDEX('分群統計'!$Q$5:$Q$8,MATCH(X313,'分群統計'!$A$5:$A$8,0))&lt;3,"",IF(INDEX('分群統計'!$S$5:$S$8,MATCH(X313,'分群統計'!$A$5:$A$8,0))&gt;0,MAX(-3,MIN(3,(BB313-INDEX('分群統計'!$R$5:$R$8,MATCH(X313,'分群統計'!$A$5:$A$8,0)))/INDEX('分群統計'!$S$5:$S$8,MATCH(X313,'分群統計'!$A$5:$A$8,0)))),0)),""))</f>
        <v/>
      </c>
      <c r="AQ313" s="31">
        <f>IF(Y313=1,(IF(ISNUMBER(AF313),AF313,0)*'參數'!$B$13+IF(ISNUMBER(AM313),AM313,0)*'參數'!$B$14+IF(ISNUMBER(AO313),AO313,0)*'參數'!$B$15+IF(ISNUMBER(AP313),AP313,0)*'參數'!$B$16)/('參數'!$B$13+'參數'!$B$14+'參數'!$B$15+'參數'!$B$16),"")</f>
        <v/>
      </c>
      <c r="AR313" s="35">
        <f>IF(Y313=1,(SUMPRODUCT(($X$5:$X$404=X313)*($Y$5:$Y$404=1)*($BD$5:$BD$404&gt;BD313))+1)/COUNTIFS($X$5:$X$404,X313,$Y$5:$Y$404,1),"")</f>
        <v/>
      </c>
      <c r="AS313" s="8">
        <f>IF(ISNUMBER(AR313),IF(AR313&lt;='參數'!$B$18,"加碼候選",IF(AR313&gt;'參數'!$B$19,"減碼候選","")),"")</f>
        <v/>
      </c>
      <c r="AT313" s="7">
        <f>IF(Y313=1,N313,0)</f>
        <v/>
      </c>
      <c r="AU313" s="7">
        <f>IF(Y313=1,LN(O313),0)</f>
        <v/>
      </c>
      <c r="AV313" s="36">
        <f>IF(Y313=1,IF(ISNUMBER(F313),F313,0),0)</f>
        <v/>
      </c>
      <c r="AW313" s="7">
        <f>IF(Y313=1,Z313,0)</f>
        <v/>
      </c>
      <c r="AX313" s="7">
        <f>IF(Y313=1,IF(ISNUMBER(AL313),AL313,0),0)</f>
        <v/>
      </c>
      <c r="AY313" s="7">
        <f>IF(Y313=1,IF(ISNUMBER(AL313),1,0),0)</f>
        <v/>
      </c>
      <c r="AZ313" s="7">
        <f>IF(Y313=1,IF(ISNUMBER(AN313),AN313,0),0)</f>
        <v/>
      </c>
      <c r="BA313" s="7">
        <f>IF(Y313=1,IF(ISNUMBER(AN313),1,0),0)</f>
        <v/>
      </c>
      <c r="BB313" s="7">
        <f>IF(Y313=1,IF(ISNUMBER(T313),T313,0),0)</f>
        <v/>
      </c>
      <c r="BC313" s="7">
        <f>IF(Y313=1,IF(ISNUMBER(T313),1,0),0)</f>
        <v/>
      </c>
      <c r="BD313" s="7">
        <f>IF(Y313=1,AQ313+ROW()/1E9,-1E9)</f>
        <v/>
      </c>
      <c r="BE313" s="7">
        <f>IF(Y313=1,AQ313+ROW()/1E9,1E9)</f>
        <v/>
      </c>
    </row>
    <row r="314">
      <c r="A314" s="16" t="n"/>
      <c r="B314" s="8">
        <f>IF($A314="","",BDP($A314,B$3))</f>
        <v/>
      </c>
      <c r="C314" s="8">
        <f>IF($A314="","",BDP($A314,C$3))</f>
        <v/>
      </c>
      <c r="D314" s="28">
        <f>IF($A314="","",BDP($A314,D$3))</f>
        <v/>
      </c>
      <c r="E314" s="29">
        <f>IF($A314="","",BDP($A314,E$3))</f>
        <v/>
      </c>
      <c r="F314" s="17">
        <f>IF($A314="","",BDP($A314,F$3))</f>
        <v/>
      </c>
      <c r="G314" s="8">
        <f>IF($A314="","",BDP($A314,G$3))</f>
        <v/>
      </c>
      <c r="H314" s="8">
        <f>IF($A314="","",BDP($A314,H$3))</f>
        <v/>
      </c>
      <c r="I314" s="8">
        <f>IF($A314="","",BDP($A314,I$3))</f>
        <v/>
      </c>
      <c r="J314" s="8">
        <f>IF($A314="","",BDP($A314,J$3))</f>
        <v/>
      </c>
      <c r="K314" s="8">
        <f>IF($A314="","",BDP($A314,K$3))</f>
        <v/>
      </c>
      <c r="L314" s="28">
        <f>IF($A314="","",BDP($A314,L$3))</f>
        <v/>
      </c>
      <c r="M314" s="28">
        <f>IF($A314="","",BDP($A314,M$3))</f>
        <v/>
      </c>
      <c r="N314" s="30">
        <f>IF($A314="","",BDP($A314,N$3))</f>
        <v/>
      </c>
      <c r="O314" s="31">
        <f>IF($A314="","",BDP($A314,O$3))</f>
        <v/>
      </c>
      <c r="P314" s="30">
        <f>IF($A314="","",BDH($A314,$N$3,'參數'!$B$5,'參數'!$B$5,"Days=A","Fill=P","Dates=H"))</f>
        <v/>
      </c>
      <c r="Q314" s="30">
        <f>IF($A314="","",BDH($A314,$N$3,'參數'!$B$6,'參數'!$B$6,"Days=A","Fill=P","Dates=H"))</f>
        <v/>
      </c>
      <c r="R314" s="30">
        <f>IF($A314="","",BDH($A314,$N$3,'參數'!$B$7,'參數'!$B$7,"Days=A","Fill=P","Dates=H"))</f>
        <v/>
      </c>
      <c r="S314" s="32">
        <f>IF($A314="","",IFERROR(INDEX('發行人'!$A$5:$A$44,MATCH(B314,'發行人'!$D$5:$D$44,0)),"未對應"))</f>
        <v/>
      </c>
      <c r="T314" s="24">
        <f>IF($A314="","",IFERROR(INDEX('發行人'!$G$5:$G$44,MATCH(B314,'發行人'!$D$5:$D$44,0))+0,""))</f>
        <v/>
      </c>
      <c r="U314" s="18">
        <f>IF(ISNUMBER(E314),YEARFRAC('參數'!$B$4,E314),"")</f>
        <v/>
      </c>
      <c r="V314" s="8">
        <f>IF(U314="","",IF(U314&lt;3,"1-3y",IF(U314&lt;5,"3-5y",IF(U314&lt;7,"5-7y",IF(U314&lt;10,"7-10y","10y+")))))</f>
        <v/>
      </c>
      <c r="W314" s="30">
        <f>IF($A314="","",IFERROR(INDEX('參數'!$B$24:$B$45,MATCH(G314,'參數'!$A$24:$A$45,0)),""))</f>
        <v/>
      </c>
      <c r="X314" s="8">
        <f>IF($A314="","",IFERROR(INDEX('參數'!$C$24:$C$45,MATCH(G314,'參數'!$A$24:$A$45,0)),""))</f>
        <v/>
      </c>
      <c r="Y314" s="30">
        <f>IF(AND(ISNUMBER(N314),ISNUMBER(O314),ISNUMBER(U314)),IF(AND(O314&gt;0,X314&lt;&gt;""),1,0),0)</f>
        <v/>
      </c>
      <c r="Z314" s="17">
        <f>IF(Y314=1,O314*N314,"")</f>
        <v/>
      </c>
      <c r="AA314" s="33">
        <f>IF(Y314=1,IF(ISNUMBER(Q314),N314-Q314,""),"")</f>
        <v/>
      </c>
      <c r="AB314" s="33">
        <f>IF(Y314=1,IF(AND(ISNUMBER(P314),ISNUMBER(R314)),R314*5/12-O314*(P314-R314),""),"")</f>
        <v/>
      </c>
      <c r="AC314" s="30">
        <f>IF(Y314=1,COUNTIFS($X$5:$X$404,X314,$V$5:$V$404,V314,$Y$5:$Y$404,1),"")</f>
        <v/>
      </c>
      <c r="AD314" s="30">
        <f>IF(Y314=1,IFERROR(IF(AC314&gt;='參數'!$B$9,INDEX('分群統計'!$G$13:$K$16,MATCH(X314,'分群統計'!$A$13:$A$16,0),MATCH(V314,'分群統計'!$G$12:$K$12,0)),INDEX('分群統計'!$I$5:$I$8,MATCH(X314,'分群統計'!$A$5:$A$8,0))),""),"")</f>
        <v/>
      </c>
      <c r="AE314" s="18">
        <f>IF(Y314=1,IFERROR(IF(AC314&gt;='參數'!$B$9,INDEX('分群統計'!$L$13:$P$16,MATCH(X314,'分群統計'!$A$13:$A$16,0),MATCH(V314,'分群統計'!$L$12:$P$12,0)),INDEX('分群統計'!$J$5:$J$8,MATCH(X314,'分群統計'!$A$5:$A$8,0))),""),"")</f>
        <v/>
      </c>
      <c r="AF314" s="31">
        <f>IF(ISNUMBER(AE314),IF(AE314&gt;0,MAX(-3,MIN(3,(N314-AD314)/AE314)),0),"")</f>
        <v/>
      </c>
      <c r="AG314" s="30">
        <f>IF(Y314=1,COUNTIFS($B$5:$B$404,B314,$Y$5:$Y$404,1),"")</f>
        <v/>
      </c>
      <c r="AH314" s="30">
        <f>IF(Y314=1,IFERROR(IF(ISNUMBER(INDEX('分群統計'!$G$20:$G$59,MATCH(B314,'分群統計'!$A$20:$A$59,0))),INDEX('分群統計'!$H$20:$H$59,MATCH(B314,'分群統計'!$A$20:$A$59,0))+INDEX('分群統計'!$G$20:$G$59,MATCH(B314,'分群統計'!$A$20:$A$59,0))*AU314,""),""),"")</f>
        <v/>
      </c>
      <c r="AI314" s="34">
        <f>IF(ISNUMBER(AH314),N314-AH314,"")</f>
        <v/>
      </c>
      <c r="AJ314" s="30">
        <f>IF(Y314=1,IFERROR(IF(ISNUMBER(INDEX('分群統計'!$G$5:$G$8,MATCH(X314,'分群統計'!$A$5:$A$8,0))),INDEX('分群統計'!$H$5:$H$8,MATCH(X314,'分群統計'!$A$5:$A$8,0))+INDEX('分群統計'!$G$5:$G$8,MATCH(X314,'分群統計'!$A$5:$A$8,0))*AU314,""),""),"")</f>
        <v/>
      </c>
      <c r="AK314" s="34">
        <f>IF(ISNUMBER(AJ314),N314-AJ314,"")</f>
        <v/>
      </c>
      <c r="AL314" s="21">
        <f>IF(ISNUMBER(AJ314),IF(AJ314&gt;0,AK314/AJ314,""),"")</f>
        <v/>
      </c>
      <c r="AM314" s="31">
        <f>IF(AY314&lt;&gt;1,"",IFERROR(IF(INDEX('分群統計'!$K$5:$K$8,MATCH(X314,'分群統計'!$A$5:$A$8,0))&lt;3,"",IF(INDEX('分群統計'!$M$5:$M$8,MATCH(X314,'分群統計'!$A$5:$A$8,0))&gt;0,MAX(-3,MIN(3,(AX314-INDEX('分群統計'!$L$5:$L$8,MATCH(X314,'分群統計'!$A$5:$A$8,0)))/INDEX('分群統計'!$M$5:$M$8,MATCH(X314,'分群統計'!$A$5:$A$8,0)))),0)),""))</f>
        <v/>
      </c>
      <c r="AN314" s="31">
        <f>IF(ISNUMBER(AB314),IF(Z314&gt;0,AB314/Z314*100,""),"")</f>
        <v/>
      </c>
      <c r="AO314" s="31">
        <f>IF(BA314&lt;&gt;1,"",IFERROR(IF(INDEX('分群統計'!$N$5:$N$8,MATCH(X314,'分群統計'!$A$5:$A$8,0))&lt;3,"",IF(INDEX('分群統計'!$P$5:$P$8,MATCH(X314,'分群統計'!$A$5:$A$8,0))&gt;0,MAX(-3,MIN(3,(AZ314-INDEX('分群統計'!$O$5:$O$8,MATCH(X314,'分群統計'!$A$5:$A$8,0)))/INDEX('分群統計'!$P$5:$P$8,MATCH(X314,'分群統計'!$A$5:$A$8,0)))),0)),""))</f>
        <v/>
      </c>
      <c r="AP314" s="31">
        <f>IF(BC314&lt;&gt;1,"",IFERROR(IF(INDEX('分群統計'!$Q$5:$Q$8,MATCH(X314,'分群統計'!$A$5:$A$8,0))&lt;3,"",IF(INDEX('分群統計'!$S$5:$S$8,MATCH(X314,'分群統計'!$A$5:$A$8,0))&gt;0,MAX(-3,MIN(3,(BB314-INDEX('分群統計'!$R$5:$R$8,MATCH(X314,'分群統計'!$A$5:$A$8,0)))/INDEX('分群統計'!$S$5:$S$8,MATCH(X314,'分群統計'!$A$5:$A$8,0)))),0)),""))</f>
        <v/>
      </c>
      <c r="AQ314" s="31">
        <f>IF(Y314=1,(IF(ISNUMBER(AF314),AF314,0)*'參數'!$B$13+IF(ISNUMBER(AM314),AM314,0)*'參數'!$B$14+IF(ISNUMBER(AO314),AO314,0)*'參數'!$B$15+IF(ISNUMBER(AP314),AP314,0)*'參數'!$B$16)/('參數'!$B$13+'參數'!$B$14+'參數'!$B$15+'參數'!$B$16),"")</f>
        <v/>
      </c>
      <c r="AR314" s="35">
        <f>IF(Y314=1,(SUMPRODUCT(($X$5:$X$404=X314)*($Y$5:$Y$404=1)*($BD$5:$BD$404&gt;BD314))+1)/COUNTIFS($X$5:$X$404,X314,$Y$5:$Y$404,1),"")</f>
        <v/>
      </c>
      <c r="AS314" s="8">
        <f>IF(ISNUMBER(AR314),IF(AR314&lt;='參數'!$B$18,"加碼候選",IF(AR314&gt;'參數'!$B$19,"減碼候選","")),"")</f>
        <v/>
      </c>
      <c r="AT314" s="7">
        <f>IF(Y314=1,N314,0)</f>
        <v/>
      </c>
      <c r="AU314" s="7">
        <f>IF(Y314=1,LN(O314),0)</f>
        <v/>
      </c>
      <c r="AV314" s="36">
        <f>IF(Y314=1,IF(ISNUMBER(F314),F314,0),0)</f>
        <v/>
      </c>
      <c r="AW314" s="7">
        <f>IF(Y314=1,Z314,0)</f>
        <v/>
      </c>
      <c r="AX314" s="7">
        <f>IF(Y314=1,IF(ISNUMBER(AL314),AL314,0),0)</f>
        <v/>
      </c>
      <c r="AY314" s="7">
        <f>IF(Y314=1,IF(ISNUMBER(AL314),1,0),0)</f>
        <v/>
      </c>
      <c r="AZ314" s="7">
        <f>IF(Y314=1,IF(ISNUMBER(AN314),AN314,0),0)</f>
        <v/>
      </c>
      <c r="BA314" s="7">
        <f>IF(Y314=1,IF(ISNUMBER(AN314),1,0),0)</f>
        <v/>
      </c>
      <c r="BB314" s="7">
        <f>IF(Y314=1,IF(ISNUMBER(T314),T314,0),0)</f>
        <v/>
      </c>
      <c r="BC314" s="7">
        <f>IF(Y314=1,IF(ISNUMBER(T314),1,0),0)</f>
        <v/>
      </c>
      <c r="BD314" s="7">
        <f>IF(Y314=1,AQ314+ROW()/1E9,-1E9)</f>
        <v/>
      </c>
      <c r="BE314" s="7">
        <f>IF(Y314=1,AQ314+ROW()/1E9,1E9)</f>
        <v/>
      </c>
    </row>
    <row r="315">
      <c r="A315" s="16" t="n"/>
      <c r="B315" s="8">
        <f>IF($A315="","",BDP($A315,B$3))</f>
        <v/>
      </c>
      <c r="C315" s="8">
        <f>IF($A315="","",BDP($A315,C$3))</f>
        <v/>
      </c>
      <c r="D315" s="28">
        <f>IF($A315="","",BDP($A315,D$3))</f>
        <v/>
      </c>
      <c r="E315" s="29">
        <f>IF($A315="","",BDP($A315,E$3))</f>
        <v/>
      </c>
      <c r="F315" s="17">
        <f>IF($A315="","",BDP($A315,F$3))</f>
        <v/>
      </c>
      <c r="G315" s="8">
        <f>IF($A315="","",BDP($A315,G$3))</f>
        <v/>
      </c>
      <c r="H315" s="8">
        <f>IF($A315="","",BDP($A315,H$3))</f>
        <v/>
      </c>
      <c r="I315" s="8">
        <f>IF($A315="","",BDP($A315,I$3))</f>
        <v/>
      </c>
      <c r="J315" s="8">
        <f>IF($A315="","",BDP($A315,J$3))</f>
        <v/>
      </c>
      <c r="K315" s="8">
        <f>IF($A315="","",BDP($A315,K$3))</f>
        <v/>
      </c>
      <c r="L315" s="28">
        <f>IF($A315="","",BDP($A315,L$3))</f>
        <v/>
      </c>
      <c r="M315" s="28">
        <f>IF($A315="","",BDP($A315,M$3))</f>
        <v/>
      </c>
      <c r="N315" s="30">
        <f>IF($A315="","",BDP($A315,N$3))</f>
        <v/>
      </c>
      <c r="O315" s="31">
        <f>IF($A315="","",BDP($A315,O$3))</f>
        <v/>
      </c>
      <c r="P315" s="30">
        <f>IF($A315="","",BDH($A315,$N$3,'參數'!$B$5,'參數'!$B$5,"Days=A","Fill=P","Dates=H"))</f>
        <v/>
      </c>
      <c r="Q315" s="30">
        <f>IF($A315="","",BDH($A315,$N$3,'參數'!$B$6,'參數'!$B$6,"Days=A","Fill=P","Dates=H"))</f>
        <v/>
      </c>
      <c r="R315" s="30">
        <f>IF($A315="","",BDH($A315,$N$3,'參數'!$B$7,'參數'!$B$7,"Days=A","Fill=P","Dates=H"))</f>
        <v/>
      </c>
      <c r="S315" s="32">
        <f>IF($A315="","",IFERROR(INDEX('發行人'!$A$5:$A$44,MATCH(B315,'發行人'!$D$5:$D$44,0)),"未對應"))</f>
        <v/>
      </c>
      <c r="T315" s="24">
        <f>IF($A315="","",IFERROR(INDEX('發行人'!$G$5:$G$44,MATCH(B315,'發行人'!$D$5:$D$44,0))+0,""))</f>
        <v/>
      </c>
      <c r="U315" s="18">
        <f>IF(ISNUMBER(E315),YEARFRAC('參數'!$B$4,E315),"")</f>
        <v/>
      </c>
      <c r="V315" s="8">
        <f>IF(U315="","",IF(U315&lt;3,"1-3y",IF(U315&lt;5,"3-5y",IF(U315&lt;7,"5-7y",IF(U315&lt;10,"7-10y","10y+")))))</f>
        <v/>
      </c>
      <c r="W315" s="30">
        <f>IF($A315="","",IFERROR(INDEX('參數'!$B$24:$B$45,MATCH(G315,'參數'!$A$24:$A$45,0)),""))</f>
        <v/>
      </c>
      <c r="X315" s="8">
        <f>IF($A315="","",IFERROR(INDEX('參數'!$C$24:$C$45,MATCH(G315,'參數'!$A$24:$A$45,0)),""))</f>
        <v/>
      </c>
      <c r="Y315" s="30">
        <f>IF(AND(ISNUMBER(N315),ISNUMBER(O315),ISNUMBER(U315)),IF(AND(O315&gt;0,X315&lt;&gt;""),1,0),0)</f>
        <v/>
      </c>
      <c r="Z315" s="17">
        <f>IF(Y315=1,O315*N315,"")</f>
        <v/>
      </c>
      <c r="AA315" s="33">
        <f>IF(Y315=1,IF(ISNUMBER(Q315),N315-Q315,""),"")</f>
        <v/>
      </c>
      <c r="AB315" s="33">
        <f>IF(Y315=1,IF(AND(ISNUMBER(P315),ISNUMBER(R315)),R315*5/12-O315*(P315-R315),""),"")</f>
        <v/>
      </c>
      <c r="AC315" s="30">
        <f>IF(Y315=1,COUNTIFS($X$5:$X$404,X315,$V$5:$V$404,V315,$Y$5:$Y$404,1),"")</f>
        <v/>
      </c>
      <c r="AD315" s="30">
        <f>IF(Y315=1,IFERROR(IF(AC315&gt;='參數'!$B$9,INDEX('分群統計'!$G$13:$K$16,MATCH(X315,'分群統計'!$A$13:$A$16,0),MATCH(V315,'分群統計'!$G$12:$K$12,0)),INDEX('分群統計'!$I$5:$I$8,MATCH(X315,'分群統計'!$A$5:$A$8,0))),""),"")</f>
        <v/>
      </c>
      <c r="AE315" s="18">
        <f>IF(Y315=1,IFERROR(IF(AC315&gt;='參數'!$B$9,INDEX('分群統計'!$L$13:$P$16,MATCH(X315,'分群統計'!$A$13:$A$16,0),MATCH(V315,'分群統計'!$L$12:$P$12,0)),INDEX('分群統計'!$J$5:$J$8,MATCH(X315,'分群統計'!$A$5:$A$8,0))),""),"")</f>
        <v/>
      </c>
      <c r="AF315" s="31">
        <f>IF(ISNUMBER(AE315),IF(AE315&gt;0,MAX(-3,MIN(3,(N315-AD315)/AE315)),0),"")</f>
        <v/>
      </c>
      <c r="AG315" s="30">
        <f>IF(Y315=1,COUNTIFS($B$5:$B$404,B315,$Y$5:$Y$404,1),"")</f>
        <v/>
      </c>
      <c r="AH315" s="30">
        <f>IF(Y315=1,IFERROR(IF(ISNUMBER(INDEX('分群統計'!$G$20:$G$59,MATCH(B315,'分群統計'!$A$20:$A$59,0))),INDEX('分群統計'!$H$20:$H$59,MATCH(B315,'分群統計'!$A$20:$A$59,0))+INDEX('分群統計'!$G$20:$G$59,MATCH(B315,'分群統計'!$A$20:$A$59,0))*AU315,""),""),"")</f>
        <v/>
      </c>
      <c r="AI315" s="34">
        <f>IF(ISNUMBER(AH315),N315-AH315,"")</f>
        <v/>
      </c>
      <c r="AJ315" s="30">
        <f>IF(Y315=1,IFERROR(IF(ISNUMBER(INDEX('分群統計'!$G$5:$G$8,MATCH(X315,'分群統計'!$A$5:$A$8,0))),INDEX('分群統計'!$H$5:$H$8,MATCH(X315,'分群統計'!$A$5:$A$8,0))+INDEX('分群統計'!$G$5:$G$8,MATCH(X315,'分群統計'!$A$5:$A$8,0))*AU315,""),""),"")</f>
        <v/>
      </c>
      <c r="AK315" s="34">
        <f>IF(ISNUMBER(AJ315),N315-AJ315,"")</f>
        <v/>
      </c>
      <c r="AL315" s="21">
        <f>IF(ISNUMBER(AJ315),IF(AJ315&gt;0,AK315/AJ315,""),"")</f>
        <v/>
      </c>
      <c r="AM315" s="31">
        <f>IF(AY315&lt;&gt;1,"",IFERROR(IF(INDEX('分群統計'!$K$5:$K$8,MATCH(X315,'分群統計'!$A$5:$A$8,0))&lt;3,"",IF(INDEX('分群統計'!$M$5:$M$8,MATCH(X315,'分群統計'!$A$5:$A$8,0))&gt;0,MAX(-3,MIN(3,(AX315-INDEX('分群統計'!$L$5:$L$8,MATCH(X315,'分群統計'!$A$5:$A$8,0)))/INDEX('分群統計'!$M$5:$M$8,MATCH(X315,'分群統計'!$A$5:$A$8,0)))),0)),""))</f>
        <v/>
      </c>
      <c r="AN315" s="31">
        <f>IF(ISNUMBER(AB315),IF(Z315&gt;0,AB315/Z315*100,""),"")</f>
        <v/>
      </c>
      <c r="AO315" s="31">
        <f>IF(BA315&lt;&gt;1,"",IFERROR(IF(INDEX('分群統計'!$N$5:$N$8,MATCH(X315,'分群統計'!$A$5:$A$8,0))&lt;3,"",IF(INDEX('分群統計'!$P$5:$P$8,MATCH(X315,'分群統計'!$A$5:$A$8,0))&gt;0,MAX(-3,MIN(3,(AZ315-INDEX('分群統計'!$O$5:$O$8,MATCH(X315,'分群統計'!$A$5:$A$8,0)))/INDEX('分群統計'!$P$5:$P$8,MATCH(X315,'分群統計'!$A$5:$A$8,0)))),0)),""))</f>
        <v/>
      </c>
      <c r="AP315" s="31">
        <f>IF(BC315&lt;&gt;1,"",IFERROR(IF(INDEX('分群統計'!$Q$5:$Q$8,MATCH(X315,'分群統計'!$A$5:$A$8,0))&lt;3,"",IF(INDEX('分群統計'!$S$5:$S$8,MATCH(X315,'分群統計'!$A$5:$A$8,0))&gt;0,MAX(-3,MIN(3,(BB315-INDEX('分群統計'!$R$5:$R$8,MATCH(X315,'分群統計'!$A$5:$A$8,0)))/INDEX('分群統計'!$S$5:$S$8,MATCH(X315,'分群統計'!$A$5:$A$8,0)))),0)),""))</f>
        <v/>
      </c>
      <c r="AQ315" s="31">
        <f>IF(Y315=1,(IF(ISNUMBER(AF315),AF315,0)*'參數'!$B$13+IF(ISNUMBER(AM315),AM315,0)*'參數'!$B$14+IF(ISNUMBER(AO315),AO315,0)*'參數'!$B$15+IF(ISNUMBER(AP315),AP315,0)*'參數'!$B$16)/('參數'!$B$13+'參數'!$B$14+'參數'!$B$15+'參數'!$B$16),"")</f>
        <v/>
      </c>
      <c r="AR315" s="35">
        <f>IF(Y315=1,(SUMPRODUCT(($X$5:$X$404=X315)*($Y$5:$Y$404=1)*($BD$5:$BD$404&gt;BD315))+1)/COUNTIFS($X$5:$X$404,X315,$Y$5:$Y$404,1),"")</f>
        <v/>
      </c>
      <c r="AS315" s="8">
        <f>IF(ISNUMBER(AR315),IF(AR315&lt;='參數'!$B$18,"加碼候選",IF(AR315&gt;'參數'!$B$19,"減碼候選","")),"")</f>
        <v/>
      </c>
      <c r="AT315" s="7">
        <f>IF(Y315=1,N315,0)</f>
        <v/>
      </c>
      <c r="AU315" s="7">
        <f>IF(Y315=1,LN(O315),0)</f>
        <v/>
      </c>
      <c r="AV315" s="36">
        <f>IF(Y315=1,IF(ISNUMBER(F315),F315,0),0)</f>
        <v/>
      </c>
      <c r="AW315" s="7">
        <f>IF(Y315=1,Z315,0)</f>
        <v/>
      </c>
      <c r="AX315" s="7">
        <f>IF(Y315=1,IF(ISNUMBER(AL315),AL315,0),0)</f>
        <v/>
      </c>
      <c r="AY315" s="7">
        <f>IF(Y315=1,IF(ISNUMBER(AL315),1,0),0)</f>
        <v/>
      </c>
      <c r="AZ315" s="7">
        <f>IF(Y315=1,IF(ISNUMBER(AN315),AN315,0),0)</f>
        <v/>
      </c>
      <c r="BA315" s="7">
        <f>IF(Y315=1,IF(ISNUMBER(AN315),1,0),0)</f>
        <v/>
      </c>
      <c r="BB315" s="7">
        <f>IF(Y315=1,IF(ISNUMBER(T315),T315,0),0)</f>
        <v/>
      </c>
      <c r="BC315" s="7">
        <f>IF(Y315=1,IF(ISNUMBER(T315),1,0),0)</f>
        <v/>
      </c>
      <c r="BD315" s="7">
        <f>IF(Y315=1,AQ315+ROW()/1E9,-1E9)</f>
        <v/>
      </c>
      <c r="BE315" s="7">
        <f>IF(Y315=1,AQ315+ROW()/1E9,1E9)</f>
        <v/>
      </c>
    </row>
    <row r="316">
      <c r="A316" s="16" t="n"/>
      <c r="B316" s="8">
        <f>IF($A316="","",BDP($A316,B$3))</f>
        <v/>
      </c>
      <c r="C316" s="8">
        <f>IF($A316="","",BDP($A316,C$3))</f>
        <v/>
      </c>
      <c r="D316" s="28">
        <f>IF($A316="","",BDP($A316,D$3))</f>
        <v/>
      </c>
      <c r="E316" s="29">
        <f>IF($A316="","",BDP($A316,E$3))</f>
        <v/>
      </c>
      <c r="F316" s="17">
        <f>IF($A316="","",BDP($A316,F$3))</f>
        <v/>
      </c>
      <c r="G316" s="8">
        <f>IF($A316="","",BDP($A316,G$3))</f>
        <v/>
      </c>
      <c r="H316" s="8">
        <f>IF($A316="","",BDP($A316,H$3))</f>
        <v/>
      </c>
      <c r="I316" s="8">
        <f>IF($A316="","",BDP($A316,I$3))</f>
        <v/>
      </c>
      <c r="J316" s="8">
        <f>IF($A316="","",BDP($A316,J$3))</f>
        <v/>
      </c>
      <c r="K316" s="8">
        <f>IF($A316="","",BDP($A316,K$3))</f>
        <v/>
      </c>
      <c r="L316" s="28">
        <f>IF($A316="","",BDP($A316,L$3))</f>
        <v/>
      </c>
      <c r="M316" s="28">
        <f>IF($A316="","",BDP($A316,M$3))</f>
        <v/>
      </c>
      <c r="N316" s="30">
        <f>IF($A316="","",BDP($A316,N$3))</f>
        <v/>
      </c>
      <c r="O316" s="31">
        <f>IF($A316="","",BDP($A316,O$3))</f>
        <v/>
      </c>
      <c r="P316" s="30">
        <f>IF($A316="","",BDH($A316,$N$3,'參數'!$B$5,'參數'!$B$5,"Days=A","Fill=P","Dates=H"))</f>
        <v/>
      </c>
      <c r="Q316" s="30">
        <f>IF($A316="","",BDH($A316,$N$3,'參數'!$B$6,'參數'!$B$6,"Days=A","Fill=P","Dates=H"))</f>
        <v/>
      </c>
      <c r="R316" s="30">
        <f>IF($A316="","",BDH($A316,$N$3,'參數'!$B$7,'參數'!$B$7,"Days=A","Fill=P","Dates=H"))</f>
        <v/>
      </c>
      <c r="S316" s="32">
        <f>IF($A316="","",IFERROR(INDEX('發行人'!$A$5:$A$44,MATCH(B316,'發行人'!$D$5:$D$44,0)),"未對應"))</f>
        <v/>
      </c>
      <c r="T316" s="24">
        <f>IF($A316="","",IFERROR(INDEX('發行人'!$G$5:$G$44,MATCH(B316,'發行人'!$D$5:$D$44,0))+0,""))</f>
        <v/>
      </c>
      <c r="U316" s="18">
        <f>IF(ISNUMBER(E316),YEARFRAC('參數'!$B$4,E316),"")</f>
        <v/>
      </c>
      <c r="V316" s="8">
        <f>IF(U316="","",IF(U316&lt;3,"1-3y",IF(U316&lt;5,"3-5y",IF(U316&lt;7,"5-7y",IF(U316&lt;10,"7-10y","10y+")))))</f>
        <v/>
      </c>
      <c r="W316" s="30">
        <f>IF($A316="","",IFERROR(INDEX('參數'!$B$24:$B$45,MATCH(G316,'參數'!$A$24:$A$45,0)),""))</f>
        <v/>
      </c>
      <c r="X316" s="8">
        <f>IF($A316="","",IFERROR(INDEX('參數'!$C$24:$C$45,MATCH(G316,'參數'!$A$24:$A$45,0)),""))</f>
        <v/>
      </c>
      <c r="Y316" s="30">
        <f>IF(AND(ISNUMBER(N316),ISNUMBER(O316),ISNUMBER(U316)),IF(AND(O316&gt;0,X316&lt;&gt;""),1,0),0)</f>
        <v/>
      </c>
      <c r="Z316" s="17">
        <f>IF(Y316=1,O316*N316,"")</f>
        <v/>
      </c>
      <c r="AA316" s="33">
        <f>IF(Y316=1,IF(ISNUMBER(Q316),N316-Q316,""),"")</f>
        <v/>
      </c>
      <c r="AB316" s="33">
        <f>IF(Y316=1,IF(AND(ISNUMBER(P316),ISNUMBER(R316)),R316*5/12-O316*(P316-R316),""),"")</f>
        <v/>
      </c>
      <c r="AC316" s="30">
        <f>IF(Y316=1,COUNTIFS($X$5:$X$404,X316,$V$5:$V$404,V316,$Y$5:$Y$404,1),"")</f>
        <v/>
      </c>
      <c r="AD316" s="30">
        <f>IF(Y316=1,IFERROR(IF(AC316&gt;='參數'!$B$9,INDEX('分群統計'!$G$13:$K$16,MATCH(X316,'分群統計'!$A$13:$A$16,0),MATCH(V316,'分群統計'!$G$12:$K$12,0)),INDEX('分群統計'!$I$5:$I$8,MATCH(X316,'分群統計'!$A$5:$A$8,0))),""),"")</f>
        <v/>
      </c>
      <c r="AE316" s="18">
        <f>IF(Y316=1,IFERROR(IF(AC316&gt;='參數'!$B$9,INDEX('分群統計'!$L$13:$P$16,MATCH(X316,'分群統計'!$A$13:$A$16,0),MATCH(V316,'分群統計'!$L$12:$P$12,0)),INDEX('分群統計'!$J$5:$J$8,MATCH(X316,'分群統計'!$A$5:$A$8,0))),""),"")</f>
        <v/>
      </c>
      <c r="AF316" s="31">
        <f>IF(ISNUMBER(AE316),IF(AE316&gt;0,MAX(-3,MIN(3,(N316-AD316)/AE316)),0),"")</f>
        <v/>
      </c>
      <c r="AG316" s="30">
        <f>IF(Y316=1,COUNTIFS($B$5:$B$404,B316,$Y$5:$Y$404,1),"")</f>
        <v/>
      </c>
      <c r="AH316" s="30">
        <f>IF(Y316=1,IFERROR(IF(ISNUMBER(INDEX('分群統計'!$G$20:$G$59,MATCH(B316,'分群統計'!$A$20:$A$59,0))),INDEX('分群統計'!$H$20:$H$59,MATCH(B316,'分群統計'!$A$20:$A$59,0))+INDEX('分群統計'!$G$20:$G$59,MATCH(B316,'分群統計'!$A$20:$A$59,0))*AU316,""),""),"")</f>
        <v/>
      </c>
      <c r="AI316" s="34">
        <f>IF(ISNUMBER(AH316),N316-AH316,"")</f>
        <v/>
      </c>
      <c r="AJ316" s="30">
        <f>IF(Y316=1,IFERROR(IF(ISNUMBER(INDEX('分群統計'!$G$5:$G$8,MATCH(X316,'分群統計'!$A$5:$A$8,0))),INDEX('分群統計'!$H$5:$H$8,MATCH(X316,'分群統計'!$A$5:$A$8,0))+INDEX('分群統計'!$G$5:$G$8,MATCH(X316,'分群統計'!$A$5:$A$8,0))*AU316,""),""),"")</f>
        <v/>
      </c>
      <c r="AK316" s="34">
        <f>IF(ISNUMBER(AJ316),N316-AJ316,"")</f>
        <v/>
      </c>
      <c r="AL316" s="21">
        <f>IF(ISNUMBER(AJ316),IF(AJ316&gt;0,AK316/AJ316,""),"")</f>
        <v/>
      </c>
      <c r="AM316" s="31">
        <f>IF(AY316&lt;&gt;1,"",IFERROR(IF(INDEX('分群統計'!$K$5:$K$8,MATCH(X316,'分群統計'!$A$5:$A$8,0))&lt;3,"",IF(INDEX('分群統計'!$M$5:$M$8,MATCH(X316,'分群統計'!$A$5:$A$8,0))&gt;0,MAX(-3,MIN(3,(AX316-INDEX('分群統計'!$L$5:$L$8,MATCH(X316,'分群統計'!$A$5:$A$8,0)))/INDEX('分群統計'!$M$5:$M$8,MATCH(X316,'分群統計'!$A$5:$A$8,0)))),0)),""))</f>
        <v/>
      </c>
      <c r="AN316" s="31">
        <f>IF(ISNUMBER(AB316),IF(Z316&gt;0,AB316/Z316*100,""),"")</f>
        <v/>
      </c>
      <c r="AO316" s="31">
        <f>IF(BA316&lt;&gt;1,"",IFERROR(IF(INDEX('分群統計'!$N$5:$N$8,MATCH(X316,'分群統計'!$A$5:$A$8,0))&lt;3,"",IF(INDEX('分群統計'!$P$5:$P$8,MATCH(X316,'分群統計'!$A$5:$A$8,0))&gt;0,MAX(-3,MIN(3,(AZ316-INDEX('分群統計'!$O$5:$O$8,MATCH(X316,'分群統計'!$A$5:$A$8,0)))/INDEX('分群統計'!$P$5:$P$8,MATCH(X316,'分群統計'!$A$5:$A$8,0)))),0)),""))</f>
        <v/>
      </c>
      <c r="AP316" s="31">
        <f>IF(BC316&lt;&gt;1,"",IFERROR(IF(INDEX('分群統計'!$Q$5:$Q$8,MATCH(X316,'分群統計'!$A$5:$A$8,0))&lt;3,"",IF(INDEX('分群統計'!$S$5:$S$8,MATCH(X316,'分群統計'!$A$5:$A$8,0))&gt;0,MAX(-3,MIN(3,(BB316-INDEX('分群統計'!$R$5:$R$8,MATCH(X316,'分群統計'!$A$5:$A$8,0)))/INDEX('分群統計'!$S$5:$S$8,MATCH(X316,'分群統計'!$A$5:$A$8,0)))),0)),""))</f>
        <v/>
      </c>
      <c r="AQ316" s="31">
        <f>IF(Y316=1,(IF(ISNUMBER(AF316),AF316,0)*'參數'!$B$13+IF(ISNUMBER(AM316),AM316,0)*'參數'!$B$14+IF(ISNUMBER(AO316),AO316,0)*'參數'!$B$15+IF(ISNUMBER(AP316),AP316,0)*'參數'!$B$16)/('參數'!$B$13+'參數'!$B$14+'參數'!$B$15+'參數'!$B$16),"")</f>
        <v/>
      </c>
      <c r="AR316" s="35">
        <f>IF(Y316=1,(SUMPRODUCT(($X$5:$X$404=X316)*($Y$5:$Y$404=1)*($BD$5:$BD$404&gt;BD316))+1)/COUNTIFS($X$5:$X$404,X316,$Y$5:$Y$404,1),"")</f>
        <v/>
      </c>
      <c r="AS316" s="8">
        <f>IF(ISNUMBER(AR316),IF(AR316&lt;='參數'!$B$18,"加碼候選",IF(AR316&gt;'參數'!$B$19,"減碼候選","")),"")</f>
        <v/>
      </c>
      <c r="AT316" s="7">
        <f>IF(Y316=1,N316,0)</f>
        <v/>
      </c>
      <c r="AU316" s="7">
        <f>IF(Y316=1,LN(O316),0)</f>
        <v/>
      </c>
      <c r="AV316" s="36">
        <f>IF(Y316=1,IF(ISNUMBER(F316),F316,0),0)</f>
        <v/>
      </c>
      <c r="AW316" s="7">
        <f>IF(Y316=1,Z316,0)</f>
        <v/>
      </c>
      <c r="AX316" s="7">
        <f>IF(Y316=1,IF(ISNUMBER(AL316),AL316,0),0)</f>
        <v/>
      </c>
      <c r="AY316" s="7">
        <f>IF(Y316=1,IF(ISNUMBER(AL316),1,0),0)</f>
        <v/>
      </c>
      <c r="AZ316" s="7">
        <f>IF(Y316=1,IF(ISNUMBER(AN316),AN316,0),0)</f>
        <v/>
      </c>
      <c r="BA316" s="7">
        <f>IF(Y316=1,IF(ISNUMBER(AN316),1,0),0)</f>
        <v/>
      </c>
      <c r="BB316" s="7">
        <f>IF(Y316=1,IF(ISNUMBER(T316),T316,0),0)</f>
        <v/>
      </c>
      <c r="BC316" s="7">
        <f>IF(Y316=1,IF(ISNUMBER(T316),1,0),0)</f>
        <v/>
      </c>
      <c r="BD316" s="7">
        <f>IF(Y316=1,AQ316+ROW()/1E9,-1E9)</f>
        <v/>
      </c>
      <c r="BE316" s="7">
        <f>IF(Y316=1,AQ316+ROW()/1E9,1E9)</f>
        <v/>
      </c>
    </row>
    <row r="317">
      <c r="A317" s="16" t="n"/>
      <c r="B317" s="8">
        <f>IF($A317="","",BDP($A317,B$3))</f>
        <v/>
      </c>
      <c r="C317" s="8">
        <f>IF($A317="","",BDP($A317,C$3))</f>
        <v/>
      </c>
      <c r="D317" s="28">
        <f>IF($A317="","",BDP($A317,D$3))</f>
        <v/>
      </c>
      <c r="E317" s="29">
        <f>IF($A317="","",BDP($A317,E$3))</f>
        <v/>
      </c>
      <c r="F317" s="17">
        <f>IF($A317="","",BDP($A317,F$3))</f>
        <v/>
      </c>
      <c r="G317" s="8">
        <f>IF($A317="","",BDP($A317,G$3))</f>
        <v/>
      </c>
      <c r="H317" s="8">
        <f>IF($A317="","",BDP($A317,H$3))</f>
        <v/>
      </c>
      <c r="I317" s="8">
        <f>IF($A317="","",BDP($A317,I$3))</f>
        <v/>
      </c>
      <c r="J317" s="8">
        <f>IF($A317="","",BDP($A317,J$3))</f>
        <v/>
      </c>
      <c r="K317" s="8">
        <f>IF($A317="","",BDP($A317,K$3))</f>
        <v/>
      </c>
      <c r="L317" s="28">
        <f>IF($A317="","",BDP($A317,L$3))</f>
        <v/>
      </c>
      <c r="M317" s="28">
        <f>IF($A317="","",BDP($A317,M$3))</f>
        <v/>
      </c>
      <c r="N317" s="30">
        <f>IF($A317="","",BDP($A317,N$3))</f>
        <v/>
      </c>
      <c r="O317" s="31">
        <f>IF($A317="","",BDP($A317,O$3))</f>
        <v/>
      </c>
      <c r="P317" s="30">
        <f>IF($A317="","",BDH($A317,$N$3,'參數'!$B$5,'參數'!$B$5,"Days=A","Fill=P","Dates=H"))</f>
        <v/>
      </c>
      <c r="Q317" s="30">
        <f>IF($A317="","",BDH($A317,$N$3,'參數'!$B$6,'參數'!$B$6,"Days=A","Fill=P","Dates=H"))</f>
        <v/>
      </c>
      <c r="R317" s="30">
        <f>IF($A317="","",BDH($A317,$N$3,'參數'!$B$7,'參數'!$B$7,"Days=A","Fill=P","Dates=H"))</f>
        <v/>
      </c>
      <c r="S317" s="32">
        <f>IF($A317="","",IFERROR(INDEX('發行人'!$A$5:$A$44,MATCH(B317,'發行人'!$D$5:$D$44,0)),"未對應"))</f>
        <v/>
      </c>
      <c r="T317" s="24">
        <f>IF($A317="","",IFERROR(INDEX('發行人'!$G$5:$G$44,MATCH(B317,'發行人'!$D$5:$D$44,0))+0,""))</f>
        <v/>
      </c>
      <c r="U317" s="18">
        <f>IF(ISNUMBER(E317),YEARFRAC('參數'!$B$4,E317),"")</f>
        <v/>
      </c>
      <c r="V317" s="8">
        <f>IF(U317="","",IF(U317&lt;3,"1-3y",IF(U317&lt;5,"3-5y",IF(U317&lt;7,"5-7y",IF(U317&lt;10,"7-10y","10y+")))))</f>
        <v/>
      </c>
      <c r="W317" s="30">
        <f>IF($A317="","",IFERROR(INDEX('參數'!$B$24:$B$45,MATCH(G317,'參數'!$A$24:$A$45,0)),""))</f>
        <v/>
      </c>
      <c r="X317" s="8">
        <f>IF($A317="","",IFERROR(INDEX('參數'!$C$24:$C$45,MATCH(G317,'參數'!$A$24:$A$45,0)),""))</f>
        <v/>
      </c>
      <c r="Y317" s="30">
        <f>IF(AND(ISNUMBER(N317),ISNUMBER(O317),ISNUMBER(U317)),IF(AND(O317&gt;0,X317&lt;&gt;""),1,0),0)</f>
        <v/>
      </c>
      <c r="Z317" s="17">
        <f>IF(Y317=1,O317*N317,"")</f>
        <v/>
      </c>
      <c r="AA317" s="33">
        <f>IF(Y317=1,IF(ISNUMBER(Q317),N317-Q317,""),"")</f>
        <v/>
      </c>
      <c r="AB317" s="33">
        <f>IF(Y317=1,IF(AND(ISNUMBER(P317),ISNUMBER(R317)),R317*5/12-O317*(P317-R317),""),"")</f>
        <v/>
      </c>
      <c r="AC317" s="30">
        <f>IF(Y317=1,COUNTIFS($X$5:$X$404,X317,$V$5:$V$404,V317,$Y$5:$Y$404,1),"")</f>
        <v/>
      </c>
      <c r="AD317" s="30">
        <f>IF(Y317=1,IFERROR(IF(AC317&gt;='參數'!$B$9,INDEX('分群統計'!$G$13:$K$16,MATCH(X317,'分群統計'!$A$13:$A$16,0),MATCH(V317,'分群統計'!$G$12:$K$12,0)),INDEX('分群統計'!$I$5:$I$8,MATCH(X317,'分群統計'!$A$5:$A$8,0))),""),"")</f>
        <v/>
      </c>
      <c r="AE317" s="18">
        <f>IF(Y317=1,IFERROR(IF(AC317&gt;='參數'!$B$9,INDEX('分群統計'!$L$13:$P$16,MATCH(X317,'分群統計'!$A$13:$A$16,0),MATCH(V317,'分群統計'!$L$12:$P$12,0)),INDEX('分群統計'!$J$5:$J$8,MATCH(X317,'分群統計'!$A$5:$A$8,0))),""),"")</f>
        <v/>
      </c>
      <c r="AF317" s="31">
        <f>IF(ISNUMBER(AE317),IF(AE317&gt;0,MAX(-3,MIN(3,(N317-AD317)/AE317)),0),"")</f>
        <v/>
      </c>
      <c r="AG317" s="30">
        <f>IF(Y317=1,COUNTIFS($B$5:$B$404,B317,$Y$5:$Y$404,1),"")</f>
        <v/>
      </c>
      <c r="AH317" s="30">
        <f>IF(Y317=1,IFERROR(IF(ISNUMBER(INDEX('分群統計'!$G$20:$G$59,MATCH(B317,'分群統計'!$A$20:$A$59,0))),INDEX('分群統計'!$H$20:$H$59,MATCH(B317,'分群統計'!$A$20:$A$59,0))+INDEX('分群統計'!$G$20:$G$59,MATCH(B317,'分群統計'!$A$20:$A$59,0))*AU317,""),""),"")</f>
        <v/>
      </c>
      <c r="AI317" s="34">
        <f>IF(ISNUMBER(AH317),N317-AH317,"")</f>
        <v/>
      </c>
      <c r="AJ317" s="30">
        <f>IF(Y317=1,IFERROR(IF(ISNUMBER(INDEX('分群統計'!$G$5:$G$8,MATCH(X317,'分群統計'!$A$5:$A$8,0))),INDEX('分群統計'!$H$5:$H$8,MATCH(X317,'分群統計'!$A$5:$A$8,0))+INDEX('分群統計'!$G$5:$G$8,MATCH(X317,'分群統計'!$A$5:$A$8,0))*AU317,""),""),"")</f>
        <v/>
      </c>
      <c r="AK317" s="34">
        <f>IF(ISNUMBER(AJ317),N317-AJ317,"")</f>
        <v/>
      </c>
      <c r="AL317" s="21">
        <f>IF(ISNUMBER(AJ317),IF(AJ317&gt;0,AK317/AJ317,""),"")</f>
        <v/>
      </c>
      <c r="AM317" s="31">
        <f>IF(AY317&lt;&gt;1,"",IFERROR(IF(INDEX('分群統計'!$K$5:$K$8,MATCH(X317,'分群統計'!$A$5:$A$8,0))&lt;3,"",IF(INDEX('分群統計'!$M$5:$M$8,MATCH(X317,'分群統計'!$A$5:$A$8,0))&gt;0,MAX(-3,MIN(3,(AX317-INDEX('分群統計'!$L$5:$L$8,MATCH(X317,'分群統計'!$A$5:$A$8,0)))/INDEX('分群統計'!$M$5:$M$8,MATCH(X317,'分群統計'!$A$5:$A$8,0)))),0)),""))</f>
        <v/>
      </c>
      <c r="AN317" s="31">
        <f>IF(ISNUMBER(AB317),IF(Z317&gt;0,AB317/Z317*100,""),"")</f>
        <v/>
      </c>
      <c r="AO317" s="31">
        <f>IF(BA317&lt;&gt;1,"",IFERROR(IF(INDEX('分群統計'!$N$5:$N$8,MATCH(X317,'分群統計'!$A$5:$A$8,0))&lt;3,"",IF(INDEX('分群統計'!$P$5:$P$8,MATCH(X317,'分群統計'!$A$5:$A$8,0))&gt;0,MAX(-3,MIN(3,(AZ317-INDEX('分群統計'!$O$5:$O$8,MATCH(X317,'分群統計'!$A$5:$A$8,0)))/INDEX('分群統計'!$P$5:$P$8,MATCH(X317,'分群統計'!$A$5:$A$8,0)))),0)),""))</f>
        <v/>
      </c>
      <c r="AP317" s="31">
        <f>IF(BC317&lt;&gt;1,"",IFERROR(IF(INDEX('分群統計'!$Q$5:$Q$8,MATCH(X317,'分群統計'!$A$5:$A$8,0))&lt;3,"",IF(INDEX('分群統計'!$S$5:$S$8,MATCH(X317,'分群統計'!$A$5:$A$8,0))&gt;0,MAX(-3,MIN(3,(BB317-INDEX('分群統計'!$R$5:$R$8,MATCH(X317,'分群統計'!$A$5:$A$8,0)))/INDEX('分群統計'!$S$5:$S$8,MATCH(X317,'分群統計'!$A$5:$A$8,0)))),0)),""))</f>
        <v/>
      </c>
      <c r="AQ317" s="31">
        <f>IF(Y317=1,(IF(ISNUMBER(AF317),AF317,0)*'參數'!$B$13+IF(ISNUMBER(AM317),AM317,0)*'參數'!$B$14+IF(ISNUMBER(AO317),AO317,0)*'參數'!$B$15+IF(ISNUMBER(AP317),AP317,0)*'參數'!$B$16)/('參數'!$B$13+'參數'!$B$14+'參數'!$B$15+'參數'!$B$16),"")</f>
        <v/>
      </c>
      <c r="AR317" s="35">
        <f>IF(Y317=1,(SUMPRODUCT(($X$5:$X$404=X317)*($Y$5:$Y$404=1)*($BD$5:$BD$404&gt;BD317))+1)/COUNTIFS($X$5:$X$404,X317,$Y$5:$Y$404,1),"")</f>
        <v/>
      </c>
      <c r="AS317" s="8">
        <f>IF(ISNUMBER(AR317),IF(AR317&lt;='參數'!$B$18,"加碼候選",IF(AR317&gt;'參數'!$B$19,"減碼候選","")),"")</f>
        <v/>
      </c>
      <c r="AT317" s="7">
        <f>IF(Y317=1,N317,0)</f>
        <v/>
      </c>
      <c r="AU317" s="7">
        <f>IF(Y317=1,LN(O317),0)</f>
        <v/>
      </c>
      <c r="AV317" s="36">
        <f>IF(Y317=1,IF(ISNUMBER(F317),F317,0),0)</f>
        <v/>
      </c>
      <c r="AW317" s="7">
        <f>IF(Y317=1,Z317,0)</f>
        <v/>
      </c>
      <c r="AX317" s="7">
        <f>IF(Y317=1,IF(ISNUMBER(AL317),AL317,0),0)</f>
        <v/>
      </c>
      <c r="AY317" s="7">
        <f>IF(Y317=1,IF(ISNUMBER(AL317),1,0),0)</f>
        <v/>
      </c>
      <c r="AZ317" s="7">
        <f>IF(Y317=1,IF(ISNUMBER(AN317),AN317,0),0)</f>
        <v/>
      </c>
      <c r="BA317" s="7">
        <f>IF(Y317=1,IF(ISNUMBER(AN317),1,0),0)</f>
        <v/>
      </c>
      <c r="BB317" s="7">
        <f>IF(Y317=1,IF(ISNUMBER(T317),T317,0),0)</f>
        <v/>
      </c>
      <c r="BC317" s="7">
        <f>IF(Y317=1,IF(ISNUMBER(T317),1,0),0)</f>
        <v/>
      </c>
      <c r="BD317" s="7">
        <f>IF(Y317=1,AQ317+ROW()/1E9,-1E9)</f>
        <v/>
      </c>
      <c r="BE317" s="7">
        <f>IF(Y317=1,AQ317+ROW()/1E9,1E9)</f>
        <v/>
      </c>
    </row>
    <row r="318">
      <c r="A318" s="16" t="n"/>
      <c r="B318" s="8">
        <f>IF($A318="","",BDP($A318,B$3))</f>
        <v/>
      </c>
      <c r="C318" s="8">
        <f>IF($A318="","",BDP($A318,C$3))</f>
        <v/>
      </c>
      <c r="D318" s="28">
        <f>IF($A318="","",BDP($A318,D$3))</f>
        <v/>
      </c>
      <c r="E318" s="29">
        <f>IF($A318="","",BDP($A318,E$3))</f>
        <v/>
      </c>
      <c r="F318" s="17">
        <f>IF($A318="","",BDP($A318,F$3))</f>
        <v/>
      </c>
      <c r="G318" s="8">
        <f>IF($A318="","",BDP($A318,G$3))</f>
        <v/>
      </c>
      <c r="H318" s="8">
        <f>IF($A318="","",BDP($A318,H$3))</f>
        <v/>
      </c>
      <c r="I318" s="8">
        <f>IF($A318="","",BDP($A318,I$3))</f>
        <v/>
      </c>
      <c r="J318" s="8">
        <f>IF($A318="","",BDP($A318,J$3))</f>
        <v/>
      </c>
      <c r="K318" s="8">
        <f>IF($A318="","",BDP($A318,K$3))</f>
        <v/>
      </c>
      <c r="L318" s="28">
        <f>IF($A318="","",BDP($A318,L$3))</f>
        <v/>
      </c>
      <c r="M318" s="28">
        <f>IF($A318="","",BDP($A318,M$3))</f>
        <v/>
      </c>
      <c r="N318" s="30">
        <f>IF($A318="","",BDP($A318,N$3))</f>
        <v/>
      </c>
      <c r="O318" s="31">
        <f>IF($A318="","",BDP($A318,O$3))</f>
        <v/>
      </c>
      <c r="P318" s="30">
        <f>IF($A318="","",BDH($A318,$N$3,'參數'!$B$5,'參數'!$B$5,"Days=A","Fill=P","Dates=H"))</f>
        <v/>
      </c>
      <c r="Q318" s="30">
        <f>IF($A318="","",BDH($A318,$N$3,'參數'!$B$6,'參數'!$B$6,"Days=A","Fill=P","Dates=H"))</f>
        <v/>
      </c>
      <c r="R318" s="30">
        <f>IF($A318="","",BDH($A318,$N$3,'參數'!$B$7,'參數'!$B$7,"Days=A","Fill=P","Dates=H"))</f>
        <v/>
      </c>
      <c r="S318" s="32">
        <f>IF($A318="","",IFERROR(INDEX('發行人'!$A$5:$A$44,MATCH(B318,'發行人'!$D$5:$D$44,0)),"未對應"))</f>
        <v/>
      </c>
      <c r="T318" s="24">
        <f>IF($A318="","",IFERROR(INDEX('發行人'!$G$5:$G$44,MATCH(B318,'發行人'!$D$5:$D$44,0))+0,""))</f>
        <v/>
      </c>
      <c r="U318" s="18">
        <f>IF(ISNUMBER(E318),YEARFRAC('參數'!$B$4,E318),"")</f>
        <v/>
      </c>
      <c r="V318" s="8">
        <f>IF(U318="","",IF(U318&lt;3,"1-3y",IF(U318&lt;5,"3-5y",IF(U318&lt;7,"5-7y",IF(U318&lt;10,"7-10y","10y+")))))</f>
        <v/>
      </c>
      <c r="W318" s="30">
        <f>IF($A318="","",IFERROR(INDEX('參數'!$B$24:$B$45,MATCH(G318,'參數'!$A$24:$A$45,0)),""))</f>
        <v/>
      </c>
      <c r="X318" s="8">
        <f>IF($A318="","",IFERROR(INDEX('參數'!$C$24:$C$45,MATCH(G318,'參數'!$A$24:$A$45,0)),""))</f>
        <v/>
      </c>
      <c r="Y318" s="30">
        <f>IF(AND(ISNUMBER(N318),ISNUMBER(O318),ISNUMBER(U318)),IF(AND(O318&gt;0,X318&lt;&gt;""),1,0),0)</f>
        <v/>
      </c>
      <c r="Z318" s="17">
        <f>IF(Y318=1,O318*N318,"")</f>
        <v/>
      </c>
      <c r="AA318" s="33">
        <f>IF(Y318=1,IF(ISNUMBER(Q318),N318-Q318,""),"")</f>
        <v/>
      </c>
      <c r="AB318" s="33">
        <f>IF(Y318=1,IF(AND(ISNUMBER(P318),ISNUMBER(R318)),R318*5/12-O318*(P318-R318),""),"")</f>
        <v/>
      </c>
      <c r="AC318" s="30">
        <f>IF(Y318=1,COUNTIFS($X$5:$X$404,X318,$V$5:$V$404,V318,$Y$5:$Y$404,1),"")</f>
        <v/>
      </c>
      <c r="AD318" s="30">
        <f>IF(Y318=1,IFERROR(IF(AC318&gt;='參數'!$B$9,INDEX('分群統計'!$G$13:$K$16,MATCH(X318,'分群統計'!$A$13:$A$16,0),MATCH(V318,'分群統計'!$G$12:$K$12,0)),INDEX('分群統計'!$I$5:$I$8,MATCH(X318,'分群統計'!$A$5:$A$8,0))),""),"")</f>
        <v/>
      </c>
      <c r="AE318" s="18">
        <f>IF(Y318=1,IFERROR(IF(AC318&gt;='參數'!$B$9,INDEX('分群統計'!$L$13:$P$16,MATCH(X318,'分群統計'!$A$13:$A$16,0),MATCH(V318,'分群統計'!$L$12:$P$12,0)),INDEX('分群統計'!$J$5:$J$8,MATCH(X318,'分群統計'!$A$5:$A$8,0))),""),"")</f>
        <v/>
      </c>
      <c r="AF318" s="31">
        <f>IF(ISNUMBER(AE318),IF(AE318&gt;0,MAX(-3,MIN(3,(N318-AD318)/AE318)),0),"")</f>
        <v/>
      </c>
      <c r="AG318" s="30">
        <f>IF(Y318=1,COUNTIFS($B$5:$B$404,B318,$Y$5:$Y$404,1),"")</f>
        <v/>
      </c>
      <c r="AH318" s="30">
        <f>IF(Y318=1,IFERROR(IF(ISNUMBER(INDEX('分群統計'!$G$20:$G$59,MATCH(B318,'分群統計'!$A$20:$A$59,0))),INDEX('分群統計'!$H$20:$H$59,MATCH(B318,'分群統計'!$A$20:$A$59,0))+INDEX('分群統計'!$G$20:$G$59,MATCH(B318,'分群統計'!$A$20:$A$59,0))*AU318,""),""),"")</f>
        <v/>
      </c>
      <c r="AI318" s="34">
        <f>IF(ISNUMBER(AH318),N318-AH318,"")</f>
        <v/>
      </c>
      <c r="AJ318" s="30">
        <f>IF(Y318=1,IFERROR(IF(ISNUMBER(INDEX('分群統計'!$G$5:$G$8,MATCH(X318,'分群統計'!$A$5:$A$8,0))),INDEX('分群統計'!$H$5:$H$8,MATCH(X318,'分群統計'!$A$5:$A$8,0))+INDEX('分群統計'!$G$5:$G$8,MATCH(X318,'分群統計'!$A$5:$A$8,0))*AU318,""),""),"")</f>
        <v/>
      </c>
      <c r="AK318" s="34">
        <f>IF(ISNUMBER(AJ318),N318-AJ318,"")</f>
        <v/>
      </c>
      <c r="AL318" s="21">
        <f>IF(ISNUMBER(AJ318),IF(AJ318&gt;0,AK318/AJ318,""),"")</f>
        <v/>
      </c>
      <c r="AM318" s="31">
        <f>IF(AY318&lt;&gt;1,"",IFERROR(IF(INDEX('分群統計'!$K$5:$K$8,MATCH(X318,'分群統計'!$A$5:$A$8,0))&lt;3,"",IF(INDEX('分群統計'!$M$5:$M$8,MATCH(X318,'分群統計'!$A$5:$A$8,0))&gt;0,MAX(-3,MIN(3,(AX318-INDEX('分群統計'!$L$5:$L$8,MATCH(X318,'分群統計'!$A$5:$A$8,0)))/INDEX('分群統計'!$M$5:$M$8,MATCH(X318,'分群統計'!$A$5:$A$8,0)))),0)),""))</f>
        <v/>
      </c>
      <c r="AN318" s="31">
        <f>IF(ISNUMBER(AB318),IF(Z318&gt;0,AB318/Z318*100,""),"")</f>
        <v/>
      </c>
      <c r="AO318" s="31">
        <f>IF(BA318&lt;&gt;1,"",IFERROR(IF(INDEX('分群統計'!$N$5:$N$8,MATCH(X318,'分群統計'!$A$5:$A$8,0))&lt;3,"",IF(INDEX('分群統計'!$P$5:$P$8,MATCH(X318,'分群統計'!$A$5:$A$8,0))&gt;0,MAX(-3,MIN(3,(AZ318-INDEX('分群統計'!$O$5:$O$8,MATCH(X318,'分群統計'!$A$5:$A$8,0)))/INDEX('分群統計'!$P$5:$P$8,MATCH(X318,'分群統計'!$A$5:$A$8,0)))),0)),""))</f>
        <v/>
      </c>
      <c r="AP318" s="31">
        <f>IF(BC318&lt;&gt;1,"",IFERROR(IF(INDEX('分群統計'!$Q$5:$Q$8,MATCH(X318,'分群統計'!$A$5:$A$8,0))&lt;3,"",IF(INDEX('分群統計'!$S$5:$S$8,MATCH(X318,'分群統計'!$A$5:$A$8,0))&gt;0,MAX(-3,MIN(3,(BB318-INDEX('分群統計'!$R$5:$R$8,MATCH(X318,'分群統計'!$A$5:$A$8,0)))/INDEX('分群統計'!$S$5:$S$8,MATCH(X318,'分群統計'!$A$5:$A$8,0)))),0)),""))</f>
        <v/>
      </c>
      <c r="AQ318" s="31">
        <f>IF(Y318=1,(IF(ISNUMBER(AF318),AF318,0)*'參數'!$B$13+IF(ISNUMBER(AM318),AM318,0)*'參數'!$B$14+IF(ISNUMBER(AO318),AO318,0)*'參數'!$B$15+IF(ISNUMBER(AP318),AP318,0)*'參數'!$B$16)/('參數'!$B$13+'參數'!$B$14+'參數'!$B$15+'參數'!$B$16),"")</f>
        <v/>
      </c>
      <c r="AR318" s="35">
        <f>IF(Y318=1,(SUMPRODUCT(($X$5:$X$404=X318)*($Y$5:$Y$404=1)*($BD$5:$BD$404&gt;BD318))+1)/COUNTIFS($X$5:$X$404,X318,$Y$5:$Y$404,1),"")</f>
        <v/>
      </c>
      <c r="AS318" s="8">
        <f>IF(ISNUMBER(AR318),IF(AR318&lt;='參數'!$B$18,"加碼候選",IF(AR318&gt;'參數'!$B$19,"減碼候選","")),"")</f>
        <v/>
      </c>
      <c r="AT318" s="7">
        <f>IF(Y318=1,N318,0)</f>
        <v/>
      </c>
      <c r="AU318" s="7">
        <f>IF(Y318=1,LN(O318),0)</f>
        <v/>
      </c>
      <c r="AV318" s="36">
        <f>IF(Y318=1,IF(ISNUMBER(F318),F318,0),0)</f>
        <v/>
      </c>
      <c r="AW318" s="7">
        <f>IF(Y318=1,Z318,0)</f>
        <v/>
      </c>
      <c r="AX318" s="7">
        <f>IF(Y318=1,IF(ISNUMBER(AL318),AL318,0),0)</f>
        <v/>
      </c>
      <c r="AY318" s="7">
        <f>IF(Y318=1,IF(ISNUMBER(AL318),1,0),0)</f>
        <v/>
      </c>
      <c r="AZ318" s="7">
        <f>IF(Y318=1,IF(ISNUMBER(AN318),AN318,0),0)</f>
        <v/>
      </c>
      <c r="BA318" s="7">
        <f>IF(Y318=1,IF(ISNUMBER(AN318),1,0),0)</f>
        <v/>
      </c>
      <c r="BB318" s="7">
        <f>IF(Y318=1,IF(ISNUMBER(T318),T318,0),0)</f>
        <v/>
      </c>
      <c r="BC318" s="7">
        <f>IF(Y318=1,IF(ISNUMBER(T318),1,0),0)</f>
        <v/>
      </c>
      <c r="BD318" s="7">
        <f>IF(Y318=1,AQ318+ROW()/1E9,-1E9)</f>
        <v/>
      </c>
      <c r="BE318" s="7">
        <f>IF(Y318=1,AQ318+ROW()/1E9,1E9)</f>
        <v/>
      </c>
    </row>
    <row r="319">
      <c r="A319" s="16" t="n"/>
      <c r="B319" s="8">
        <f>IF($A319="","",BDP($A319,B$3))</f>
        <v/>
      </c>
      <c r="C319" s="8">
        <f>IF($A319="","",BDP($A319,C$3))</f>
        <v/>
      </c>
      <c r="D319" s="28">
        <f>IF($A319="","",BDP($A319,D$3))</f>
        <v/>
      </c>
      <c r="E319" s="29">
        <f>IF($A319="","",BDP($A319,E$3))</f>
        <v/>
      </c>
      <c r="F319" s="17">
        <f>IF($A319="","",BDP($A319,F$3))</f>
        <v/>
      </c>
      <c r="G319" s="8">
        <f>IF($A319="","",BDP($A319,G$3))</f>
        <v/>
      </c>
      <c r="H319" s="8">
        <f>IF($A319="","",BDP($A319,H$3))</f>
        <v/>
      </c>
      <c r="I319" s="8">
        <f>IF($A319="","",BDP($A319,I$3))</f>
        <v/>
      </c>
      <c r="J319" s="8">
        <f>IF($A319="","",BDP($A319,J$3))</f>
        <v/>
      </c>
      <c r="K319" s="8">
        <f>IF($A319="","",BDP($A319,K$3))</f>
        <v/>
      </c>
      <c r="L319" s="28">
        <f>IF($A319="","",BDP($A319,L$3))</f>
        <v/>
      </c>
      <c r="M319" s="28">
        <f>IF($A319="","",BDP($A319,M$3))</f>
        <v/>
      </c>
      <c r="N319" s="30">
        <f>IF($A319="","",BDP($A319,N$3))</f>
        <v/>
      </c>
      <c r="O319" s="31">
        <f>IF($A319="","",BDP($A319,O$3))</f>
        <v/>
      </c>
      <c r="P319" s="30">
        <f>IF($A319="","",BDH($A319,$N$3,'參數'!$B$5,'參數'!$B$5,"Days=A","Fill=P","Dates=H"))</f>
        <v/>
      </c>
      <c r="Q319" s="30">
        <f>IF($A319="","",BDH($A319,$N$3,'參數'!$B$6,'參數'!$B$6,"Days=A","Fill=P","Dates=H"))</f>
        <v/>
      </c>
      <c r="R319" s="30">
        <f>IF($A319="","",BDH($A319,$N$3,'參數'!$B$7,'參數'!$B$7,"Days=A","Fill=P","Dates=H"))</f>
        <v/>
      </c>
      <c r="S319" s="32">
        <f>IF($A319="","",IFERROR(INDEX('發行人'!$A$5:$A$44,MATCH(B319,'發行人'!$D$5:$D$44,0)),"未對應"))</f>
        <v/>
      </c>
      <c r="T319" s="24">
        <f>IF($A319="","",IFERROR(INDEX('發行人'!$G$5:$G$44,MATCH(B319,'發行人'!$D$5:$D$44,0))+0,""))</f>
        <v/>
      </c>
      <c r="U319" s="18">
        <f>IF(ISNUMBER(E319),YEARFRAC('參數'!$B$4,E319),"")</f>
        <v/>
      </c>
      <c r="V319" s="8">
        <f>IF(U319="","",IF(U319&lt;3,"1-3y",IF(U319&lt;5,"3-5y",IF(U319&lt;7,"5-7y",IF(U319&lt;10,"7-10y","10y+")))))</f>
        <v/>
      </c>
      <c r="W319" s="30">
        <f>IF($A319="","",IFERROR(INDEX('參數'!$B$24:$B$45,MATCH(G319,'參數'!$A$24:$A$45,0)),""))</f>
        <v/>
      </c>
      <c r="X319" s="8">
        <f>IF($A319="","",IFERROR(INDEX('參數'!$C$24:$C$45,MATCH(G319,'參數'!$A$24:$A$45,0)),""))</f>
        <v/>
      </c>
      <c r="Y319" s="30">
        <f>IF(AND(ISNUMBER(N319),ISNUMBER(O319),ISNUMBER(U319)),IF(AND(O319&gt;0,X319&lt;&gt;""),1,0),0)</f>
        <v/>
      </c>
      <c r="Z319" s="17">
        <f>IF(Y319=1,O319*N319,"")</f>
        <v/>
      </c>
      <c r="AA319" s="33">
        <f>IF(Y319=1,IF(ISNUMBER(Q319),N319-Q319,""),"")</f>
        <v/>
      </c>
      <c r="AB319" s="33">
        <f>IF(Y319=1,IF(AND(ISNUMBER(P319),ISNUMBER(R319)),R319*5/12-O319*(P319-R319),""),"")</f>
        <v/>
      </c>
      <c r="AC319" s="30">
        <f>IF(Y319=1,COUNTIFS($X$5:$X$404,X319,$V$5:$V$404,V319,$Y$5:$Y$404,1),"")</f>
        <v/>
      </c>
      <c r="AD319" s="30">
        <f>IF(Y319=1,IFERROR(IF(AC319&gt;='參數'!$B$9,INDEX('分群統計'!$G$13:$K$16,MATCH(X319,'分群統計'!$A$13:$A$16,0),MATCH(V319,'分群統計'!$G$12:$K$12,0)),INDEX('分群統計'!$I$5:$I$8,MATCH(X319,'分群統計'!$A$5:$A$8,0))),""),"")</f>
        <v/>
      </c>
      <c r="AE319" s="18">
        <f>IF(Y319=1,IFERROR(IF(AC319&gt;='參數'!$B$9,INDEX('分群統計'!$L$13:$P$16,MATCH(X319,'分群統計'!$A$13:$A$16,0),MATCH(V319,'分群統計'!$L$12:$P$12,0)),INDEX('分群統計'!$J$5:$J$8,MATCH(X319,'分群統計'!$A$5:$A$8,0))),""),"")</f>
        <v/>
      </c>
      <c r="AF319" s="31">
        <f>IF(ISNUMBER(AE319),IF(AE319&gt;0,MAX(-3,MIN(3,(N319-AD319)/AE319)),0),"")</f>
        <v/>
      </c>
      <c r="AG319" s="30">
        <f>IF(Y319=1,COUNTIFS($B$5:$B$404,B319,$Y$5:$Y$404,1),"")</f>
        <v/>
      </c>
      <c r="AH319" s="30">
        <f>IF(Y319=1,IFERROR(IF(ISNUMBER(INDEX('分群統計'!$G$20:$G$59,MATCH(B319,'分群統計'!$A$20:$A$59,0))),INDEX('分群統計'!$H$20:$H$59,MATCH(B319,'分群統計'!$A$20:$A$59,0))+INDEX('分群統計'!$G$20:$G$59,MATCH(B319,'分群統計'!$A$20:$A$59,0))*AU319,""),""),"")</f>
        <v/>
      </c>
      <c r="AI319" s="34">
        <f>IF(ISNUMBER(AH319),N319-AH319,"")</f>
        <v/>
      </c>
      <c r="AJ319" s="30">
        <f>IF(Y319=1,IFERROR(IF(ISNUMBER(INDEX('分群統計'!$G$5:$G$8,MATCH(X319,'分群統計'!$A$5:$A$8,0))),INDEX('分群統計'!$H$5:$H$8,MATCH(X319,'分群統計'!$A$5:$A$8,0))+INDEX('分群統計'!$G$5:$G$8,MATCH(X319,'分群統計'!$A$5:$A$8,0))*AU319,""),""),"")</f>
        <v/>
      </c>
      <c r="AK319" s="34">
        <f>IF(ISNUMBER(AJ319),N319-AJ319,"")</f>
        <v/>
      </c>
      <c r="AL319" s="21">
        <f>IF(ISNUMBER(AJ319),IF(AJ319&gt;0,AK319/AJ319,""),"")</f>
        <v/>
      </c>
      <c r="AM319" s="31">
        <f>IF(AY319&lt;&gt;1,"",IFERROR(IF(INDEX('分群統計'!$K$5:$K$8,MATCH(X319,'分群統計'!$A$5:$A$8,0))&lt;3,"",IF(INDEX('分群統計'!$M$5:$M$8,MATCH(X319,'分群統計'!$A$5:$A$8,0))&gt;0,MAX(-3,MIN(3,(AX319-INDEX('分群統計'!$L$5:$L$8,MATCH(X319,'分群統計'!$A$5:$A$8,0)))/INDEX('分群統計'!$M$5:$M$8,MATCH(X319,'分群統計'!$A$5:$A$8,0)))),0)),""))</f>
        <v/>
      </c>
      <c r="AN319" s="31">
        <f>IF(ISNUMBER(AB319),IF(Z319&gt;0,AB319/Z319*100,""),"")</f>
        <v/>
      </c>
      <c r="AO319" s="31">
        <f>IF(BA319&lt;&gt;1,"",IFERROR(IF(INDEX('分群統計'!$N$5:$N$8,MATCH(X319,'分群統計'!$A$5:$A$8,0))&lt;3,"",IF(INDEX('分群統計'!$P$5:$P$8,MATCH(X319,'分群統計'!$A$5:$A$8,0))&gt;0,MAX(-3,MIN(3,(AZ319-INDEX('分群統計'!$O$5:$O$8,MATCH(X319,'分群統計'!$A$5:$A$8,0)))/INDEX('分群統計'!$P$5:$P$8,MATCH(X319,'分群統計'!$A$5:$A$8,0)))),0)),""))</f>
        <v/>
      </c>
      <c r="AP319" s="31">
        <f>IF(BC319&lt;&gt;1,"",IFERROR(IF(INDEX('分群統計'!$Q$5:$Q$8,MATCH(X319,'分群統計'!$A$5:$A$8,0))&lt;3,"",IF(INDEX('分群統計'!$S$5:$S$8,MATCH(X319,'分群統計'!$A$5:$A$8,0))&gt;0,MAX(-3,MIN(3,(BB319-INDEX('分群統計'!$R$5:$R$8,MATCH(X319,'分群統計'!$A$5:$A$8,0)))/INDEX('分群統計'!$S$5:$S$8,MATCH(X319,'分群統計'!$A$5:$A$8,0)))),0)),""))</f>
        <v/>
      </c>
      <c r="AQ319" s="31">
        <f>IF(Y319=1,(IF(ISNUMBER(AF319),AF319,0)*'參數'!$B$13+IF(ISNUMBER(AM319),AM319,0)*'參數'!$B$14+IF(ISNUMBER(AO319),AO319,0)*'參數'!$B$15+IF(ISNUMBER(AP319),AP319,0)*'參數'!$B$16)/('參數'!$B$13+'參數'!$B$14+'參數'!$B$15+'參數'!$B$16),"")</f>
        <v/>
      </c>
      <c r="AR319" s="35">
        <f>IF(Y319=1,(SUMPRODUCT(($X$5:$X$404=X319)*($Y$5:$Y$404=1)*($BD$5:$BD$404&gt;BD319))+1)/COUNTIFS($X$5:$X$404,X319,$Y$5:$Y$404,1),"")</f>
        <v/>
      </c>
      <c r="AS319" s="8">
        <f>IF(ISNUMBER(AR319),IF(AR319&lt;='參數'!$B$18,"加碼候選",IF(AR319&gt;'參數'!$B$19,"減碼候選","")),"")</f>
        <v/>
      </c>
      <c r="AT319" s="7">
        <f>IF(Y319=1,N319,0)</f>
        <v/>
      </c>
      <c r="AU319" s="7">
        <f>IF(Y319=1,LN(O319),0)</f>
        <v/>
      </c>
      <c r="AV319" s="36">
        <f>IF(Y319=1,IF(ISNUMBER(F319),F319,0),0)</f>
        <v/>
      </c>
      <c r="AW319" s="7">
        <f>IF(Y319=1,Z319,0)</f>
        <v/>
      </c>
      <c r="AX319" s="7">
        <f>IF(Y319=1,IF(ISNUMBER(AL319),AL319,0),0)</f>
        <v/>
      </c>
      <c r="AY319" s="7">
        <f>IF(Y319=1,IF(ISNUMBER(AL319),1,0),0)</f>
        <v/>
      </c>
      <c r="AZ319" s="7">
        <f>IF(Y319=1,IF(ISNUMBER(AN319),AN319,0),0)</f>
        <v/>
      </c>
      <c r="BA319" s="7">
        <f>IF(Y319=1,IF(ISNUMBER(AN319),1,0),0)</f>
        <v/>
      </c>
      <c r="BB319" s="7">
        <f>IF(Y319=1,IF(ISNUMBER(T319),T319,0),0)</f>
        <v/>
      </c>
      <c r="BC319" s="7">
        <f>IF(Y319=1,IF(ISNUMBER(T319),1,0),0)</f>
        <v/>
      </c>
      <c r="BD319" s="7">
        <f>IF(Y319=1,AQ319+ROW()/1E9,-1E9)</f>
        <v/>
      </c>
      <c r="BE319" s="7">
        <f>IF(Y319=1,AQ319+ROW()/1E9,1E9)</f>
        <v/>
      </c>
    </row>
    <row r="320">
      <c r="A320" s="16" t="n"/>
      <c r="B320" s="8">
        <f>IF($A320="","",BDP($A320,B$3))</f>
        <v/>
      </c>
      <c r="C320" s="8">
        <f>IF($A320="","",BDP($A320,C$3))</f>
        <v/>
      </c>
      <c r="D320" s="28">
        <f>IF($A320="","",BDP($A320,D$3))</f>
        <v/>
      </c>
      <c r="E320" s="29">
        <f>IF($A320="","",BDP($A320,E$3))</f>
        <v/>
      </c>
      <c r="F320" s="17">
        <f>IF($A320="","",BDP($A320,F$3))</f>
        <v/>
      </c>
      <c r="G320" s="8">
        <f>IF($A320="","",BDP($A320,G$3))</f>
        <v/>
      </c>
      <c r="H320" s="8">
        <f>IF($A320="","",BDP($A320,H$3))</f>
        <v/>
      </c>
      <c r="I320" s="8">
        <f>IF($A320="","",BDP($A320,I$3))</f>
        <v/>
      </c>
      <c r="J320" s="8">
        <f>IF($A320="","",BDP($A320,J$3))</f>
        <v/>
      </c>
      <c r="K320" s="8">
        <f>IF($A320="","",BDP($A320,K$3))</f>
        <v/>
      </c>
      <c r="L320" s="28">
        <f>IF($A320="","",BDP($A320,L$3))</f>
        <v/>
      </c>
      <c r="M320" s="28">
        <f>IF($A320="","",BDP($A320,M$3))</f>
        <v/>
      </c>
      <c r="N320" s="30">
        <f>IF($A320="","",BDP($A320,N$3))</f>
        <v/>
      </c>
      <c r="O320" s="31">
        <f>IF($A320="","",BDP($A320,O$3))</f>
        <v/>
      </c>
      <c r="P320" s="30">
        <f>IF($A320="","",BDH($A320,$N$3,'參數'!$B$5,'參數'!$B$5,"Days=A","Fill=P","Dates=H"))</f>
        <v/>
      </c>
      <c r="Q320" s="30">
        <f>IF($A320="","",BDH($A320,$N$3,'參數'!$B$6,'參數'!$B$6,"Days=A","Fill=P","Dates=H"))</f>
        <v/>
      </c>
      <c r="R320" s="30">
        <f>IF($A320="","",BDH($A320,$N$3,'參數'!$B$7,'參數'!$B$7,"Days=A","Fill=P","Dates=H"))</f>
        <v/>
      </c>
      <c r="S320" s="32">
        <f>IF($A320="","",IFERROR(INDEX('發行人'!$A$5:$A$44,MATCH(B320,'發行人'!$D$5:$D$44,0)),"未對應"))</f>
        <v/>
      </c>
      <c r="T320" s="24">
        <f>IF($A320="","",IFERROR(INDEX('發行人'!$G$5:$G$44,MATCH(B320,'發行人'!$D$5:$D$44,0))+0,""))</f>
        <v/>
      </c>
      <c r="U320" s="18">
        <f>IF(ISNUMBER(E320),YEARFRAC('參數'!$B$4,E320),"")</f>
        <v/>
      </c>
      <c r="V320" s="8">
        <f>IF(U320="","",IF(U320&lt;3,"1-3y",IF(U320&lt;5,"3-5y",IF(U320&lt;7,"5-7y",IF(U320&lt;10,"7-10y","10y+")))))</f>
        <v/>
      </c>
      <c r="W320" s="30">
        <f>IF($A320="","",IFERROR(INDEX('參數'!$B$24:$B$45,MATCH(G320,'參數'!$A$24:$A$45,0)),""))</f>
        <v/>
      </c>
      <c r="X320" s="8">
        <f>IF($A320="","",IFERROR(INDEX('參數'!$C$24:$C$45,MATCH(G320,'參數'!$A$24:$A$45,0)),""))</f>
        <v/>
      </c>
      <c r="Y320" s="30">
        <f>IF(AND(ISNUMBER(N320),ISNUMBER(O320),ISNUMBER(U320)),IF(AND(O320&gt;0,X320&lt;&gt;""),1,0),0)</f>
        <v/>
      </c>
      <c r="Z320" s="17">
        <f>IF(Y320=1,O320*N320,"")</f>
        <v/>
      </c>
      <c r="AA320" s="33">
        <f>IF(Y320=1,IF(ISNUMBER(Q320),N320-Q320,""),"")</f>
        <v/>
      </c>
      <c r="AB320" s="33">
        <f>IF(Y320=1,IF(AND(ISNUMBER(P320),ISNUMBER(R320)),R320*5/12-O320*(P320-R320),""),"")</f>
        <v/>
      </c>
      <c r="AC320" s="30">
        <f>IF(Y320=1,COUNTIFS($X$5:$X$404,X320,$V$5:$V$404,V320,$Y$5:$Y$404,1),"")</f>
        <v/>
      </c>
      <c r="AD320" s="30">
        <f>IF(Y320=1,IFERROR(IF(AC320&gt;='參數'!$B$9,INDEX('分群統計'!$G$13:$K$16,MATCH(X320,'分群統計'!$A$13:$A$16,0),MATCH(V320,'分群統計'!$G$12:$K$12,0)),INDEX('分群統計'!$I$5:$I$8,MATCH(X320,'分群統計'!$A$5:$A$8,0))),""),"")</f>
        <v/>
      </c>
      <c r="AE320" s="18">
        <f>IF(Y320=1,IFERROR(IF(AC320&gt;='參數'!$B$9,INDEX('分群統計'!$L$13:$P$16,MATCH(X320,'分群統計'!$A$13:$A$16,0),MATCH(V320,'分群統計'!$L$12:$P$12,0)),INDEX('分群統計'!$J$5:$J$8,MATCH(X320,'分群統計'!$A$5:$A$8,0))),""),"")</f>
        <v/>
      </c>
      <c r="AF320" s="31">
        <f>IF(ISNUMBER(AE320),IF(AE320&gt;0,MAX(-3,MIN(3,(N320-AD320)/AE320)),0),"")</f>
        <v/>
      </c>
      <c r="AG320" s="30">
        <f>IF(Y320=1,COUNTIFS($B$5:$B$404,B320,$Y$5:$Y$404,1),"")</f>
        <v/>
      </c>
      <c r="AH320" s="30">
        <f>IF(Y320=1,IFERROR(IF(ISNUMBER(INDEX('分群統計'!$G$20:$G$59,MATCH(B320,'分群統計'!$A$20:$A$59,0))),INDEX('分群統計'!$H$20:$H$59,MATCH(B320,'分群統計'!$A$20:$A$59,0))+INDEX('分群統計'!$G$20:$G$59,MATCH(B320,'分群統計'!$A$20:$A$59,0))*AU320,""),""),"")</f>
        <v/>
      </c>
      <c r="AI320" s="34">
        <f>IF(ISNUMBER(AH320),N320-AH320,"")</f>
        <v/>
      </c>
      <c r="AJ320" s="30">
        <f>IF(Y320=1,IFERROR(IF(ISNUMBER(INDEX('分群統計'!$G$5:$G$8,MATCH(X320,'分群統計'!$A$5:$A$8,0))),INDEX('分群統計'!$H$5:$H$8,MATCH(X320,'分群統計'!$A$5:$A$8,0))+INDEX('分群統計'!$G$5:$G$8,MATCH(X320,'分群統計'!$A$5:$A$8,0))*AU320,""),""),"")</f>
        <v/>
      </c>
      <c r="AK320" s="34">
        <f>IF(ISNUMBER(AJ320),N320-AJ320,"")</f>
        <v/>
      </c>
      <c r="AL320" s="21">
        <f>IF(ISNUMBER(AJ320),IF(AJ320&gt;0,AK320/AJ320,""),"")</f>
        <v/>
      </c>
      <c r="AM320" s="31">
        <f>IF(AY320&lt;&gt;1,"",IFERROR(IF(INDEX('分群統計'!$K$5:$K$8,MATCH(X320,'分群統計'!$A$5:$A$8,0))&lt;3,"",IF(INDEX('分群統計'!$M$5:$M$8,MATCH(X320,'分群統計'!$A$5:$A$8,0))&gt;0,MAX(-3,MIN(3,(AX320-INDEX('分群統計'!$L$5:$L$8,MATCH(X320,'分群統計'!$A$5:$A$8,0)))/INDEX('分群統計'!$M$5:$M$8,MATCH(X320,'分群統計'!$A$5:$A$8,0)))),0)),""))</f>
        <v/>
      </c>
      <c r="AN320" s="31">
        <f>IF(ISNUMBER(AB320),IF(Z320&gt;0,AB320/Z320*100,""),"")</f>
        <v/>
      </c>
      <c r="AO320" s="31">
        <f>IF(BA320&lt;&gt;1,"",IFERROR(IF(INDEX('分群統計'!$N$5:$N$8,MATCH(X320,'分群統計'!$A$5:$A$8,0))&lt;3,"",IF(INDEX('分群統計'!$P$5:$P$8,MATCH(X320,'分群統計'!$A$5:$A$8,0))&gt;0,MAX(-3,MIN(3,(AZ320-INDEX('分群統計'!$O$5:$O$8,MATCH(X320,'分群統計'!$A$5:$A$8,0)))/INDEX('分群統計'!$P$5:$P$8,MATCH(X320,'分群統計'!$A$5:$A$8,0)))),0)),""))</f>
        <v/>
      </c>
      <c r="AP320" s="31">
        <f>IF(BC320&lt;&gt;1,"",IFERROR(IF(INDEX('分群統計'!$Q$5:$Q$8,MATCH(X320,'分群統計'!$A$5:$A$8,0))&lt;3,"",IF(INDEX('分群統計'!$S$5:$S$8,MATCH(X320,'分群統計'!$A$5:$A$8,0))&gt;0,MAX(-3,MIN(3,(BB320-INDEX('分群統計'!$R$5:$R$8,MATCH(X320,'分群統計'!$A$5:$A$8,0)))/INDEX('分群統計'!$S$5:$S$8,MATCH(X320,'分群統計'!$A$5:$A$8,0)))),0)),""))</f>
        <v/>
      </c>
      <c r="AQ320" s="31">
        <f>IF(Y320=1,(IF(ISNUMBER(AF320),AF320,0)*'參數'!$B$13+IF(ISNUMBER(AM320),AM320,0)*'參數'!$B$14+IF(ISNUMBER(AO320),AO320,0)*'參數'!$B$15+IF(ISNUMBER(AP320),AP320,0)*'參數'!$B$16)/('參數'!$B$13+'參數'!$B$14+'參數'!$B$15+'參數'!$B$16),"")</f>
        <v/>
      </c>
      <c r="AR320" s="35">
        <f>IF(Y320=1,(SUMPRODUCT(($X$5:$X$404=X320)*($Y$5:$Y$404=1)*($BD$5:$BD$404&gt;BD320))+1)/COUNTIFS($X$5:$X$404,X320,$Y$5:$Y$404,1),"")</f>
        <v/>
      </c>
      <c r="AS320" s="8">
        <f>IF(ISNUMBER(AR320),IF(AR320&lt;='參數'!$B$18,"加碼候選",IF(AR320&gt;'參數'!$B$19,"減碼候選","")),"")</f>
        <v/>
      </c>
      <c r="AT320" s="7">
        <f>IF(Y320=1,N320,0)</f>
        <v/>
      </c>
      <c r="AU320" s="7">
        <f>IF(Y320=1,LN(O320),0)</f>
        <v/>
      </c>
      <c r="AV320" s="36">
        <f>IF(Y320=1,IF(ISNUMBER(F320),F320,0),0)</f>
        <v/>
      </c>
      <c r="AW320" s="7">
        <f>IF(Y320=1,Z320,0)</f>
        <v/>
      </c>
      <c r="AX320" s="7">
        <f>IF(Y320=1,IF(ISNUMBER(AL320),AL320,0),0)</f>
        <v/>
      </c>
      <c r="AY320" s="7">
        <f>IF(Y320=1,IF(ISNUMBER(AL320),1,0),0)</f>
        <v/>
      </c>
      <c r="AZ320" s="7">
        <f>IF(Y320=1,IF(ISNUMBER(AN320),AN320,0),0)</f>
        <v/>
      </c>
      <c r="BA320" s="7">
        <f>IF(Y320=1,IF(ISNUMBER(AN320),1,0),0)</f>
        <v/>
      </c>
      <c r="BB320" s="7">
        <f>IF(Y320=1,IF(ISNUMBER(T320),T320,0),0)</f>
        <v/>
      </c>
      <c r="BC320" s="7">
        <f>IF(Y320=1,IF(ISNUMBER(T320),1,0),0)</f>
        <v/>
      </c>
      <c r="BD320" s="7">
        <f>IF(Y320=1,AQ320+ROW()/1E9,-1E9)</f>
        <v/>
      </c>
      <c r="BE320" s="7">
        <f>IF(Y320=1,AQ320+ROW()/1E9,1E9)</f>
        <v/>
      </c>
    </row>
    <row r="321">
      <c r="A321" s="16" t="n"/>
      <c r="B321" s="8">
        <f>IF($A321="","",BDP($A321,B$3))</f>
        <v/>
      </c>
      <c r="C321" s="8">
        <f>IF($A321="","",BDP($A321,C$3))</f>
        <v/>
      </c>
      <c r="D321" s="28">
        <f>IF($A321="","",BDP($A321,D$3))</f>
        <v/>
      </c>
      <c r="E321" s="29">
        <f>IF($A321="","",BDP($A321,E$3))</f>
        <v/>
      </c>
      <c r="F321" s="17">
        <f>IF($A321="","",BDP($A321,F$3))</f>
        <v/>
      </c>
      <c r="G321" s="8">
        <f>IF($A321="","",BDP($A321,G$3))</f>
        <v/>
      </c>
      <c r="H321" s="8">
        <f>IF($A321="","",BDP($A321,H$3))</f>
        <v/>
      </c>
      <c r="I321" s="8">
        <f>IF($A321="","",BDP($A321,I$3))</f>
        <v/>
      </c>
      <c r="J321" s="8">
        <f>IF($A321="","",BDP($A321,J$3))</f>
        <v/>
      </c>
      <c r="K321" s="8">
        <f>IF($A321="","",BDP($A321,K$3))</f>
        <v/>
      </c>
      <c r="L321" s="28">
        <f>IF($A321="","",BDP($A321,L$3))</f>
        <v/>
      </c>
      <c r="M321" s="28">
        <f>IF($A321="","",BDP($A321,M$3))</f>
        <v/>
      </c>
      <c r="N321" s="30">
        <f>IF($A321="","",BDP($A321,N$3))</f>
        <v/>
      </c>
      <c r="O321" s="31">
        <f>IF($A321="","",BDP($A321,O$3))</f>
        <v/>
      </c>
      <c r="P321" s="30">
        <f>IF($A321="","",BDH($A321,$N$3,'參數'!$B$5,'參數'!$B$5,"Days=A","Fill=P","Dates=H"))</f>
        <v/>
      </c>
      <c r="Q321" s="30">
        <f>IF($A321="","",BDH($A321,$N$3,'參數'!$B$6,'參數'!$B$6,"Days=A","Fill=P","Dates=H"))</f>
        <v/>
      </c>
      <c r="R321" s="30">
        <f>IF($A321="","",BDH($A321,$N$3,'參數'!$B$7,'參數'!$B$7,"Days=A","Fill=P","Dates=H"))</f>
        <v/>
      </c>
      <c r="S321" s="32">
        <f>IF($A321="","",IFERROR(INDEX('發行人'!$A$5:$A$44,MATCH(B321,'發行人'!$D$5:$D$44,0)),"未對應"))</f>
        <v/>
      </c>
      <c r="T321" s="24">
        <f>IF($A321="","",IFERROR(INDEX('發行人'!$G$5:$G$44,MATCH(B321,'發行人'!$D$5:$D$44,0))+0,""))</f>
        <v/>
      </c>
      <c r="U321" s="18">
        <f>IF(ISNUMBER(E321),YEARFRAC('參數'!$B$4,E321),"")</f>
        <v/>
      </c>
      <c r="V321" s="8">
        <f>IF(U321="","",IF(U321&lt;3,"1-3y",IF(U321&lt;5,"3-5y",IF(U321&lt;7,"5-7y",IF(U321&lt;10,"7-10y","10y+")))))</f>
        <v/>
      </c>
      <c r="W321" s="30">
        <f>IF($A321="","",IFERROR(INDEX('參數'!$B$24:$B$45,MATCH(G321,'參數'!$A$24:$A$45,0)),""))</f>
        <v/>
      </c>
      <c r="X321" s="8">
        <f>IF($A321="","",IFERROR(INDEX('參數'!$C$24:$C$45,MATCH(G321,'參數'!$A$24:$A$45,0)),""))</f>
        <v/>
      </c>
      <c r="Y321" s="30">
        <f>IF(AND(ISNUMBER(N321),ISNUMBER(O321),ISNUMBER(U321)),IF(AND(O321&gt;0,X321&lt;&gt;""),1,0),0)</f>
        <v/>
      </c>
      <c r="Z321" s="17">
        <f>IF(Y321=1,O321*N321,"")</f>
        <v/>
      </c>
      <c r="AA321" s="33">
        <f>IF(Y321=1,IF(ISNUMBER(Q321),N321-Q321,""),"")</f>
        <v/>
      </c>
      <c r="AB321" s="33">
        <f>IF(Y321=1,IF(AND(ISNUMBER(P321),ISNUMBER(R321)),R321*5/12-O321*(P321-R321),""),"")</f>
        <v/>
      </c>
      <c r="AC321" s="30">
        <f>IF(Y321=1,COUNTIFS($X$5:$X$404,X321,$V$5:$V$404,V321,$Y$5:$Y$404,1),"")</f>
        <v/>
      </c>
      <c r="AD321" s="30">
        <f>IF(Y321=1,IFERROR(IF(AC321&gt;='參數'!$B$9,INDEX('分群統計'!$G$13:$K$16,MATCH(X321,'分群統計'!$A$13:$A$16,0),MATCH(V321,'分群統計'!$G$12:$K$12,0)),INDEX('分群統計'!$I$5:$I$8,MATCH(X321,'分群統計'!$A$5:$A$8,0))),""),"")</f>
        <v/>
      </c>
      <c r="AE321" s="18">
        <f>IF(Y321=1,IFERROR(IF(AC321&gt;='參數'!$B$9,INDEX('分群統計'!$L$13:$P$16,MATCH(X321,'分群統計'!$A$13:$A$16,0),MATCH(V321,'分群統計'!$L$12:$P$12,0)),INDEX('分群統計'!$J$5:$J$8,MATCH(X321,'分群統計'!$A$5:$A$8,0))),""),"")</f>
        <v/>
      </c>
      <c r="AF321" s="31">
        <f>IF(ISNUMBER(AE321),IF(AE321&gt;0,MAX(-3,MIN(3,(N321-AD321)/AE321)),0),"")</f>
        <v/>
      </c>
      <c r="AG321" s="30">
        <f>IF(Y321=1,COUNTIFS($B$5:$B$404,B321,$Y$5:$Y$404,1),"")</f>
        <v/>
      </c>
      <c r="AH321" s="30">
        <f>IF(Y321=1,IFERROR(IF(ISNUMBER(INDEX('分群統計'!$G$20:$G$59,MATCH(B321,'分群統計'!$A$20:$A$59,0))),INDEX('分群統計'!$H$20:$H$59,MATCH(B321,'分群統計'!$A$20:$A$59,0))+INDEX('分群統計'!$G$20:$G$59,MATCH(B321,'分群統計'!$A$20:$A$59,0))*AU321,""),""),"")</f>
        <v/>
      </c>
      <c r="AI321" s="34">
        <f>IF(ISNUMBER(AH321),N321-AH321,"")</f>
        <v/>
      </c>
      <c r="AJ321" s="30">
        <f>IF(Y321=1,IFERROR(IF(ISNUMBER(INDEX('分群統計'!$G$5:$G$8,MATCH(X321,'分群統計'!$A$5:$A$8,0))),INDEX('分群統計'!$H$5:$H$8,MATCH(X321,'分群統計'!$A$5:$A$8,0))+INDEX('分群統計'!$G$5:$G$8,MATCH(X321,'分群統計'!$A$5:$A$8,0))*AU321,""),""),"")</f>
        <v/>
      </c>
      <c r="AK321" s="34">
        <f>IF(ISNUMBER(AJ321),N321-AJ321,"")</f>
        <v/>
      </c>
      <c r="AL321" s="21">
        <f>IF(ISNUMBER(AJ321),IF(AJ321&gt;0,AK321/AJ321,""),"")</f>
        <v/>
      </c>
      <c r="AM321" s="31">
        <f>IF(AY321&lt;&gt;1,"",IFERROR(IF(INDEX('分群統計'!$K$5:$K$8,MATCH(X321,'分群統計'!$A$5:$A$8,0))&lt;3,"",IF(INDEX('分群統計'!$M$5:$M$8,MATCH(X321,'分群統計'!$A$5:$A$8,0))&gt;0,MAX(-3,MIN(3,(AX321-INDEX('分群統計'!$L$5:$L$8,MATCH(X321,'分群統計'!$A$5:$A$8,0)))/INDEX('分群統計'!$M$5:$M$8,MATCH(X321,'分群統計'!$A$5:$A$8,0)))),0)),""))</f>
        <v/>
      </c>
      <c r="AN321" s="31">
        <f>IF(ISNUMBER(AB321),IF(Z321&gt;0,AB321/Z321*100,""),"")</f>
        <v/>
      </c>
      <c r="AO321" s="31">
        <f>IF(BA321&lt;&gt;1,"",IFERROR(IF(INDEX('分群統計'!$N$5:$N$8,MATCH(X321,'分群統計'!$A$5:$A$8,0))&lt;3,"",IF(INDEX('分群統計'!$P$5:$P$8,MATCH(X321,'分群統計'!$A$5:$A$8,0))&gt;0,MAX(-3,MIN(3,(AZ321-INDEX('分群統計'!$O$5:$O$8,MATCH(X321,'分群統計'!$A$5:$A$8,0)))/INDEX('分群統計'!$P$5:$P$8,MATCH(X321,'分群統計'!$A$5:$A$8,0)))),0)),""))</f>
        <v/>
      </c>
      <c r="AP321" s="31">
        <f>IF(BC321&lt;&gt;1,"",IFERROR(IF(INDEX('分群統計'!$Q$5:$Q$8,MATCH(X321,'分群統計'!$A$5:$A$8,0))&lt;3,"",IF(INDEX('分群統計'!$S$5:$S$8,MATCH(X321,'分群統計'!$A$5:$A$8,0))&gt;0,MAX(-3,MIN(3,(BB321-INDEX('分群統計'!$R$5:$R$8,MATCH(X321,'分群統計'!$A$5:$A$8,0)))/INDEX('分群統計'!$S$5:$S$8,MATCH(X321,'分群統計'!$A$5:$A$8,0)))),0)),""))</f>
        <v/>
      </c>
      <c r="AQ321" s="31">
        <f>IF(Y321=1,(IF(ISNUMBER(AF321),AF321,0)*'參數'!$B$13+IF(ISNUMBER(AM321),AM321,0)*'參數'!$B$14+IF(ISNUMBER(AO321),AO321,0)*'參數'!$B$15+IF(ISNUMBER(AP321),AP321,0)*'參數'!$B$16)/('參數'!$B$13+'參數'!$B$14+'參數'!$B$15+'參數'!$B$16),"")</f>
        <v/>
      </c>
      <c r="AR321" s="35">
        <f>IF(Y321=1,(SUMPRODUCT(($X$5:$X$404=X321)*($Y$5:$Y$404=1)*($BD$5:$BD$404&gt;BD321))+1)/COUNTIFS($X$5:$X$404,X321,$Y$5:$Y$404,1),"")</f>
        <v/>
      </c>
      <c r="AS321" s="8">
        <f>IF(ISNUMBER(AR321),IF(AR321&lt;='參數'!$B$18,"加碼候選",IF(AR321&gt;'參數'!$B$19,"減碼候選","")),"")</f>
        <v/>
      </c>
      <c r="AT321" s="7">
        <f>IF(Y321=1,N321,0)</f>
        <v/>
      </c>
      <c r="AU321" s="7">
        <f>IF(Y321=1,LN(O321),0)</f>
        <v/>
      </c>
      <c r="AV321" s="36">
        <f>IF(Y321=1,IF(ISNUMBER(F321),F321,0),0)</f>
        <v/>
      </c>
      <c r="AW321" s="7">
        <f>IF(Y321=1,Z321,0)</f>
        <v/>
      </c>
      <c r="AX321" s="7">
        <f>IF(Y321=1,IF(ISNUMBER(AL321),AL321,0),0)</f>
        <v/>
      </c>
      <c r="AY321" s="7">
        <f>IF(Y321=1,IF(ISNUMBER(AL321),1,0),0)</f>
        <v/>
      </c>
      <c r="AZ321" s="7">
        <f>IF(Y321=1,IF(ISNUMBER(AN321),AN321,0),0)</f>
        <v/>
      </c>
      <c r="BA321" s="7">
        <f>IF(Y321=1,IF(ISNUMBER(AN321),1,0),0)</f>
        <v/>
      </c>
      <c r="BB321" s="7">
        <f>IF(Y321=1,IF(ISNUMBER(T321),T321,0),0)</f>
        <v/>
      </c>
      <c r="BC321" s="7">
        <f>IF(Y321=1,IF(ISNUMBER(T321),1,0),0)</f>
        <v/>
      </c>
      <c r="BD321" s="7">
        <f>IF(Y321=1,AQ321+ROW()/1E9,-1E9)</f>
        <v/>
      </c>
      <c r="BE321" s="7">
        <f>IF(Y321=1,AQ321+ROW()/1E9,1E9)</f>
        <v/>
      </c>
    </row>
    <row r="322">
      <c r="A322" s="16" t="n"/>
      <c r="B322" s="8">
        <f>IF($A322="","",BDP($A322,B$3))</f>
        <v/>
      </c>
      <c r="C322" s="8">
        <f>IF($A322="","",BDP($A322,C$3))</f>
        <v/>
      </c>
      <c r="D322" s="28">
        <f>IF($A322="","",BDP($A322,D$3))</f>
        <v/>
      </c>
      <c r="E322" s="29">
        <f>IF($A322="","",BDP($A322,E$3))</f>
        <v/>
      </c>
      <c r="F322" s="17">
        <f>IF($A322="","",BDP($A322,F$3))</f>
        <v/>
      </c>
      <c r="G322" s="8">
        <f>IF($A322="","",BDP($A322,G$3))</f>
        <v/>
      </c>
      <c r="H322" s="8">
        <f>IF($A322="","",BDP($A322,H$3))</f>
        <v/>
      </c>
      <c r="I322" s="8">
        <f>IF($A322="","",BDP($A322,I$3))</f>
        <v/>
      </c>
      <c r="J322" s="8">
        <f>IF($A322="","",BDP($A322,J$3))</f>
        <v/>
      </c>
      <c r="K322" s="8">
        <f>IF($A322="","",BDP($A322,K$3))</f>
        <v/>
      </c>
      <c r="L322" s="28">
        <f>IF($A322="","",BDP($A322,L$3))</f>
        <v/>
      </c>
      <c r="M322" s="28">
        <f>IF($A322="","",BDP($A322,M$3))</f>
        <v/>
      </c>
      <c r="N322" s="30">
        <f>IF($A322="","",BDP($A322,N$3))</f>
        <v/>
      </c>
      <c r="O322" s="31">
        <f>IF($A322="","",BDP($A322,O$3))</f>
        <v/>
      </c>
      <c r="P322" s="30">
        <f>IF($A322="","",BDH($A322,$N$3,'參數'!$B$5,'參數'!$B$5,"Days=A","Fill=P","Dates=H"))</f>
        <v/>
      </c>
      <c r="Q322" s="30">
        <f>IF($A322="","",BDH($A322,$N$3,'參數'!$B$6,'參數'!$B$6,"Days=A","Fill=P","Dates=H"))</f>
        <v/>
      </c>
      <c r="R322" s="30">
        <f>IF($A322="","",BDH($A322,$N$3,'參數'!$B$7,'參數'!$B$7,"Days=A","Fill=P","Dates=H"))</f>
        <v/>
      </c>
      <c r="S322" s="32">
        <f>IF($A322="","",IFERROR(INDEX('發行人'!$A$5:$A$44,MATCH(B322,'發行人'!$D$5:$D$44,0)),"未對應"))</f>
        <v/>
      </c>
      <c r="T322" s="24">
        <f>IF($A322="","",IFERROR(INDEX('發行人'!$G$5:$G$44,MATCH(B322,'發行人'!$D$5:$D$44,0))+0,""))</f>
        <v/>
      </c>
      <c r="U322" s="18">
        <f>IF(ISNUMBER(E322),YEARFRAC('參數'!$B$4,E322),"")</f>
        <v/>
      </c>
      <c r="V322" s="8">
        <f>IF(U322="","",IF(U322&lt;3,"1-3y",IF(U322&lt;5,"3-5y",IF(U322&lt;7,"5-7y",IF(U322&lt;10,"7-10y","10y+")))))</f>
        <v/>
      </c>
      <c r="W322" s="30">
        <f>IF($A322="","",IFERROR(INDEX('參數'!$B$24:$B$45,MATCH(G322,'參數'!$A$24:$A$45,0)),""))</f>
        <v/>
      </c>
      <c r="X322" s="8">
        <f>IF($A322="","",IFERROR(INDEX('參數'!$C$24:$C$45,MATCH(G322,'參數'!$A$24:$A$45,0)),""))</f>
        <v/>
      </c>
      <c r="Y322" s="30">
        <f>IF(AND(ISNUMBER(N322),ISNUMBER(O322),ISNUMBER(U322)),IF(AND(O322&gt;0,X322&lt;&gt;""),1,0),0)</f>
        <v/>
      </c>
      <c r="Z322" s="17">
        <f>IF(Y322=1,O322*N322,"")</f>
        <v/>
      </c>
      <c r="AA322" s="33">
        <f>IF(Y322=1,IF(ISNUMBER(Q322),N322-Q322,""),"")</f>
        <v/>
      </c>
      <c r="AB322" s="33">
        <f>IF(Y322=1,IF(AND(ISNUMBER(P322),ISNUMBER(R322)),R322*5/12-O322*(P322-R322),""),"")</f>
        <v/>
      </c>
      <c r="AC322" s="30">
        <f>IF(Y322=1,COUNTIFS($X$5:$X$404,X322,$V$5:$V$404,V322,$Y$5:$Y$404,1),"")</f>
        <v/>
      </c>
      <c r="AD322" s="30">
        <f>IF(Y322=1,IFERROR(IF(AC322&gt;='參數'!$B$9,INDEX('分群統計'!$G$13:$K$16,MATCH(X322,'分群統計'!$A$13:$A$16,0),MATCH(V322,'分群統計'!$G$12:$K$12,0)),INDEX('分群統計'!$I$5:$I$8,MATCH(X322,'分群統計'!$A$5:$A$8,0))),""),"")</f>
        <v/>
      </c>
      <c r="AE322" s="18">
        <f>IF(Y322=1,IFERROR(IF(AC322&gt;='參數'!$B$9,INDEX('分群統計'!$L$13:$P$16,MATCH(X322,'分群統計'!$A$13:$A$16,0),MATCH(V322,'分群統計'!$L$12:$P$12,0)),INDEX('分群統計'!$J$5:$J$8,MATCH(X322,'分群統計'!$A$5:$A$8,0))),""),"")</f>
        <v/>
      </c>
      <c r="AF322" s="31">
        <f>IF(ISNUMBER(AE322),IF(AE322&gt;0,MAX(-3,MIN(3,(N322-AD322)/AE322)),0),"")</f>
        <v/>
      </c>
      <c r="AG322" s="30">
        <f>IF(Y322=1,COUNTIFS($B$5:$B$404,B322,$Y$5:$Y$404,1),"")</f>
        <v/>
      </c>
      <c r="AH322" s="30">
        <f>IF(Y322=1,IFERROR(IF(ISNUMBER(INDEX('分群統計'!$G$20:$G$59,MATCH(B322,'分群統計'!$A$20:$A$59,0))),INDEX('分群統計'!$H$20:$H$59,MATCH(B322,'分群統計'!$A$20:$A$59,0))+INDEX('分群統計'!$G$20:$G$59,MATCH(B322,'分群統計'!$A$20:$A$59,0))*AU322,""),""),"")</f>
        <v/>
      </c>
      <c r="AI322" s="34">
        <f>IF(ISNUMBER(AH322),N322-AH322,"")</f>
        <v/>
      </c>
      <c r="AJ322" s="30">
        <f>IF(Y322=1,IFERROR(IF(ISNUMBER(INDEX('分群統計'!$G$5:$G$8,MATCH(X322,'分群統計'!$A$5:$A$8,0))),INDEX('分群統計'!$H$5:$H$8,MATCH(X322,'分群統計'!$A$5:$A$8,0))+INDEX('分群統計'!$G$5:$G$8,MATCH(X322,'分群統計'!$A$5:$A$8,0))*AU322,""),""),"")</f>
        <v/>
      </c>
      <c r="AK322" s="34">
        <f>IF(ISNUMBER(AJ322),N322-AJ322,"")</f>
        <v/>
      </c>
      <c r="AL322" s="21">
        <f>IF(ISNUMBER(AJ322),IF(AJ322&gt;0,AK322/AJ322,""),"")</f>
        <v/>
      </c>
      <c r="AM322" s="31">
        <f>IF(AY322&lt;&gt;1,"",IFERROR(IF(INDEX('分群統計'!$K$5:$K$8,MATCH(X322,'分群統計'!$A$5:$A$8,0))&lt;3,"",IF(INDEX('分群統計'!$M$5:$M$8,MATCH(X322,'分群統計'!$A$5:$A$8,0))&gt;0,MAX(-3,MIN(3,(AX322-INDEX('分群統計'!$L$5:$L$8,MATCH(X322,'分群統計'!$A$5:$A$8,0)))/INDEX('分群統計'!$M$5:$M$8,MATCH(X322,'分群統計'!$A$5:$A$8,0)))),0)),""))</f>
        <v/>
      </c>
      <c r="AN322" s="31">
        <f>IF(ISNUMBER(AB322),IF(Z322&gt;0,AB322/Z322*100,""),"")</f>
        <v/>
      </c>
      <c r="AO322" s="31">
        <f>IF(BA322&lt;&gt;1,"",IFERROR(IF(INDEX('分群統計'!$N$5:$N$8,MATCH(X322,'分群統計'!$A$5:$A$8,0))&lt;3,"",IF(INDEX('分群統計'!$P$5:$P$8,MATCH(X322,'分群統計'!$A$5:$A$8,0))&gt;0,MAX(-3,MIN(3,(AZ322-INDEX('分群統計'!$O$5:$O$8,MATCH(X322,'分群統計'!$A$5:$A$8,0)))/INDEX('分群統計'!$P$5:$P$8,MATCH(X322,'分群統計'!$A$5:$A$8,0)))),0)),""))</f>
        <v/>
      </c>
      <c r="AP322" s="31">
        <f>IF(BC322&lt;&gt;1,"",IFERROR(IF(INDEX('分群統計'!$Q$5:$Q$8,MATCH(X322,'分群統計'!$A$5:$A$8,0))&lt;3,"",IF(INDEX('分群統計'!$S$5:$S$8,MATCH(X322,'分群統計'!$A$5:$A$8,0))&gt;0,MAX(-3,MIN(3,(BB322-INDEX('分群統計'!$R$5:$R$8,MATCH(X322,'分群統計'!$A$5:$A$8,0)))/INDEX('分群統計'!$S$5:$S$8,MATCH(X322,'分群統計'!$A$5:$A$8,0)))),0)),""))</f>
        <v/>
      </c>
      <c r="AQ322" s="31">
        <f>IF(Y322=1,(IF(ISNUMBER(AF322),AF322,0)*'參數'!$B$13+IF(ISNUMBER(AM322),AM322,0)*'參數'!$B$14+IF(ISNUMBER(AO322),AO322,0)*'參數'!$B$15+IF(ISNUMBER(AP322),AP322,0)*'參數'!$B$16)/('參數'!$B$13+'參數'!$B$14+'參數'!$B$15+'參數'!$B$16),"")</f>
        <v/>
      </c>
      <c r="AR322" s="35">
        <f>IF(Y322=1,(SUMPRODUCT(($X$5:$X$404=X322)*($Y$5:$Y$404=1)*($BD$5:$BD$404&gt;BD322))+1)/COUNTIFS($X$5:$X$404,X322,$Y$5:$Y$404,1),"")</f>
        <v/>
      </c>
      <c r="AS322" s="8">
        <f>IF(ISNUMBER(AR322),IF(AR322&lt;='參數'!$B$18,"加碼候選",IF(AR322&gt;'參數'!$B$19,"減碼候選","")),"")</f>
        <v/>
      </c>
      <c r="AT322" s="7">
        <f>IF(Y322=1,N322,0)</f>
        <v/>
      </c>
      <c r="AU322" s="7">
        <f>IF(Y322=1,LN(O322),0)</f>
        <v/>
      </c>
      <c r="AV322" s="36">
        <f>IF(Y322=1,IF(ISNUMBER(F322),F322,0),0)</f>
        <v/>
      </c>
      <c r="AW322" s="7">
        <f>IF(Y322=1,Z322,0)</f>
        <v/>
      </c>
      <c r="AX322" s="7">
        <f>IF(Y322=1,IF(ISNUMBER(AL322),AL322,0),0)</f>
        <v/>
      </c>
      <c r="AY322" s="7">
        <f>IF(Y322=1,IF(ISNUMBER(AL322),1,0),0)</f>
        <v/>
      </c>
      <c r="AZ322" s="7">
        <f>IF(Y322=1,IF(ISNUMBER(AN322),AN322,0),0)</f>
        <v/>
      </c>
      <c r="BA322" s="7">
        <f>IF(Y322=1,IF(ISNUMBER(AN322),1,0),0)</f>
        <v/>
      </c>
      <c r="BB322" s="7">
        <f>IF(Y322=1,IF(ISNUMBER(T322),T322,0),0)</f>
        <v/>
      </c>
      <c r="BC322" s="7">
        <f>IF(Y322=1,IF(ISNUMBER(T322),1,0),0)</f>
        <v/>
      </c>
      <c r="BD322" s="7">
        <f>IF(Y322=1,AQ322+ROW()/1E9,-1E9)</f>
        <v/>
      </c>
      <c r="BE322" s="7">
        <f>IF(Y322=1,AQ322+ROW()/1E9,1E9)</f>
        <v/>
      </c>
    </row>
    <row r="323">
      <c r="A323" s="16" t="n"/>
      <c r="B323" s="8">
        <f>IF($A323="","",BDP($A323,B$3))</f>
        <v/>
      </c>
      <c r="C323" s="8">
        <f>IF($A323="","",BDP($A323,C$3))</f>
        <v/>
      </c>
      <c r="D323" s="28">
        <f>IF($A323="","",BDP($A323,D$3))</f>
        <v/>
      </c>
      <c r="E323" s="29">
        <f>IF($A323="","",BDP($A323,E$3))</f>
        <v/>
      </c>
      <c r="F323" s="17">
        <f>IF($A323="","",BDP($A323,F$3))</f>
        <v/>
      </c>
      <c r="G323" s="8">
        <f>IF($A323="","",BDP($A323,G$3))</f>
        <v/>
      </c>
      <c r="H323" s="8">
        <f>IF($A323="","",BDP($A323,H$3))</f>
        <v/>
      </c>
      <c r="I323" s="8">
        <f>IF($A323="","",BDP($A323,I$3))</f>
        <v/>
      </c>
      <c r="J323" s="8">
        <f>IF($A323="","",BDP($A323,J$3))</f>
        <v/>
      </c>
      <c r="K323" s="8">
        <f>IF($A323="","",BDP($A323,K$3))</f>
        <v/>
      </c>
      <c r="L323" s="28">
        <f>IF($A323="","",BDP($A323,L$3))</f>
        <v/>
      </c>
      <c r="M323" s="28">
        <f>IF($A323="","",BDP($A323,M$3))</f>
        <v/>
      </c>
      <c r="N323" s="30">
        <f>IF($A323="","",BDP($A323,N$3))</f>
        <v/>
      </c>
      <c r="O323" s="31">
        <f>IF($A323="","",BDP($A323,O$3))</f>
        <v/>
      </c>
      <c r="P323" s="30">
        <f>IF($A323="","",BDH($A323,$N$3,'參數'!$B$5,'參數'!$B$5,"Days=A","Fill=P","Dates=H"))</f>
        <v/>
      </c>
      <c r="Q323" s="30">
        <f>IF($A323="","",BDH($A323,$N$3,'參數'!$B$6,'參數'!$B$6,"Days=A","Fill=P","Dates=H"))</f>
        <v/>
      </c>
      <c r="R323" s="30">
        <f>IF($A323="","",BDH($A323,$N$3,'參數'!$B$7,'參數'!$B$7,"Days=A","Fill=P","Dates=H"))</f>
        <v/>
      </c>
      <c r="S323" s="32">
        <f>IF($A323="","",IFERROR(INDEX('發行人'!$A$5:$A$44,MATCH(B323,'發行人'!$D$5:$D$44,0)),"未對應"))</f>
        <v/>
      </c>
      <c r="T323" s="24">
        <f>IF($A323="","",IFERROR(INDEX('發行人'!$G$5:$G$44,MATCH(B323,'發行人'!$D$5:$D$44,0))+0,""))</f>
        <v/>
      </c>
      <c r="U323" s="18">
        <f>IF(ISNUMBER(E323),YEARFRAC('參數'!$B$4,E323),"")</f>
        <v/>
      </c>
      <c r="V323" s="8">
        <f>IF(U323="","",IF(U323&lt;3,"1-3y",IF(U323&lt;5,"3-5y",IF(U323&lt;7,"5-7y",IF(U323&lt;10,"7-10y","10y+")))))</f>
        <v/>
      </c>
      <c r="W323" s="30">
        <f>IF($A323="","",IFERROR(INDEX('參數'!$B$24:$B$45,MATCH(G323,'參數'!$A$24:$A$45,0)),""))</f>
        <v/>
      </c>
      <c r="X323" s="8">
        <f>IF($A323="","",IFERROR(INDEX('參數'!$C$24:$C$45,MATCH(G323,'參數'!$A$24:$A$45,0)),""))</f>
        <v/>
      </c>
      <c r="Y323" s="30">
        <f>IF(AND(ISNUMBER(N323),ISNUMBER(O323),ISNUMBER(U323)),IF(AND(O323&gt;0,X323&lt;&gt;""),1,0),0)</f>
        <v/>
      </c>
      <c r="Z323" s="17">
        <f>IF(Y323=1,O323*N323,"")</f>
        <v/>
      </c>
      <c r="AA323" s="33">
        <f>IF(Y323=1,IF(ISNUMBER(Q323),N323-Q323,""),"")</f>
        <v/>
      </c>
      <c r="AB323" s="33">
        <f>IF(Y323=1,IF(AND(ISNUMBER(P323),ISNUMBER(R323)),R323*5/12-O323*(P323-R323),""),"")</f>
        <v/>
      </c>
      <c r="AC323" s="30">
        <f>IF(Y323=1,COUNTIFS($X$5:$X$404,X323,$V$5:$V$404,V323,$Y$5:$Y$404,1),"")</f>
        <v/>
      </c>
      <c r="AD323" s="30">
        <f>IF(Y323=1,IFERROR(IF(AC323&gt;='參數'!$B$9,INDEX('分群統計'!$G$13:$K$16,MATCH(X323,'分群統計'!$A$13:$A$16,0),MATCH(V323,'分群統計'!$G$12:$K$12,0)),INDEX('分群統計'!$I$5:$I$8,MATCH(X323,'分群統計'!$A$5:$A$8,0))),""),"")</f>
        <v/>
      </c>
      <c r="AE323" s="18">
        <f>IF(Y323=1,IFERROR(IF(AC323&gt;='參數'!$B$9,INDEX('分群統計'!$L$13:$P$16,MATCH(X323,'分群統計'!$A$13:$A$16,0),MATCH(V323,'分群統計'!$L$12:$P$12,0)),INDEX('分群統計'!$J$5:$J$8,MATCH(X323,'分群統計'!$A$5:$A$8,0))),""),"")</f>
        <v/>
      </c>
      <c r="AF323" s="31">
        <f>IF(ISNUMBER(AE323),IF(AE323&gt;0,MAX(-3,MIN(3,(N323-AD323)/AE323)),0),"")</f>
        <v/>
      </c>
      <c r="AG323" s="30">
        <f>IF(Y323=1,COUNTIFS($B$5:$B$404,B323,$Y$5:$Y$404,1),"")</f>
        <v/>
      </c>
      <c r="AH323" s="30">
        <f>IF(Y323=1,IFERROR(IF(ISNUMBER(INDEX('分群統計'!$G$20:$G$59,MATCH(B323,'分群統計'!$A$20:$A$59,0))),INDEX('分群統計'!$H$20:$H$59,MATCH(B323,'分群統計'!$A$20:$A$59,0))+INDEX('分群統計'!$G$20:$G$59,MATCH(B323,'分群統計'!$A$20:$A$59,0))*AU323,""),""),"")</f>
        <v/>
      </c>
      <c r="AI323" s="34">
        <f>IF(ISNUMBER(AH323),N323-AH323,"")</f>
        <v/>
      </c>
      <c r="AJ323" s="30">
        <f>IF(Y323=1,IFERROR(IF(ISNUMBER(INDEX('分群統計'!$G$5:$G$8,MATCH(X323,'分群統計'!$A$5:$A$8,0))),INDEX('分群統計'!$H$5:$H$8,MATCH(X323,'分群統計'!$A$5:$A$8,0))+INDEX('分群統計'!$G$5:$G$8,MATCH(X323,'分群統計'!$A$5:$A$8,0))*AU323,""),""),"")</f>
        <v/>
      </c>
      <c r="AK323" s="34">
        <f>IF(ISNUMBER(AJ323),N323-AJ323,"")</f>
        <v/>
      </c>
      <c r="AL323" s="21">
        <f>IF(ISNUMBER(AJ323),IF(AJ323&gt;0,AK323/AJ323,""),"")</f>
        <v/>
      </c>
      <c r="AM323" s="31">
        <f>IF(AY323&lt;&gt;1,"",IFERROR(IF(INDEX('分群統計'!$K$5:$K$8,MATCH(X323,'分群統計'!$A$5:$A$8,0))&lt;3,"",IF(INDEX('分群統計'!$M$5:$M$8,MATCH(X323,'分群統計'!$A$5:$A$8,0))&gt;0,MAX(-3,MIN(3,(AX323-INDEX('分群統計'!$L$5:$L$8,MATCH(X323,'分群統計'!$A$5:$A$8,0)))/INDEX('分群統計'!$M$5:$M$8,MATCH(X323,'分群統計'!$A$5:$A$8,0)))),0)),""))</f>
        <v/>
      </c>
      <c r="AN323" s="31">
        <f>IF(ISNUMBER(AB323),IF(Z323&gt;0,AB323/Z323*100,""),"")</f>
        <v/>
      </c>
      <c r="AO323" s="31">
        <f>IF(BA323&lt;&gt;1,"",IFERROR(IF(INDEX('分群統計'!$N$5:$N$8,MATCH(X323,'分群統計'!$A$5:$A$8,0))&lt;3,"",IF(INDEX('分群統計'!$P$5:$P$8,MATCH(X323,'分群統計'!$A$5:$A$8,0))&gt;0,MAX(-3,MIN(3,(AZ323-INDEX('分群統計'!$O$5:$O$8,MATCH(X323,'分群統計'!$A$5:$A$8,0)))/INDEX('分群統計'!$P$5:$P$8,MATCH(X323,'分群統計'!$A$5:$A$8,0)))),0)),""))</f>
        <v/>
      </c>
      <c r="AP323" s="31">
        <f>IF(BC323&lt;&gt;1,"",IFERROR(IF(INDEX('分群統計'!$Q$5:$Q$8,MATCH(X323,'分群統計'!$A$5:$A$8,0))&lt;3,"",IF(INDEX('分群統計'!$S$5:$S$8,MATCH(X323,'分群統計'!$A$5:$A$8,0))&gt;0,MAX(-3,MIN(3,(BB323-INDEX('分群統計'!$R$5:$R$8,MATCH(X323,'分群統計'!$A$5:$A$8,0)))/INDEX('分群統計'!$S$5:$S$8,MATCH(X323,'分群統計'!$A$5:$A$8,0)))),0)),""))</f>
        <v/>
      </c>
      <c r="AQ323" s="31">
        <f>IF(Y323=1,(IF(ISNUMBER(AF323),AF323,0)*'參數'!$B$13+IF(ISNUMBER(AM323),AM323,0)*'參數'!$B$14+IF(ISNUMBER(AO323),AO323,0)*'參數'!$B$15+IF(ISNUMBER(AP323),AP323,0)*'參數'!$B$16)/('參數'!$B$13+'參數'!$B$14+'參數'!$B$15+'參數'!$B$16),"")</f>
        <v/>
      </c>
      <c r="AR323" s="35">
        <f>IF(Y323=1,(SUMPRODUCT(($X$5:$X$404=X323)*($Y$5:$Y$404=1)*($BD$5:$BD$404&gt;BD323))+1)/COUNTIFS($X$5:$X$404,X323,$Y$5:$Y$404,1),"")</f>
        <v/>
      </c>
      <c r="AS323" s="8">
        <f>IF(ISNUMBER(AR323),IF(AR323&lt;='參數'!$B$18,"加碼候選",IF(AR323&gt;'參數'!$B$19,"減碼候選","")),"")</f>
        <v/>
      </c>
      <c r="AT323" s="7">
        <f>IF(Y323=1,N323,0)</f>
        <v/>
      </c>
      <c r="AU323" s="7">
        <f>IF(Y323=1,LN(O323),0)</f>
        <v/>
      </c>
      <c r="AV323" s="36">
        <f>IF(Y323=1,IF(ISNUMBER(F323),F323,0),0)</f>
        <v/>
      </c>
      <c r="AW323" s="7">
        <f>IF(Y323=1,Z323,0)</f>
        <v/>
      </c>
      <c r="AX323" s="7">
        <f>IF(Y323=1,IF(ISNUMBER(AL323),AL323,0),0)</f>
        <v/>
      </c>
      <c r="AY323" s="7">
        <f>IF(Y323=1,IF(ISNUMBER(AL323),1,0),0)</f>
        <v/>
      </c>
      <c r="AZ323" s="7">
        <f>IF(Y323=1,IF(ISNUMBER(AN323),AN323,0),0)</f>
        <v/>
      </c>
      <c r="BA323" s="7">
        <f>IF(Y323=1,IF(ISNUMBER(AN323),1,0),0)</f>
        <v/>
      </c>
      <c r="BB323" s="7">
        <f>IF(Y323=1,IF(ISNUMBER(T323),T323,0),0)</f>
        <v/>
      </c>
      <c r="BC323" s="7">
        <f>IF(Y323=1,IF(ISNUMBER(T323),1,0),0)</f>
        <v/>
      </c>
      <c r="BD323" s="7">
        <f>IF(Y323=1,AQ323+ROW()/1E9,-1E9)</f>
        <v/>
      </c>
      <c r="BE323" s="7">
        <f>IF(Y323=1,AQ323+ROW()/1E9,1E9)</f>
        <v/>
      </c>
    </row>
    <row r="324">
      <c r="A324" s="16" t="n"/>
      <c r="B324" s="8">
        <f>IF($A324="","",BDP($A324,B$3))</f>
        <v/>
      </c>
      <c r="C324" s="8">
        <f>IF($A324="","",BDP($A324,C$3))</f>
        <v/>
      </c>
      <c r="D324" s="28">
        <f>IF($A324="","",BDP($A324,D$3))</f>
        <v/>
      </c>
      <c r="E324" s="29">
        <f>IF($A324="","",BDP($A324,E$3))</f>
        <v/>
      </c>
      <c r="F324" s="17">
        <f>IF($A324="","",BDP($A324,F$3))</f>
        <v/>
      </c>
      <c r="G324" s="8">
        <f>IF($A324="","",BDP($A324,G$3))</f>
        <v/>
      </c>
      <c r="H324" s="8">
        <f>IF($A324="","",BDP($A324,H$3))</f>
        <v/>
      </c>
      <c r="I324" s="8">
        <f>IF($A324="","",BDP($A324,I$3))</f>
        <v/>
      </c>
      <c r="J324" s="8">
        <f>IF($A324="","",BDP($A324,J$3))</f>
        <v/>
      </c>
      <c r="K324" s="8">
        <f>IF($A324="","",BDP($A324,K$3))</f>
        <v/>
      </c>
      <c r="L324" s="28">
        <f>IF($A324="","",BDP($A324,L$3))</f>
        <v/>
      </c>
      <c r="M324" s="28">
        <f>IF($A324="","",BDP($A324,M$3))</f>
        <v/>
      </c>
      <c r="N324" s="30">
        <f>IF($A324="","",BDP($A324,N$3))</f>
        <v/>
      </c>
      <c r="O324" s="31">
        <f>IF($A324="","",BDP($A324,O$3))</f>
        <v/>
      </c>
      <c r="P324" s="30">
        <f>IF($A324="","",BDH($A324,$N$3,'參數'!$B$5,'參數'!$B$5,"Days=A","Fill=P","Dates=H"))</f>
        <v/>
      </c>
      <c r="Q324" s="30">
        <f>IF($A324="","",BDH($A324,$N$3,'參數'!$B$6,'參數'!$B$6,"Days=A","Fill=P","Dates=H"))</f>
        <v/>
      </c>
      <c r="R324" s="30">
        <f>IF($A324="","",BDH($A324,$N$3,'參數'!$B$7,'參數'!$B$7,"Days=A","Fill=P","Dates=H"))</f>
        <v/>
      </c>
      <c r="S324" s="32">
        <f>IF($A324="","",IFERROR(INDEX('發行人'!$A$5:$A$44,MATCH(B324,'發行人'!$D$5:$D$44,0)),"未對應"))</f>
        <v/>
      </c>
      <c r="T324" s="24">
        <f>IF($A324="","",IFERROR(INDEX('發行人'!$G$5:$G$44,MATCH(B324,'發行人'!$D$5:$D$44,0))+0,""))</f>
        <v/>
      </c>
      <c r="U324" s="18">
        <f>IF(ISNUMBER(E324),YEARFRAC('參數'!$B$4,E324),"")</f>
        <v/>
      </c>
      <c r="V324" s="8">
        <f>IF(U324="","",IF(U324&lt;3,"1-3y",IF(U324&lt;5,"3-5y",IF(U324&lt;7,"5-7y",IF(U324&lt;10,"7-10y","10y+")))))</f>
        <v/>
      </c>
      <c r="W324" s="30">
        <f>IF($A324="","",IFERROR(INDEX('參數'!$B$24:$B$45,MATCH(G324,'參數'!$A$24:$A$45,0)),""))</f>
        <v/>
      </c>
      <c r="X324" s="8">
        <f>IF($A324="","",IFERROR(INDEX('參數'!$C$24:$C$45,MATCH(G324,'參數'!$A$24:$A$45,0)),""))</f>
        <v/>
      </c>
      <c r="Y324" s="30">
        <f>IF(AND(ISNUMBER(N324),ISNUMBER(O324),ISNUMBER(U324)),IF(AND(O324&gt;0,X324&lt;&gt;""),1,0),0)</f>
        <v/>
      </c>
      <c r="Z324" s="17">
        <f>IF(Y324=1,O324*N324,"")</f>
        <v/>
      </c>
      <c r="AA324" s="33">
        <f>IF(Y324=1,IF(ISNUMBER(Q324),N324-Q324,""),"")</f>
        <v/>
      </c>
      <c r="AB324" s="33">
        <f>IF(Y324=1,IF(AND(ISNUMBER(P324),ISNUMBER(R324)),R324*5/12-O324*(P324-R324),""),"")</f>
        <v/>
      </c>
      <c r="AC324" s="30">
        <f>IF(Y324=1,COUNTIFS($X$5:$X$404,X324,$V$5:$V$404,V324,$Y$5:$Y$404,1),"")</f>
        <v/>
      </c>
      <c r="AD324" s="30">
        <f>IF(Y324=1,IFERROR(IF(AC324&gt;='參數'!$B$9,INDEX('分群統計'!$G$13:$K$16,MATCH(X324,'分群統計'!$A$13:$A$16,0),MATCH(V324,'分群統計'!$G$12:$K$12,0)),INDEX('分群統計'!$I$5:$I$8,MATCH(X324,'分群統計'!$A$5:$A$8,0))),""),"")</f>
        <v/>
      </c>
      <c r="AE324" s="18">
        <f>IF(Y324=1,IFERROR(IF(AC324&gt;='參數'!$B$9,INDEX('分群統計'!$L$13:$P$16,MATCH(X324,'分群統計'!$A$13:$A$16,0),MATCH(V324,'分群統計'!$L$12:$P$12,0)),INDEX('分群統計'!$J$5:$J$8,MATCH(X324,'分群統計'!$A$5:$A$8,0))),""),"")</f>
        <v/>
      </c>
      <c r="AF324" s="31">
        <f>IF(ISNUMBER(AE324),IF(AE324&gt;0,MAX(-3,MIN(3,(N324-AD324)/AE324)),0),"")</f>
        <v/>
      </c>
      <c r="AG324" s="30">
        <f>IF(Y324=1,COUNTIFS($B$5:$B$404,B324,$Y$5:$Y$404,1),"")</f>
        <v/>
      </c>
      <c r="AH324" s="30">
        <f>IF(Y324=1,IFERROR(IF(ISNUMBER(INDEX('分群統計'!$G$20:$G$59,MATCH(B324,'分群統計'!$A$20:$A$59,0))),INDEX('分群統計'!$H$20:$H$59,MATCH(B324,'分群統計'!$A$20:$A$59,0))+INDEX('分群統計'!$G$20:$G$59,MATCH(B324,'分群統計'!$A$20:$A$59,0))*AU324,""),""),"")</f>
        <v/>
      </c>
      <c r="AI324" s="34">
        <f>IF(ISNUMBER(AH324),N324-AH324,"")</f>
        <v/>
      </c>
      <c r="AJ324" s="30">
        <f>IF(Y324=1,IFERROR(IF(ISNUMBER(INDEX('分群統計'!$G$5:$G$8,MATCH(X324,'分群統計'!$A$5:$A$8,0))),INDEX('分群統計'!$H$5:$H$8,MATCH(X324,'分群統計'!$A$5:$A$8,0))+INDEX('分群統計'!$G$5:$G$8,MATCH(X324,'分群統計'!$A$5:$A$8,0))*AU324,""),""),"")</f>
        <v/>
      </c>
      <c r="AK324" s="34">
        <f>IF(ISNUMBER(AJ324),N324-AJ324,"")</f>
        <v/>
      </c>
      <c r="AL324" s="21">
        <f>IF(ISNUMBER(AJ324),IF(AJ324&gt;0,AK324/AJ324,""),"")</f>
        <v/>
      </c>
      <c r="AM324" s="31">
        <f>IF(AY324&lt;&gt;1,"",IFERROR(IF(INDEX('分群統計'!$K$5:$K$8,MATCH(X324,'分群統計'!$A$5:$A$8,0))&lt;3,"",IF(INDEX('分群統計'!$M$5:$M$8,MATCH(X324,'分群統計'!$A$5:$A$8,0))&gt;0,MAX(-3,MIN(3,(AX324-INDEX('分群統計'!$L$5:$L$8,MATCH(X324,'分群統計'!$A$5:$A$8,0)))/INDEX('分群統計'!$M$5:$M$8,MATCH(X324,'分群統計'!$A$5:$A$8,0)))),0)),""))</f>
        <v/>
      </c>
      <c r="AN324" s="31">
        <f>IF(ISNUMBER(AB324),IF(Z324&gt;0,AB324/Z324*100,""),"")</f>
        <v/>
      </c>
      <c r="AO324" s="31">
        <f>IF(BA324&lt;&gt;1,"",IFERROR(IF(INDEX('分群統計'!$N$5:$N$8,MATCH(X324,'分群統計'!$A$5:$A$8,0))&lt;3,"",IF(INDEX('分群統計'!$P$5:$P$8,MATCH(X324,'分群統計'!$A$5:$A$8,0))&gt;0,MAX(-3,MIN(3,(AZ324-INDEX('分群統計'!$O$5:$O$8,MATCH(X324,'分群統計'!$A$5:$A$8,0)))/INDEX('分群統計'!$P$5:$P$8,MATCH(X324,'分群統計'!$A$5:$A$8,0)))),0)),""))</f>
        <v/>
      </c>
      <c r="AP324" s="31">
        <f>IF(BC324&lt;&gt;1,"",IFERROR(IF(INDEX('分群統計'!$Q$5:$Q$8,MATCH(X324,'分群統計'!$A$5:$A$8,0))&lt;3,"",IF(INDEX('分群統計'!$S$5:$S$8,MATCH(X324,'分群統計'!$A$5:$A$8,0))&gt;0,MAX(-3,MIN(3,(BB324-INDEX('分群統計'!$R$5:$R$8,MATCH(X324,'分群統計'!$A$5:$A$8,0)))/INDEX('分群統計'!$S$5:$S$8,MATCH(X324,'分群統計'!$A$5:$A$8,0)))),0)),""))</f>
        <v/>
      </c>
      <c r="AQ324" s="31">
        <f>IF(Y324=1,(IF(ISNUMBER(AF324),AF324,0)*'參數'!$B$13+IF(ISNUMBER(AM324),AM324,0)*'參數'!$B$14+IF(ISNUMBER(AO324),AO324,0)*'參數'!$B$15+IF(ISNUMBER(AP324),AP324,0)*'參數'!$B$16)/('參數'!$B$13+'參數'!$B$14+'參數'!$B$15+'參數'!$B$16),"")</f>
        <v/>
      </c>
      <c r="AR324" s="35">
        <f>IF(Y324=1,(SUMPRODUCT(($X$5:$X$404=X324)*($Y$5:$Y$404=1)*($BD$5:$BD$404&gt;BD324))+1)/COUNTIFS($X$5:$X$404,X324,$Y$5:$Y$404,1),"")</f>
        <v/>
      </c>
      <c r="AS324" s="8">
        <f>IF(ISNUMBER(AR324),IF(AR324&lt;='參數'!$B$18,"加碼候選",IF(AR324&gt;'參數'!$B$19,"減碼候選","")),"")</f>
        <v/>
      </c>
      <c r="AT324" s="7">
        <f>IF(Y324=1,N324,0)</f>
        <v/>
      </c>
      <c r="AU324" s="7">
        <f>IF(Y324=1,LN(O324),0)</f>
        <v/>
      </c>
      <c r="AV324" s="36">
        <f>IF(Y324=1,IF(ISNUMBER(F324),F324,0),0)</f>
        <v/>
      </c>
      <c r="AW324" s="7">
        <f>IF(Y324=1,Z324,0)</f>
        <v/>
      </c>
      <c r="AX324" s="7">
        <f>IF(Y324=1,IF(ISNUMBER(AL324),AL324,0),0)</f>
        <v/>
      </c>
      <c r="AY324" s="7">
        <f>IF(Y324=1,IF(ISNUMBER(AL324),1,0),0)</f>
        <v/>
      </c>
      <c r="AZ324" s="7">
        <f>IF(Y324=1,IF(ISNUMBER(AN324),AN324,0),0)</f>
        <v/>
      </c>
      <c r="BA324" s="7">
        <f>IF(Y324=1,IF(ISNUMBER(AN324),1,0),0)</f>
        <v/>
      </c>
      <c r="BB324" s="7">
        <f>IF(Y324=1,IF(ISNUMBER(T324),T324,0),0)</f>
        <v/>
      </c>
      <c r="BC324" s="7">
        <f>IF(Y324=1,IF(ISNUMBER(T324),1,0),0)</f>
        <v/>
      </c>
      <c r="BD324" s="7">
        <f>IF(Y324=1,AQ324+ROW()/1E9,-1E9)</f>
        <v/>
      </c>
      <c r="BE324" s="7">
        <f>IF(Y324=1,AQ324+ROW()/1E9,1E9)</f>
        <v/>
      </c>
    </row>
    <row r="325">
      <c r="A325" s="16" t="n"/>
      <c r="B325" s="8">
        <f>IF($A325="","",BDP($A325,B$3))</f>
        <v/>
      </c>
      <c r="C325" s="8">
        <f>IF($A325="","",BDP($A325,C$3))</f>
        <v/>
      </c>
      <c r="D325" s="28">
        <f>IF($A325="","",BDP($A325,D$3))</f>
        <v/>
      </c>
      <c r="E325" s="29">
        <f>IF($A325="","",BDP($A325,E$3))</f>
        <v/>
      </c>
      <c r="F325" s="17">
        <f>IF($A325="","",BDP($A325,F$3))</f>
        <v/>
      </c>
      <c r="G325" s="8">
        <f>IF($A325="","",BDP($A325,G$3))</f>
        <v/>
      </c>
      <c r="H325" s="8">
        <f>IF($A325="","",BDP($A325,H$3))</f>
        <v/>
      </c>
      <c r="I325" s="8">
        <f>IF($A325="","",BDP($A325,I$3))</f>
        <v/>
      </c>
      <c r="J325" s="8">
        <f>IF($A325="","",BDP($A325,J$3))</f>
        <v/>
      </c>
      <c r="K325" s="8">
        <f>IF($A325="","",BDP($A325,K$3))</f>
        <v/>
      </c>
      <c r="L325" s="28">
        <f>IF($A325="","",BDP($A325,L$3))</f>
        <v/>
      </c>
      <c r="M325" s="28">
        <f>IF($A325="","",BDP($A325,M$3))</f>
        <v/>
      </c>
      <c r="N325" s="30">
        <f>IF($A325="","",BDP($A325,N$3))</f>
        <v/>
      </c>
      <c r="O325" s="31">
        <f>IF($A325="","",BDP($A325,O$3))</f>
        <v/>
      </c>
      <c r="P325" s="30">
        <f>IF($A325="","",BDH($A325,$N$3,'參數'!$B$5,'參數'!$B$5,"Days=A","Fill=P","Dates=H"))</f>
        <v/>
      </c>
      <c r="Q325" s="30">
        <f>IF($A325="","",BDH($A325,$N$3,'參數'!$B$6,'參數'!$B$6,"Days=A","Fill=P","Dates=H"))</f>
        <v/>
      </c>
      <c r="R325" s="30">
        <f>IF($A325="","",BDH($A325,$N$3,'參數'!$B$7,'參數'!$B$7,"Days=A","Fill=P","Dates=H"))</f>
        <v/>
      </c>
      <c r="S325" s="32">
        <f>IF($A325="","",IFERROR(INDEX('發行人'!$A$5:$A$44,MATCH(B325,'發行人'!$D$5:$D$44,0)),"未對應"))</f>
        <v/>
      </c>
      <c r="T325" s="24">
        <f>IF($A325="","",IFERROR(INDEX('發行人'!$G$5:$G$44,MATCH(B325,'發行人'!$D$5:$D$44,0))+0,""))</f>
        <v/>
      </c>
      <c r="U325" s="18">
        <f>IF(ISNUMBER(E325),YEARFRAC('參數'!$B$4,E325),"")</f>
        <v/>
      </c>
      <c r="V325" s="8">
        <f>IF(U325="","",IF(U325&lt;3,"1-3y",IF(U325&lt;5,"3-5y",IF(U325&lt;7,"5-7y",IF(U325&lt;10,"7-10y","10y+")))))</f>
        <v/>
      </c>
      <c r="W325" s="30">
        <f>IF($A325="","",IFERROR(INDEX('參數'!$B$24:$B$45,MATCH(G325,'參數'!$A$24:$A$45,0)),""))</f>
        <v/>
      </c>
      <c r="X325" s="8">
        <f>IF($A325="","",IFERROR(INDEX('參數'!$C$24:$C$45,MATCH(G325,'參數'!$A$24:$A$45,0)),""))</f>
        <v/>
      </c>
      <c r="Y325" s="30">
        <f>IF(AND(ISNUMBER(N325),ISNUMBER(O325),ISNUMBER(U325)),IF(AND(O325&gt;0,X325&lt;&gt;""),1,0),0)</f>
        <v/>
      </c>
      <c r="Z325" s="17">
        <f>IF(Y325=1,O325*N325,"")</f>
        <v/>
      </c>
      <c r="AA325" s="33">
        <f>IF(Y325=1,IF(ISNUMBER(Q325),N325-Q325,""),"")</f>
        <v/>
      </c>
      <c r="AB325" s="33">
        <f>IF(Y325=1,IF(AND(ISNUMBER(P325),ISNUMBER(R325)),R325*5/12-O325*(P325-R325),""),"")</f>
        <v/>
      </c>
      <c r="AC325" s="30">
        <f>IF(Y325=1,COUNTIFS($X$5:$X$404,X325,$V$5:$V$404,V325,$Y$5:$Y$404,1),"")</f>
        <v/>
      </c>
      <c r="AD325" s="30">
        <f>IF(Y325=1,IFERROR(IF(AC325&gt;='參數'!$B$9,INDEX('分群統計'!$G$13:$K$16,MATCH(X325,'分群統計'!$A$13:$A$16,0),MATCH(V325,'分群統計'!$G$12:$K$12,0)),INDEX('分群統計'!$I$5:$I$8,MATCH(X325,'分群統計'!$A$5:$A$8,0))),""),"")</f>
        <v/>
      </c>
      <c r="AE325" s="18">
        <f>IF(Y325=1,IFERROR(IF(AC325&gt;='參數'!$B$9,INDEX('分群統計'!$L$13:$P$16,MATCH(X325,'分群統計'!$A$13:$A$16,0),MATCH(V325,'分群統計'!$L$12:$P$12,0)),INDEX('分群統計'!$J$5:$J$8,MATCH(X325,'分群統計'!$A$5:$A$8,0))),""),"")</f>
        <v/>
      </c>
      <c r="AF325" s="31">
        <f>IF(ISNUMBER(AE325),IF(AE325&gt;0,MAX(-3,MIN(3,(N325-AD325)/AE325)),0),"")</f>
        <v/>
      </c>
      <c r="AG325" s="30">
        <f>IF(Y325=1,COUNTIFS($B$5:$B$404,B325,$Y$5:$Y$404,1),"")</f>
        <v/>
      </c>
      <c r="AH325" s="30">
        <f>IF(Y325=1,IFERROR(IF(ISNUMBER(INDEX('分群統計'!$G$20:$G$59,MATCH(B325,'分群統計'!$A$20:$A$59,0))),INDEX('分群統計'!$H$20:$H$59,MATCH(B325,'分群統計'!$A$20:$A$59,0))+INDEX('分群統計'!$G$20:$G$59,MATCH(B325,'分群統計'!$A$20:$A$59,0))*AU325,""),""),"")</f>
        <v/>
      </c>
      <c r="AI325" s="34">
        <f>IF(ISNUMBER(AH325),N325-AH325,"")</f>
        <v/>
      </c>
      <c r="AJ325" s="30">
        <f>IF(Y325=1,IFERROR(IF(ISNUMBER(INDEX('分群統計'!$G$5:$G$8,MATCH(X325,'分群統計'!$A$5:$A$8,0))),INDEX('分群統計'!$H$5:$H$8,MATCH(X325,'分群統計'!$A$5:$A$8,0))+INDEX('分群統計'!$G$5:$G$8,MATCH(X325,'分群統計'!$A$5:$A$8,0))*AU325,""),""),"")</f>
        <v/>
      </c>
      <c r="AK325" s="34">
        <f>IF(ISNUMBER(AJ325),N325-AJ325,"")</f>
        <v/>
      </c>
      <c r="AL325" s="21">
        <f>IF(ISNUMBER(AJ325),IF(AJ325&gt;0,AK325/AJ325,""),"")</f>
        <v/>
      </c>
      <c r="AM325" s="31">
        <f>IF(AY325&lt;&gt;1,"",IFERROR(IF(INDEX('分群統計'!$K$5:$K$8,MATCH(X325,'分群統計'!$A$5:$A$8,0))&lt;3,"",IF(INDEX('分群統計'!$M$5:$M$8,MATCH(X325,'分群統計'!$A$5:$A$8,0))&gt;0,MAX(-3,MIN(3,(AX325-INDEX('分群統計'!$L$5:$L$8,MATCH(X325,'分群統計'!$A$5:$A$8,0)))/INDEX('分群統計'!$M$5:$M$8,MATCH(X325,'分群統計'!$A$5:$A$8,0)))),0)),""))</f>
        <v/>
      </c>
      <c r="AN325" s="31">
        <f>IF(ISNUMBER(AB325),IF(Z325&gt;0,AB325/Z325*100,""),"")</f>
        <v/>
      </c>
      <c r="AO325" s="31">
        <f>IF(BA325&lt;&gt;1,"",IFERROR(IF(INDEX('分群統計'!$N$5:$N$8,MATCH(X325,'分群統計'!$A$5:$A$8,0))&lt;3,"",IF(INDEX('分群統計'!$P$5:$P$8,MATCH(X325,'分群統計'!$A$5:$A$8,0))&gt;0,MAX(-3,MIN(3,(AZ325-INDEX('分群統計'!$O$5:$O$8,MATCH(X325,'分群統計'!$A$5:$A$8,0)))/INDEX('分群統計'!$P$5:$P$8,MATCH(X325,'分群統計'!$A$5:$A$8,0)))),0)),""))</f>
        <v/>
      </c>
      <c r="AP325" s="31">
        <f>IF(BC325&lt;&gt;1,"",IFERROR(IF(INDEX('分群統計'!$Q$5:$Q$8,MATCH(X325,'分群統計'!$A$5:$A$8,0))&lt;3,"",IF(INDEX('分群統計'!$S$5:$S$8,MATCH(X325,'分群統計'!$A$5:$A$8,0))&gt;0,MAX(-3,MIN(3,(BB325-INDEX('分群統計'!$R$5:$R$8,MATCH(X325,'分群統計'!$A$5:$A$8,0)))/INDEX('分群統計'!$S$5:$S$8,MATCH(X325,'分群統計'!$A$5:$A$8,0)))),0)),""))</f>
        <v/>
      </c>
      <c r="AQ325" s="31">
        <f>IF(Y325=1,(IF(ISNUMBER(AF325),AF325,0)*'參數'!$B$13+IF(ISNUMBER(AM325),AM325,0)*'參數'!$B$14+IF(ISNUMBER(AO325),AO325,0)*'參數'!$B$15+IF(ISNUMBER(AP325),AP325,0)*'參數'!$B$16)/('參數'!$B$13+'參數'!$B$14+'參數'!$B$15+'參數'!$B$16),"")</f>
        <v/>
      </c>
      <c r="AR325" s="35">
        <f>IF(Y325=1,(SUMPRODUCT(($X$5:$X$404=X325)*($Y$5:$Y$404=1)*($BD$5:$BD$404&gt;BD325))+1)/COUNTIFS($X$5:$X$404,X325,$Y$5:$Y$404,1),"")</f>
        <v/>
      </c>
      <c r="AS325" s="8">
        <f>IF(ISNUMBER(AR325),IF(AR325&lt;='參數'!$B$18,"加碼候選",IF(AR325&gt;'參數'!$B$19,"減碼候選","")),"")</f>
        <v/>
      </c>
      <c r="AT325" s="7">
        <f>IF(Y325=1,N325,0)</f>
        <v/>
      </c>
      <c r="AU325" s="7">
        <f>IF(Y325=1,LN(O325),0)</f>
        <v/>
      </c>
      <c r="AV325" s="36">
        <f>IF(Y325=1,IF(ISNUMBER(F325),F325,0),0)</f>
        <v/>
      </c>
      <c r="AW325" s="7">
        <f>IF(Y325=1,Z325,0)</f>
        <v/>
      </c>
      <c r="AX325" s="7">
        <f>IF(Y325=1,IF(ISNUMBER(AL325),AL325,0),0)</f>
        <v/>
      </c>
      <c r="AY325" s="7">
        <f>IF(Y325=1,IF(ISNUMBER(AL325),1,0),0)</f>
        <v/>
      </c>
      <c r="AZ325" s="7">
        <f>IF(Y325=1,IF(ISNUMBER(AN325),AN325,0),0)</f>
        <v/>
      </c>
      <c r="BA325" s="7">
        <f>IF(Y325=1,IF(ISNUMBER(AN325),1,0),0)</f>
        <v/>
      </c>
      <c r="BB325" s="7">
        <f>IF(Y325=1,IF(ISNUMBER(T325),T325,0),0)</f>
        <v/>
      </c>
      <c r="BC325" s="7">
        <f>IF(Y325=1,IF(ISNUMBER(T325),1,0),0)</f>
        <v/>
      </c>
      <c r="BD325" s="7">
        <f>IF(Y325=1,AQ325+ROW()/1E9,-1E9)</f>
        <v/>
      </c>
      <c r="BE325" s="7">
        <f>IF(Y325=1,AQ325+ROW()/1E9,1E9)</f>
        <v/>
      </c>
    </row>
    <row r="326">
      <c r="A326" s="16" t="n"/>
      <c r="B326" s="8">
        <f>IF($A326="","",BDP($A326,B$3))</f>
        <v/>
      </c>
      <c r="C326" s="8">
        <f>IF($A326="","",BDP($A326,C$3))</f>
        <v/>
      </c>
      <c r="D326" s="28">
        <f>IF($A326="","",BDP($A326,D$3))</f>
        <v/>
      </c>
      <c r="E326" s="29">
        <f>IF($A326="","",BDP($A326,E$3))</f>
        <v/>
      </c>
      <c r="F326" s="17">
        <f>IF($A326="","",BDP($A326,F$3))</f>
        <v/>
      </c>
      <c r="G326" s="8">
        <f>IF($A326="","",BDP($A326,G$3))</f>
        <v/>
      </c>
      <c r="H326" s="8">
        <f>IF($A326="","",BDP($A326,H$3))</f>
        <v/>
      </c>
      <c r="I326" s="8">
        <f>IF($A326="","",BDP($A326,I$3))</f>
        <v/>
      </c>
      <c r="J326" s="8">
        <f>IF($A326="","",BDP($A326,J$3))</f>
        <v/>
      </c>
      <c r="K326" s="8">
        <f>IF($A326="","",BDP($A326,K$3))</f>
        <v/>
      </c>
      <c r="L326" s="28">
        <f>IF($A326="","",BDP($A326,L$3))</f>
        <v/>
      </c>
      <c r="M326" s="28">
        <f>IF($A326="","",BDP($A326,M$3))</f>
        <v/>
      </c>
      <c r="N326" s="30">
        <f>IF($A326="","",BDP($A326,N$3))</f>
        <v/>
      </c>
      <c r="O326" s="31">
        <f>IF($A326="","",BDP($A326,O$3))</f>
        <v/>
      </c>
      <c r="P326" s="30">
        <f>IF($A326="","",BDH($A326,$N$3,'參數'!$B$5,'參數'!$B$5,"Days=A","Fill=P","Dates=H"))</f>
        <v/>
      </c>
      <c r="Q326" s="30">
        <f>IF($A326="","",BDH($A326,$N$3,'參數'!$B$6,'參數'!$B$6,"Days=A","Fill=P","Dates=H"))</f>
        <v/>
      </c>
      <c r="R326" s="30">
        <f>IF($A326="","",BDH($A326,$N$3,'參數'!$B$7,'參數'!$B$7,"Days=A","Fill=P","Dates=H"))</f>
        <v/>
      </c>
      <c r="S326" s="32">
        <f>IF($A326="","",IFERROR(INDEX('發行人'!$A$5:$A$44,MATCH(B326,'發行人'!$D$5:$D$44,0)),"未對應"))</f>
        <v/>
      </c>
      <c r="T326" s="24">
        <f>IF($A326="","",IFERROR(INDEX('發行人'!$G$5:$G$44,MATCH(B326,'發行人'!$D$5:$D$44,0))+0,""))</f>
        <v/>
      </c>
      <c r="U326" s="18">
        <f>IF(ISNUMBER(E326),YEARFRAC('參數'!$B$4,E326),"")</f>
        <v/>
      </c>
      <c r="V326" s="8">
        <f>IF(U326="","",IF(U326&lt;3,"1-3y",IF(U326&lt;5,"3-5y",IF(U326&lt;7,"5-7y",IF(U326&lt;10,"7-10y","10y+")))))</f>
        <v/>
      </c>
      <c r="W326" s="30">
        <f>IF($A326="","",IFERROR(INDEX('參數'!$B$24:$B$45,MATCH(G326,'參數'!$A$24:$A$45,0)),""))</f>
        <v/>
      </c>
      <c r="X326" s="8">
        <f>IF($A326="","",IFERROR(INDEX('參數'!$C$24:$C$45,MATCH(G326,'參數'!$A$24:$A$45,0)),""))</f>
        <v/>
      </c>
      <c r="Y326" s="30">
        <f>IF(AND(ISNUMBER(N326),ISNUMBER(O326),ISNUMBER(U326)),IF(AND(O326&gt;0,X326&lt;&gt;""),1,0),0)</f>
        <v/>
      </c>
      <c r="Z326" s="17">
        <f>IF(Y326=1,O326*N326,"")</f>
        <v/>
      </c>
      <c r="AA326" s="33">
        <f>IF(Y326=1,IF(ISNUMBER(Q326),N326-Q326,""),"")</f>
        <v/>
      </c>
      <c r="AB326" s="33">
        <f>IF(Y326=1,IF(AND(ISNUMBER(P326),ISNUMBER(R326)),R326*5/12-O326*(P326-R326),""),"")</f>
        <v/>
      </c>
      <c r="AC326" s="30">
        <f>IF(Y326=1,COUNTIFS($X$5:$X$404,X326,$V$5:$V$404,V326,$Y$5:$Y$404,1),"")</f>
        <v/>
      </c>
      <c r="AD326" s="30">
        <f>IF(Y326=1,IFERROR(IF(AC326&gt;='參數'!$B$9,INDEX('分群統計'!$G$13:$K$16,MATCH(X326,'分群統計'!$A$13:$A$16,0),MATCH(V326,'分群統計'!$G$12:$K$12,0)),INDEX('分群統計'!$I$5:$I$8,MATCH(X326,'分群統計'!$A$5:$A$8,0))),""),"")</f>
        <v/>
      </c>
      <c r="AE326" s="18">
        <f>IF(Y326=1,IFERROR(IF(AC326&gt;='參數'!$B$9,INDEX('分群統計'!$L$13:$P$16,MATCH(X326,'分群統計'!$A$13:$A$16,0),MATCH(V326,'分群統計'!$L$12:$P$12,0)),INDEX('分群統計'!$J$5:$J$8,MATCH(X326,'分群統計'!$A$5:$A$8,0))),""),"")</f>
        <v/>
      </c>
      <c r="AF326" s="31">
        <f>IF(ISNUMBER(AE326),IF(AE326&gt;0,MAX(-3,MIN(3,(N326-AD326)/AE326)),0),"")</f>
        <v/>
      </c>
      <c r="AG326" s="30">
        <f>IF(Y326=1,COUNTIFS($B$5:$B$404,B326,$Y$5:$Y$404,1),"")</f>
        <v/>
      </c>
      <c r="AH326" s="30">
        <f>IF(Y326=1,IFERROR(IF(ISNUMBER(INDEX('分群統計'!$G$20:$G$59,MATCH(B326,'分群統計'!$A$20:$A$59,0))),INDEX('分群統計'!$H$20:$H$59,MATCH(B326,'分群統計'!$A$20:$A$59,0))+INDEX('分群統計'!$G$20:$G$59,MATCH(B326,'分群統計'!$A$20:$A$59,0))*AU326,""),""),"")</f>
        <v/>
      </c>
      <c r="AI326" s="34">
        <f>IF(ISNUMBER(AH326),N326-AH326,"")</f>
        <v/>
      </c>
      <c r="AJ326" s="30">
        <f>IF(Y326=1,IFERROR(IF(ISNUMBER(INDEX('分群統計'!$G$5:$G$8,MATCH(X326,'分群統計'!$A$5:$A$8,0))),INDEX('分群統計'!$H$5:$H$8,MATCH(X326,'分群統計'!$A$5:$A$8,0))+INDEX('分群統計'!$G$5:$G$8,MATCH(X326,'分群統計'!$A$5:$A$8,0))*AU326,""),""),"")</f>
        <v/>
      </c>
      <c r="AK326" s="34">
        <f>IF(ISNUMBER(AJ326),N326-AJ326,"")</f>
        <v/>
      </c>
      <c r="AL326" s="21">
        <f>IF(ISNUMBER(AJ326),IF(AJ326&gt;0,AK326/AJ326,""),"")</f>
        <v/>
      </c>
      <c r="AM326" s="31">
        <f>IF(AY326&lt;&gt;1,"",IFERROR(IF(INDEX('分群統計'!$K$5:$K$8,MATCH(X326,'分群統計'!$A$5:$A$8,0))&lt;3,"",IF(INDEX('分群統計'!$M$5:$M$8,MATCH(X326,'分群統計'!$A$5:$A$8,0))&gt;0,MAX(-3,MIN(3,(AX326-INDEX('分群統計'!$L$5:$L$8,MATCH(X326,'分群統計'!$A$5:$A$8,0)))/INDEX('分群統計'!$M$5:$M$8,MATCH(X326,'分群統計'!$A$5:$A$8,0)))),0)),""))</f>
        <v/>
      </c>
      <c r="AN326" s="31">
        <f>IF(ISNUMBER(AB326),IF(Z326&gt;0,AB326/Z326*100,""),"")</f>
        <v/>
      </c>
      <c r="AO326" s="31">
        <f>IF(BA326&lt;&gt;1,"",IFERROR(IF(INDEX('分群統計'!$N$5:$N$8,MATCH(X326,'分群統計'!$A$5:$A$8,0))&lt;3,"",IF(INDEX('分群統計'!$P$5:$P$8,MATCH(X326,'分群統計'!$A$5:$A$8,0))&gt;0,MAX(-3,MIN(3,(AZ326-INDEX('分群統計'!$O$5:$O$8,MATCH(X326,'分群統計'!$A$5:$A$8,0)))/INDEX('分群統計'!$P$5:$P$8,MATCH(X326,'分群統計'!$A$5:$A$8,0)))),0)),""))</f>
        <v/>
      </c>
      <c r="AP326" s="31">
        <f>IF(BC326&lt;&gt;1,"",IFERROR(IF(INDEX('分群統計'!$Q$5:$Q$8,MATCH(X326,'分群統計'!$A$5:$A$8,0))&lt;3,"",IF(INDEX('分群統計'!$S$5:$S$8,MATCH(X326,'分群統計'!$A$5:$A$8,0))&gt;0,MAX(-3,MIN(3,(BB326-INDEX('分群統計'!$R$5:$R$8,MATCH(X326,'分群統計'!$A$5:$A$8,0)))/INDEX('分群統計'!$S$5:$S$8,MATCH(X326,'分群統計'!$A$5:$A$8,0)))),0)),""))</f>
        <v/>
      </c>
      <c r="AQ326" s="31">
        <f>IF(Y326=1,(IF(ISNUMBER(AF326),AF326,0)*'參數'!$B$13+IF(ISNUMBER(AM326),AM326,0)*'參數'!$B$14+IF(ISNUMBER(AO326),AO326,0)*'參數'!$B$15+IF(ISNUMBER(AP326),AP326,0)*'參數'!$B$16)/('參數'!$B$13+'參數'!$B$14+'參數'!$B$15+'參數'!$B$16),"")</f>
        <v/>
      </c>
      <c r="AR326" s="35">
        <f>IF(Y326=1,(SUMPRODUCT(($X$5:$X$404=X326)*($Y$5:$Y$404=1)*($BD$5:$BD$404&gt;BD326))+1)/COUNTIFS($X$5:$X$404,X326,$Y$5:$Y$404,1),"")</f>
        <v/>
      </c>
      <c r="AS326" s="8">
        <f>IF(ISNUMBER(AR326),IF(AR326&lt;='參數'!$B$18,"加碼候選",IF(AR326&gt;'參數'!$B$19,"減碼候選","")),"")</f>
        <v/>
      </c>
      <c r="AT326" s="7">
        <f>IF(Y326=1,N326,0)</f>
        <v/>
      </c>
      <c r="AU326" s="7">
        <f>IF(Y326=1,LN(O326),0)</f>
        <v/>
      </c>
      <c r="AV326" s="36">
        <f>IF(Y326=1,IF(ISNUMBER(F326),F326,0),0)</f>
        <v/>
      </c>
      <c r="AW326" s="7">
        <f>IF(Y326=1,Z326,0)</f>
        <v/>
      </c>
      <c r="AX326" s="7">
        <f>IF(Y326=1,IF(ISNUMBER(AL326),AL326,0),0)</f>
        <v/>
      </c>
      <c r="AY326" s="7">
        <f>IF(Y326=1,IF(ISNUMBER(AL326),1,0),0)</f>
        <v/>
      </c>
      <c r="AZ326" s="7">
        <f>IF(Y326=1,IF(ISNUMBER(AN326),AN326,0),0)</f>
        <v/>
      </c>
      <c r="BA326" s="7">
        <f>IF(Y326=1,IF(ISNUMBER(AN326),1,0),0)</f>
        <v/>
      </c>
      <c r="BB326" s="7">
        <f>IF(Y326=1,IF(ISNUMBER(T326),T326,0),0)</f>
        <v/>
      </c>
      <c r="BC326" s="7">
        <f>IF(Y326=1,IF(ISNUMBER(T326),1,0),0)</f>
        <v/>
      </c>
      <c r="BD326" s="7">
        <f>IF(Y326=1,AQ326+ROW()/1E9,-1E9)</f>
        <v/>
      </c>
      <c r="BE326" s="7">
        <f>IF(Y326=1,AQ326+ROW()/1E9,1E9)</f>
        <v/>
      </c>
    </row>
    <row r="327">
      <c r="A327" s="16" t="n"/>
      <c r="B327" s="8">
        <f>IF($A327="","",BDP($A327,B$3))</f>
        <v/>
      </c>
      <c r="C327" s="8">
        <f>IF($A327="","",BDP($A327,C$3))</f>
        <v/>
      </c>
      <c r="D327" s="28">
        <f>IF($A327="","",BDP($A327,D$3))</f>
        <v/>
      </c>
      <c r="E327" s="29">
        <f>IF($A327="","",BDP($A327,E$3))</f>
        <v/>
      </c>
      <c r="F327" s="17">
        <f>IF($A327="","",BDP($A327,F$3))</f>
        <v/>
      </c>
      <c r="G327" s="8">
        <f>IF($A327="","",BDP($A327,G$3))</f>
        <v/>
      </c>
      <c r="H327" s="8">
        <f>IF($A327="","",BDP($A327,H$3))</f>
        <v/>
      </c>
      <c r="I327" s="8">
        <f>IF($A327="","",BDP($A327,I$3))</f>
        <v/>
      </c>
      <c r="J327" s="8">
        <f>IF($A327="","",BDP($A327,J$3))</f>
        <v/>
      </c>
      <c r="K327" s="8">
        <f>IF($A327="","",BDP($A327,K$3))</f>
        <v/>
      </c>
      <c r="L327" s="28">
        <f>IF($A327="","",BDP($A327,L$3))</f>
        <v/>
      </c>
      <c r="M327" s="28">
        <f>IF($A327="","",BDP($A327,M$3))</f>
        <v/>
      </c>
      <c r="N327" s="30">
        <f>IF($A327="","",BDP($A327,N$3))</f>
        <v/>
      </c>
      <c r="O327" s="31">
        <f>IF($A327="","",BDP($A327,O$3))</f>
        <v/>
      </c>
      <c r="P327" s="30">
        <f>IF($A327="","",BDH($A327,$N$3,'參數'!$B$5,'參數'!$B$5,"Days=A","Fill=P","Dates=H"))</f>
        <v/>
      </c>
      <c r="Q327" s="30">
        <f>IF($A327="","",BDH($A327,$N$3,'參數'!$B$6,'參數'!$B$6,"Days=A","Fill=P","Dates=H"))</f>
        <v/>
      </c>
      <c r="R327" s="30">
        <f>IF($A327="","",BDH($A327,$N$3,'參數'!$B$7,'參數'!$B$7,"Days=A","Fill=P","Dates=H"))</f>
        <v/>
      </c>
      <c r="S327" s="32">
        <f>IF($A327="","",IFERROR(INDEX('發行人'!$A$5:$A$44,MATCH(B327,'發行人'!$D$5:$D$44,0)),"未對應"))</f>
        <v/>
      </c>
      <c r="T327" s="24">
        <f>IF($A327="","",IFERROR(INDEX('發行人'!$G$5:$G$44,MATCH(B327,'發行人'!$D$5:$D$44,0))+0,""))</f>
        <v/>
      </c>
      <c r="U327" s="18">
        <f>IF(ISNUMBER(E327),YEARFRAC('參數'!$B$4,E327),"")</f>
        <v/>
      </c>
      <c r="V327" s="8">
        <f>IF(U327="","",IF(U327&lt;3,"1-3y",IF(U327&lt;5,"3-5y",IF(U327&lt;7,"5-7y",IF(U327&lt;10,"7-10y","10y+")))))</f>
        <v/>
      </c>
      <c r="W327" s="30">
        <f>IF($A327="","",IFERROR(INDEX('參數'!$B$24:$B$45,MATCH(G327,'參數'!$A$24:$A$45,0)),""))</f>
        <v/>
      </c>
      <c r="X327" s="8">
        <f>IF($A327="","",IFERROR(INDEX('參數'!$C$24:$C$45,MATCH(G327,'參數'!$A$24:$A$45,0)),""))</f>
        <v/>
      </c>
      <c r="Y327" s="30">
        <f>IF(AND(ISNUMBER(N327),ISNUMBER(O327),ISNUMBER(U327)),IF(AND(O327&gt;0,X327&lt;&gt;""),1,0),0)</f>
        <v/>
      </c>
      <c r="Z327" s="17">
        <f>IF(Y327=1,O327*N327,"")</f>
        <v/>
      </c>
      <c r="AA327" s="33">
        <f>IF(Y327=1,IF(ISNUMBER(Q327),N327-Q327,""),"")</f>
        <v/>
      </c>
      <c r="AB327" s="33">
        <f>IF(Y327=1,IF(AND(ISNUMBER(P327),ISNUMBER(R327)),R327*5/12-O327*(P327-R327),""),"")</f>
        <v/>
      </c>
      <c r="AC327" s="30">
        <f>IF(Y327=1,COUNTIFS($X$5:$X$404,X327,$V$5:$V$404,V327,$Y$5:$Y$404,1),"")</f>
        <v/>
      </c>
      <c r="AD327" s="30">
        <f>IF(Y327=1,IFERROR(IF(AC327&gt;='參數'!$B$9,INDEX('分群統計'!$G$13:$K$16,MATCH(X327,'分群統計'!$A$13:$A$16,0),MATCH(V327,'分群統計'!$G$12:$K$12,0)),INDEX('分群統計'!$I$5:$I$8,MATCH(X327,'分群統計'!$A$5:$A$8,0))),""),"")</f>
        <v/>
      </c>
      <c r="AE327" s="18">
        <f>IF(Y327=1,IFERROR(IF(AC327&gt;='參數'!$B$9,INDEX('分群統計'!$L$13:$P$16,MATCH(X327,'分群統計'!$A$13:$A$16,0),MATCH(V327,'分群統計'!$L$12:$P$12,0)),INDEX('分群統計'!$J$5:$J$8,MATCH(X327,'分群統計'!$A$5:$A$8,0))),""),"")</f>
        <v/>
      </c>
      <c r="AF327" s="31">
        <f>IF(ISNUMBER(AE327),IF(AE327&gt;0,MAX(-3,MIN(3,(N327-AD327)/AE327)),0),"")</f>
        <v/>
      </c>
      <c r="AG327" s="30">
        <f>IF(Y327=1,COUNTIFS($B$5:$B$404,B327,$Y$5:$Y$404,1),"")</f>
        <v/>
      </c>
      <c r="AH327" s="30">
        <f>IF(Y327=1,IFERROR(IF(ISNUMBER(INDEX('分群統計'!$G$20:$G$59,MATCH(B327,'分群統計'!$A$20:$A$59,0))),INDEX('分群統計'!$H$20:$H$59,MATCH(B327,'分群統計'!$A$20:$A$59,0))+INDEX('分群統計'!$G$20:$G$59,MATCH(B327,'分群統計'!$A$20:$A$59,0))*AU327,""),""),"")</f>
        <v/>
      </c>
      <c r="AI327" s="34">
        <f>IF(ISNUMBER(AH327),N327-AH327,"")</f>
        <v/>
      </c>
      <c r="AJ327" s="30">
        <f>IF(Y327=1,IFERROR(IF(ISNUMBER(INDEX('分群統計'!$G$5:$G$8,MATCH(X327,'分群統計'!$A$5:$A$8,0))),INDEX('分群統計'!$H$5:$H$8,MATCH(X327,'分群統計'!$A$5:$A$8,0))+INDEX('分群統計'!$G$5:$G$8,MATCH(X327,'分群統計'!$A$5:$A$8,0))*AU327,""),""),"")</f>
        <v/>
      </c>
      <c r="AK327" s="34">
        <f>IF(ISNUMBER(AJ327),N327-AJ327,"")</f>
        <v/>
      </c>
      <c r="AL327" s="21">
        <f>IF(ISNUMBER(AJ327),IF(AJ327&gt;0,AK327/AJ327,""),"")</f>
        <v/>
      </c>
      <c r="AM327" s="31">
        <f>IF(AY327&lt;&gt;1,"",IFERROR(IF(INDEX('分群統計'!$K$5:$K$8,MATCH(X327,'分群統計'!$A$5:$A$8,0))&lt;3,"",IF(INDEX('分群統計'!$M$5:$M$8,MATCH(X327,'分群統計'!$A$5:$A$8,0))&gt;0,MAX(-3,MIN(3,(AX327-INDEX('分群統計'!$L$5:$L$8,MATCH(X327,'分群統計'!$A$5:$A$8,0)))/INDEX('分群統計'!$M$5:$M$8,MATCH(X327,'分群統計'!$A$5:$A$8,0)))),0)),""))</f>
        <v/>
      </c>
      <c r="AN327" s="31">
        <f>IF(ISNUMBER(AB327),IF(Z327&gt;0,AB327/Z327*100,""),"")</f>
        <v/>
      </c>
      <c r="AO327" s="31">
        <f>IF(BA327&lt;&gt;1,"",IFERROR(IF(INDEX('分群統計'!$N$5:$N$8,MATCH(X327,'分群統計'!$A$5:$A$8,0))&lt;3,"",IF(INDEX('分群統計'!$P$5:$P$8,MATCH(X327,'分群統計'!$A$5:$A$8,0))&gt;0,MAX(-3,MIN(3,(AZ327-INDEX('分群統計'!$O$5:$O$8,MATCH(X327,'分群統計'!$A$5:$A$8,0)))/INDEX('分群統計'!$P$5:$P$8,MATCH(X327,'分群統計'!$A$5:$A$8,0)))),0)),""))</f>
        <v/>
      </c>
      <c r="AP327" s="31">
        <f>IF(BC327&lt;&gt;1,"",IFERROR(IF(INDEX('分群統計'!$Q$5:$Q$8,MATCH(X327,'分群統計'!$A$5:$A$8,0))&lt;3,"",IF(INDEX('分群統計'!$S$5:$S$8,MATCH(X327,'分群統計'!$A$5:$A$8,0))&gt;0,MAX(-3,MIN(3,(BB327-INDEX('分群統計'!$R$5:$R$8,MATCH(X327,'分群統計'!$A$5:$A$8,0)))/INDEX('分群統計'!$S$5:$S$8,MATCH(X327,'分群統計'!$A$5:$A$8,0)))),0)),""))</f>
        <v/>
      </c>
      <c r="AQ327" s="31">
        <f>IF(Y327=1,(IF(ISNUMBER(AF327),AF327,0)*'參數'!$B$13+IF(ISNUMBER(AM327),AM327,0)*'參數'!$B$14+IF(ISNUMBER(AO327),AO327,0)*'參數'!$B$15+IF(ISNUMBER(AP327),AP327,0)*'參數'!$B$16)/('參數'!$B$13+'參數'!$B$14+'參數'!$B$15+'參數'!$B$16),"")</f>
        <v/>
      </c>
      <c r="AR327" s="35">
        <f>IF(Y327=1,(SUMPRODUCT(($X$5:$X$404=X327)*($Y$5:$Y$404=1)*($BD$5:$BD$404&gt;BD327))+1)/COUNTIFS($X$5:$X$404,X327,$Y$5:$Y$404,1),"")</f>
        <v/>
      </c>
      <c r="AS327" s="8">
        <f>IF(ISNUMBER(AR327),IF(AR327&lt;='參數'!$B$18,"加碼候選",IF(AR327&gt;'參數'!$B$19,"減碼候選","")),"")</f>
        <v/>
      </c>
      <c r="AT327" s="7">
        <f>IF(Y327=1,N327,0)</f>
        <v/>
      </c>
      <c r="AU327" s="7">
        <f>IF(Y327=1,LN(O327),0)</f>
        <v/>
      </c>
      <c r="AV327" s="36">
        <f>IF(Y327=1,IF(ISNUMBER(F327),F327,0),0)</f>
        <v/>
      </c>
      <c r="AW327" s="7">
        <f>IF(Y327=1,Z327,0)</f>
        <v/>
      </c>
      <c r="AX327" s="7">
        <f>IF(Y327=1,IF(ISNUMBER(AL327),AL327,0),0)</f>
        <v/>
      </c>
      <c r="AY327" s="7">
        <f>IF(Y327=1,IF(ISNUMBER(AL327),1,0),0)</f>
        <v/>
      </c>
      <c r="AZ327" s="7">
        <f>IF(Y327=1,IF(ISNUMBER(AN327),AN327,0),0)</f>
        <v/>
      </c>
      <c r="BA327" s="7">
        <f>IF(Y327=1,IF(ISNUMBER(AN327),1,0),0)</f>
        <v/>
      </c>
      <c r="BB327" s="7">
        <f>IF(Y327=1,IF(ISNUMBER(T327),T327,0),0)</f>
        <v/>
      </c>
      <c r="BC327" s="7">
        <f>IF(Y327=1,IF(ISNUMBER(T327),1,0),0)</f>
        <v/>
      </c>
      <c r="BD327" s="7">
        <f>IF(Y327=1,AQ327+ROW()/1E9,-1E9)</f>
        <v/>
      </c>
      <c r="BE327" s="7">
        <f>IF(Y327=1,AQ327+ROW()/1E9,1E9)</f>
        <v/>
      </c>
    </row>
    <row r="328">
      <c r="A328" s="16" t="n"/>
      <c r="B328" s="8">
        <f>IF($A328="","",BDP($A328,B$3))</f>
        <v/>
      </c>
      <c r="C328" s="8">
        <f>IF($A328="","",BDP($A328,C$3))</f>
        <v/>
      </c>
      <c r="D328" s="28">
        <f>IF($A328="","",BDP($A328,D$3))</f>
        <v/>
      </c>
      <c r="E328" s="29">
        <f>IF($A328="","",BDP($A328,E$3))</f>
        <v/>
      </c>
      <c r="F328" s="17">
        <f>IF($A328="","",BDP($A328,F$3))</f>
        <v/>
      </c>
      <c r="G328" s="8">
        <f>IF($A328="","",BDP($A328,G$3))</f>
        <v/>
      </c>
      <c r="H328" s="8">
        <f>IF($A328="","",BDP($A328,H$3))</f>
        <v/>
      </c>
      <c r="I328" s="8">
        <f>IF($A328="","",BDP($A328,I$3))</f>
        <v/>
      </c>
      <c r="J328" s="8">
        <f>IF($A328="","",BDP($A328,J$3))</f>
        <v/>
      </c>
      <c r="K328" s="8">
        <f>IF($A328="","",BDP($A328,K$3))</f>
        <v/>
      </c>
      <c r="L328" s="28">
        <f>IF($A328="","",BDP($A328,L$3))</f>
        <v/>
      </c>
      <c r="M328" s="28">
        <f>IF($A328="","",BDP($A328,M$3))</f>
        <v/>
      </c>
      <c r="N328" s="30">
        <f>IF($A328="","",BDP($A328,N$3))</f>
        <v/>
      </c>
      <c r="O328" s="31">
        <f>IF($A328="","",BDP($A328,O$3))</f>
        <v/>
      </c>
      <c r="P328" s="30">
        <f>IF($A328="","",BDH($A328,$N$3,'參數'!$B$5,'參數'!$B$5,"Days=A","Fill=P","Dates=H"))</f>
        <v/>
      </c>
      <c r="Q328" s="30">
        <f>IF($A328="","",BDH($A328,$N$3,'參數'!$B$6,'參數'!$B$6,"Days=A","Fill=P","Dates=H"))</f>
        <v/>
      </c>
      <c r="R328" s="30">
        <f>IF($A328="","",BDH($A328,$N$3,'參數'!$B$7,'參數'!$B$7,"Days=A","Fill=P","Dates=H"))</f>
        <v/>
      </c>
      <c r="S328" s="32">
        <f>IF($A328="","",IFERROR(INDEX('發行人'!$A$5:$A$44,MATCH(B328,'發行人'!$D$5:$D$44,0)),"未對應"))</f>
        <v/>
      </c>
      <c r="T328" s="24">
        <f>IF($A328="","",IFERROR(INDEX('發行人'!$G$5:$G$44,MATCH(B328,'發行人'!$D$5:$D$44,0))+0,""))</f>
        <v/>
      </c>
      <c r="U328" s="18">
        <f>IF(ISNUMBER(E328),YEARFRAC('參數'!$B$4,E328),"")</f>
        <v/>
      </c>
      <c r="V328" s="8">
        <f>IF(U328="","",IF(U328&lt;3,"1-3y",IF(U328&lt;5,"3-5y",IF(U328&lt;7,"5-7y",IF(U328&lt;10,"7-10y","10y+")))))</f>
        <v/>
      </c>
      <c r="W328" s="30">
        <f>IF($A328="","",IFERROR(INDEX('參數'!$B$24:$B$45,MATCH(G328,'參數'!$A$24:$A$45,0)),""))</f>
        <v/>
      </c>
      <c r="X328" s="8">
        <f>IF($A328="","",IFERROR(INDEX('參數'!$C$24:$C$45,MATCH(G328,'參數'!$A$24:$A$45,0)),""))</f>
        <v/>
      </c>
      <c r="Y328" s="30">
        <f>IF(AND(ISNUMBER(N328),ISNUMBER(O328),ISNUMBER(U328)),IF(AND(O328&gt;0,X328&lt;&gt;""),1,0),0)</f>
        <v/>
      </c>
      <c r="Z328" s="17">
        <f>IF(Y328=1,O328*N328,"")</f>
        <v/>
      </c>
      <c r="AA328" s="33">
        <f>IF(Y328=1,IF(ISNUMBER(Q328),N328-Q328,""),"")</f>
        <v/>
      </c>
      <c r="AB328" s="33">
        <f>IF(Y328=1,IF(AND(ISNUMBER(P328),ISNUMBER(R328)),R328*5/12-O328*(P328-R328),""),"")</f>
        <v/>
      </c>
      <c r="AC328" s="30">
        <f>IF(Y328=1,COUNTIFS($X$5:$X$404,X328,$V$5:$V$404,V328,$Y$5:$Y$404,1),"")</f>
        <v/>
      </c>
      <c r="AD328" s="30">
        <f>IF(Y328=1,IFERROR(IF(AC328&gt;='參數'!$B$9,INDEX('分群統計'!$G$13:$K$16,MATCH(X328,'分群統計'!$A$13:$A$16,0),MATCH(V328,'分群統計'!$G$12:$K$12,0)),INDEX('分群統計'!$I$5:$I$8,MATCH(X328,'分群統計'!$A$5:$A$8,0))),""),"")</f>
        <v/>
      </c>
      <c r="AE328" s="18">
        <f>IF(Y328=1,IFERROR(IF(AC328&gt;='參數'!$B$9,INDEX('分群統計'!$L$13:$P$16,MATCH(X328,'分群統計'!$A$13:$A$16,0),MATCH(V328,'分群統計'!$L$12:$P$12,0)),INDEX('分群統計'!$J$5:$J$8,MATCH(X328,'分群統計'!$A$5:$A$8,0))),""),"")</f>
        <v/>
      </c>
      <c r="AF328" s="31">
        <f>IF(ISNUMBER(AE328),IF(AE328&gt;0,MAX(-3,MIN(3,(N328-AD328)/AE328)),0),"")</f>
        <v/>
      </c>
      <c r="AG328" s="30">
        <f>IF(Y328=1,COUNTIFS($B$5:$B$404,B328,$Y$5:$Y$404,1),"")</f>
        <v/>
      </c>
      <c r="AH328" s="30">
        <f>IF(Y328=1,IFERROR(IF(ISNUMBER(INDEX('分群統計'!$G$20:$G$59,MATCH(B328,'分群統計'!$A$20:$A$59,0))),INDEX('分群統計'!$H$20:$H$59,MATCH(B328,'分群統計'!$A$20:$A$59,0))+INDEX('分群統計'!$G$20:$G$59,MATCH(B328,'分群統計'!$A$20:$A$59,0))*AU328,""),""),"")</f>
        <v/>
      </c>
      <c r="AI328" s="34">
        <f>IF(ISNUMBER(AH328),N328-AH328,"")</f>
        <v/>
      </c>
      <c r="AJ328" s="30">
        <f>IF(Y328=1,IFERROR(IF(ISNUMBER(INDEX('分群統計'!$G$5:$G$8,MATCH(X328,'分群統計'!$A$5:$A$8,0))),INDEX('分群統計'!$H$5:$H$8,MATCH(X328,'分群統計'!$A$5:$A$8,0))+INDEX('分群統計'!$G$5:$G$8,MATCH(X328,'分群統計'!$A$5:$A$8,0))*AU328,""),""),"")</f>
        <v/>
      </c>
      <c r="AK328" s="34">
        <f>IF(ISNUMBER(AJ328),N328-AJ328,"")</f>
        <v/>
      </c>
      <c r="AL328" s="21">
        <f>IF(ISNUMBER(AJ328),IF(AJ328&gt;0,AK328/AJ328,""),"")</f>
        <v/>
      </c>
      <c r="AM328" s="31">
        <f>IF(AY328&lt;&gt;1,"",IFERROR(IF(INDEX('分群統計'!$K$5:$K$8,MATCH(X328,'分群統計'!$A$5:$A$8,0))&lt;3,"",IF(INDEX('分群統計'!$M$5:$M$8,MATCH(X328,'分群統計'!$A$5:$A$8,0))&gt;0,MAX(-3,MIN(3,(AX328-INDEX('分群統計'!$L$5:$L$8,MATCH(X328,'分群統計'!$A$5:$A$8,0)))/INDEX('分群統計'!$M$5:$M$8,MATCH(X328,'分群統計'!$A$5:$A$8,0)))),0)),""))</f>
        <v/>
      </c>
      <c r="AN328" s="31">
        <f>IF(ISNUMBER(AB328),IF(Z328&gt;0,AB328/Z328*100,""),"")</f>
        <v/>
      </c>
      <c r="AO328" s="31">
        <f>IF(BA328&lt;&gt;1,"",IFERROR(IF(INDEX('分群統計'!$N$5:$N$8,MATCH(X328,'分群統計'!$A$5:$A$8,0))&lt;3,"",IF(INDEX('分群統計'!$P$5:$P$8,MATCH(X328,'分群統計'!$A$5:$A$8,0))&gt;0,MAX(-3,MIN(3,(AZ328-INDEX('分群統計'!$O$5:$O$8,MATCH(X328,'分群統計'!$A$5:$A$8,0)))/INDEX('分群統計'!$P$5:$P$8,MATCH(X328,'分群統計'!$A$5:$A$8,0)))),0)),""))</f>
        <v/>
      </c>
      <c r="AP328" s="31">
        <f>IF(BC328&lt;&gt;1,"",IFERROR(IF(INDEX('分群統計'!$Q$5:$Q$8,MATCH(X328,'分群統計'!$A$5:$A$8,0))&lt;3,"",IF(INDEX('分群統計'!$S$5:$S$8,MATCH(X328,'分群統計'!$A$5:$A$8,0))&gt;0,MAX(-3,MIN(3,(BB328-INDEX('分群統計'!$R$5:$R$8,MATCH(X328,'分群統計'!$A$5:$A$8,0)))/INDEX('分群統計'!$S$5:$S$8,MATCH(X328,'分群統計'!$A$5:$A$8,0)))),0)),""))</f>
        <v/>
      </c>
      <c r="AQ328" s="31">
        <f>IF(Y328=1,(IF(ISNUMBER(AF328),AF328,0)*'參數'!$B$13+IF(ISNUMBER(AM328),AM328,0)*'參數'!$B$14+IF(ISNUMBER(AO328),AO328,0)*'參數'!$B$15+IF(ISNUMBER(AP328),AP328,0)*'參數'!$B$16)/('參數'!$B$13+'參數'!$B$14+'參數'!$B$15+'參數'!$B$16),"")</f>
        <v/>
      </c>
      <c r="AR328" s="35">
        <f>IF(Y328=1,(SUMPRODUCT(($X$5:$X$404=X328)*($Y$5:$Y$404=1)*($BD$5:$BD$404&gt;BD328))+1)/COUNTIFS($X$5:$X$404,X328,$Y$5:$Y$404,1),"")</f>
        <v/>
      </c>
      <c r="AS328" s="8">
        <f>IF(ISNUMBER(AR328),IF(AR328&lt;='參數'!$B$18,"加碼候選",IF(AR328&gt;'參數'!$B$19,"減碼候選","")),"")</f>
        <v/>
      </c>
      <c r="AT328" s="7">
        <f>IF(Y328=1,N328,0)</f>
        <v/>
      </c>
      <c r="AU328" s="7">
        <f>IF(Y328=1,LN(O328),0)</f>
        <v/>
      </c>
      <c r="AV328" s="36">
        <f>IF(Y328=1,IF(ISNUMBER(F328),F328,0),0)</f>
        <v/>
      </c>
      <c r="AW328" s="7">
        <f>IF(Y328=1,Z328,0)</f>
        <v/>
      </c>
      <c r="AX328" s="7">
        <f>IF(Y328=1,IF(ISNUMBER(AL328),AL328,0),0)</f>
        <v/>
      </c>
      <c r="AY328" s="7">
        <f>IF(Y328=1,IF(ISNUMBER(AL328),1,0),0)</f>
        <v/>
      </c>
      <c r="AZ328" s="7">
        <f>IF(Y328=1,IF(ISNUMBER(AN328),AN328,0),0)</f>
        <v/>
      </c>
      <c r="BA328" s="7">
        <f>IF(Y328=1,IF(ISNUMBER(AN328),1,0),0)</f>
        <v/>
      </c>
      <c r="BB328" s="7">
        <f>IF(Y328=1,IF(ISNUMBER(T328),T328,0),0)</f>
        <v/>
      </c>
      <c r="BC328" s="7">
        <f>IF(Y328=1,IF(ISNUMBER(T328),1,0),0)</f>
        <v/>
      </c>
      <c r="BD328" s="7">
        <f>IF(Y328=1,AQ328+ROW()/1E9,-1E9)</f>
        <v/>
      </c>
      <c r="BE328" s="7">
        <f>IF(Y328=1,AQ328+ROW()/1E9,1E9)</f>
        <v/>
      </c>
    </row>
    <row r="329">
      <c r="A329" s="16" t="n"/>
      <c r="B329" s="8">
        <f>IF($A329="","",BDP($A329,B$3))</f>
        <v/>
      </c>
      <c r="C329" s="8">
        <f>IF($A329="","",BDP($A329,C$3))</f>
        <v/>
      </c>
      <c r="D329" s="28">
        <f>IF($A329="","",BDP($A329,D$3))</f>
        <v/>
      </c>
      <c r="E329" s="29">
        <f>IF($A329="","",BDP($A329,E$3))</f>
        <v/>
      </c>
      <c r="F329" s="17">
        <f>IF($A329="","",BDP($A329,F$3))</f>
        <v/>
      </c>
      <c r="G329" s="8">
        <f>IF($A329="","",BDP($A329,G$3))</f>
        <v/>
      </c>
      <c r="H329" s="8">
        <f>IF($A329="","",BDP($A329,H$3))</f>
        <v/>
      </c>
      <c r="I329" s="8">
        <f>IF($A329="","",BDP($A329,I$3))</f>
        <v/>
      </c>
      <c r="J329" s="8">
        <f>IF($A329="","",BDP($A329,J$3))</f>
        <v/>
      </c>
      <c r="K329" s="8">
        <f>IF($A329="","",BDP($A329,K$3))</f>
        <v/>
      </c>
      <c r="L329" s="28">
        <f>IF($A329="","",BDP($A329,L$3))</f>
        <v/>
      </c>
      <c r="M329" s="28">
        <f>IF($A329="","",BDP($A329,M$3))</f>
        <v/>
      </c>
      <c r="N329" s="30">
        <f>IF($A329="","",BDP($A329,N$3))</f>
        <v/>
      </c>
      <c r="O329" s="31">
        <f>IF($A329="","",BDP($A329,O$3))</f>
        <v/>
      </c>
      <c r="P329" s="30">
        <f>IF($A329="","",BDH($A329,$N$3,'參數'!$B$5,'參數'!$B$5,"Days=A","Fill=P","Dates=H"))</f>
        <v/>
      </c>
      <c r="Q329" s="30">
        <f>IF($A329="","",BDH($A329,$N$3,'參數'!$B$6,'參數'!$B$6,"Days=A","Fill=P","Dates=H"))</f>
        <v/>
      </c>
      <c r="R329" s="30">
        <f>IF($A329="","",BDH($A329,$N$3,'參數'!$B$7,'參數'!$B$7,"Days=A","Fill=P","Dates=H"))</f>
        <v/>
      </c>
      <c r="S329" s="32">
        <f>IF($A329="","",IFERROR(INDEX('發行人'!$A$5:$A$44,MATCH(B329,'發行人'!$D$5:$D$44,0)),"未對應"))</f>
        <v/>
      </c>
      <c r="T329" s="24">
        <f>IF($A329="","",IFERROR(INDEX('發行人'!$G$5:$G$44,MATCH(B329,'發行人'!$D$5:$D$44,0))+0,""))</f>
        <v/>
      </c>
      <c r="U329" s="18">
        <f>IF(ISNUMBER(E329),YEARFRAC('參數'!$B$4,E329),"")</f>
        <v/>
      </c>
      <c r="V329" s="8">
        <f>IF(U329="","",IF(U329&lt;3,"1-3y",IF(U329&lt;5,"3-5y",IF(U329&lt;7,"5-7y",IF(U329&lt;10,"7-10y","10y+")))))</f>
        <v/>
      </c>
      <c r="W329" s="30">
        <f>IF($A329="","",IFERROR(INDEX('參數'!$B$24:$B$45,MATCH(G329,'參數'!$A$24:$A$45,0)),""))</f>
        <v/>
      </c>
      <c r="X329" s="8">
        <f>IF($A329="","",IFERROR(INDEX('參數'!$C$24:$C$45,MATCH(G329,'參數'!$A$24:$A$45,0)),""))</f>
        <v/>
      </c>
      <c r="Y329" s="30">
        <f>IF(AND(ISNUMBER(N329),ISNUMBER(O329),ISNUMBER(U329)),IF(AND(O329&gt;0,X329&lt;&gt;""),1,0),0)</f>
        <v/>
      </c>
      <c r="Z329" s="17">
        <f>IF(Y329=1,O329*N329,"")</f>
        <v/>
      </c>
      <c r="AA329" s="33">
        <f>IF(Y329=1,IF(ISNUMBER(Q329),N329-Q329,""),"")</f>
        <v/>
      </c>
      <c r="AB329" s="33">
        <f>IF(Y329=1,IF(AND(ISNUMBER(P329),ISNUMBER(R329)),R329*5/12-O329*(P329-R329),""),"")</f>
        <v/>
      </c>
      <c r="AC329" s="30">
        <f>IF(Y329=1,COUNTIFS($X$5:$X$404,X329,$V$5:$V$404,V329,$Y$5:$Y$404,1),"")</f>
        <v/>
      </c>
      <c r="AD329" s="30">
        <f>IF(Y329=1,IFERROR(IF(AC329&gt;='參數'!$B$9,INDEX('分群統計'!$G$13:$K$16,MATCH(X329,'分群統計'!$A$13:$A$16,0),MATCH(V329,'分群統計'!$G$12:$K$12,0)),INDEX('分群統計'!$I$5:$I$8,MATCH(X329,'分群統計'!$A$5:$A$8,0))),""),"")</f>
        <v/>
      </c>
      <c r="AE329" s="18">
        <f>IF(Y329=1,IFERROR(IF(AC329&gt;='參數'!$B$9,INDEX('分群統計'!$L$13:$P$16,MATCH(X329,'分群統計'!$A$13:$A$16,0),MATCH(V329,'分群統計'!$L$12:$P$12,0)),INDEX('分群統計'!$J$5:$J$8,MATCH(X329,'分群統計'!$A$5:$A$8,0))),""),"")</f>
        <v/>
      </c>
      <c r="AF329" s="31">
        <f>IF(ISNUMBER(AE329),IF(AE329&gt;0,MAX(-3,MIN(3,(N329-AD329)/AE329)),0),"")</f>
        <v/>
      </c>
      <c r="AG329" s="30">
        <f>IF(Y329=1,COUNTIFS($B$5:$B$404,B329,$Y$5:$Y$404,1),"")</f>
        <v/>
      </c>
      <c r="AH329" s="30">
        <f>IF(Y329=1,IFERROR(IF(ISNUMBER(INDEX('分群統計'!$G$20:$G$59,MATCH(B329,'分群統計'!$A$20:$A$59,0))),INDEX('分群統計'!$H$20:$H$59,MATCH(B329,'分群統計'!$A$20:$A$59,0))+INDEX('分群統計'!$G$20:$G$59,MATCH(B329,'分群統計'!$A$20:$A$59,0))*AU329,""),""),"")</f>
        <v/>
      </c>
      <c r="AI329" s="34">
        <f>IF(ISNUMBER(AH329),N329-AH329,"")</f>
        <v/>
      </c>
      <c r="AJ329" s="30">
        <f>IF(Y329=1,IFERROR(IF(ISNUMBER(INDEX('分群統計'!$G$5:$G$8,MATCH(X329,'分群統計'!$A$5:$A$8,0))),INDEX('分群統計'!$H$5:$H$8,MATCH(X329,'分群統計'!$A$5:$A$8,0))+INDEX('分群統計'!$G$5:$G$8,MATCH(X329,'分群統計'!$A$5:$A$8,0))*AU329,""),""),"")</f>
        <v/>
      </c>
      <c r="AK329" s="34">
        <f>IF(ISNUMBER(AJ329),N329-AJ329,"")</f>
        <v/>
      </c>
      <c r="AL329" s="21">
        <f>IF(ISNUMBER(AJ329),IF(AJ329&gt;0,AK329/AJ329,""),"")</f>
        <v/>
      </c>
      <c r="AM329" s="31">
        <f>IF(AY329&lt;&gt;1,"",IFERROR(IF(INDEX('分群統計'!$K$5:$K$8,MATCH(X329,'分群統計'!$A$5:$A$8,0))&lt;3,"",IF(INDEX('分群統計'!$M$5:$M$8,MATCH(X329,'分群統計'!$A$5:$A$8,0))&gt;0,MAX(-3,MIN(3,(AX329-INDEX('分群統計'!$L$5:$L$8,MATCH(X329,'分群統計'!$A$5:$A$8,0)))/INDEX('分群統計'!$M$5:$M$8,MATCH(X329,'分群統計'!$A$5:$A$8,0)))),0)),""))</f>
        <v/>
      </c>
      <c r="AN329" s="31">
        <f>IF(ISNUMBER(AB329),IF(Z329&gt;0,AB329/Z329*100,""),"")</f>
        <v/>
      </c>
      <c r="AO329" s="31">
        <f>IF(BA329&lt;&gt;1,"",IFERROR(IF(INDEX('分群統計'!$N$5:$N$8,MATCH(X329,'分群統計'!$A$5:$A$8,0))&lt;3,"",IF(INDEX('分群統計'!$P$5:$P$8,MATCH(X329,'分群統計'!$A$5:$A$8,0))&gt;0,MAX(-3,MIN(3,(AZ329-INDEX('分群統計'!$O$5:$O$8,MATCH(X329,'分群統計'!$A$5:$A$8,0)))/INDEX('分群統計'!$P$5:$P$8,MATCH(X329,'分群統計'!$A$5:$A$8,0)))),0)),""))</f>
        <v/>
      </c>
      <c r="AP329" s="31">
        <f>IF(BC329&lt;&gt;1,"",IFERROR(IF(INDEX('分群統計'!$Q$5:$Q$8,MATCH(X329,'分群統計'!$A$5:$A$8,0))&lt;3,"",IF(INDEX('分群統計'!$S$5:$S$8,MATCH(X329,'分群統計'!$A$5:$A$8,0))&gt;0,MAX(-3,MIN(3,(BB329-INDEX('分群統計'!$R$5:$R$8,MATCH(X329,'分群統計'!$A$5:$A$8,0)))/INDEX('分群統計'!$S$5:$S$8,MATCH(X329,'分群統計'!$A$5:$A$8,0)))),0)),""))</f>
        <v/>
      </c>
      <c r="AQ329" s="31">
        <f>IF(Y329=1,(IF(ISNUMBER(AF329),AF329,0)*'參數'!$B$13+IF(ISNUMBER(AM329),AM329,0)*'參數'!$B$14+IF(ISNUMBER(AO329),AO329,0)*'參數'!$B$15+IF(ISNUMBER(AP329),AP329,0)*'參數'!$B$16)/('參數'!$B$13+'參數'!$B$14+'參數'!$B$15+'參數'!$B$16),"")</f>
        <v/>
      </c>
      <c r="AR329" s="35">
        <f>IF(Y329=1,(SUMPRODUCT(($X$5:$X$404=X329)*($Y$5:$Y$404=1)*($BD$5:$BD$404&gt;BD329))+1)/COUNTIFS($X$5:$X$404,X329,$Y$5:$Y$404,1),"")</f>
        <v/>
      </c>
      <c r="AS329" s="8">
        <f>IF(ISNUMBER(AR329),IF(AR329&lt;='參數'!$B$18,"加碼候選",IF(AR329&gt;'參數'!$B$19,"減碼候選","")),"")</f>
        <v/>
      </c>
      <c r="AT329" s="7">
        <f>IF(Y329=1,N329,0)</f>
        <v/>
      </c>
      <c r="AU329" s="7">
        <f>IF(Y329=1,LN(O329),0)</f>
        <v/>
      </c>
      <c r="AV329" s="36">
        <f>IF(Y329=1,IF(ISNUMBER(F329),F329,0),0)</f>
        <v/>
      </c>
      <c r="AW329" s="7">
        <f>IF(Y329=1,Z329,0)</f>
        <v/>
      </c>
      <c r="AX329" s="7">
        <f>IF(Y329=1,IF(ISNUMBER(AL329),AL329,0),0)</f>
        <v/>
      </c>
      <c r="AY329" s="7">
        <f>IF(Y329=1,IF(ISNUMBER(AL329),1,0),0)</f>
        <v/>
      </c>
      <c r="AZ329" s="7">
        <f>IF(Y329=1,IF(ISNUMBER(AN329),AN329,0),0)</f>
        <v/>
      </c>
      <c r="BA329" s="7">
        <f>IF(Y329=1,IF(ISNUMBER(AN329),1,0),0)</f>
        <v/>
      </c>
      <c r="BB329" s="7">
        <f>IF(Y329=1,IF(ISNUMBER(T329),T329,0),0)</f>
        <v/>
      </c>
      <c r="BC329" s="7">
        <f>IF(Y329=1,IF(ISNUMBER(T329),1,0),0)</f>
        <v/>
      </c>
      <c r="BD329" s="7">
        <f>IF(Y329=1,AQ329+ROW()/1E9,-1E9)</f>
        <v/>
      </c>
      <c r="BE329" s="7">
        <f>IF(Y329=1,AQ329+ROW()/1E9,1E9)</f>
        <v/>
      </c>
    </row>
    <row r="330">
      <c r="A330" s="16" t="n"/>
      <c r="B330" s="8">
        <f>IF($A330="","",BDP($A330,B$3))</f>
        <v/>
      </c>
      <c r="C330" s="8">
        <f>IF($A330="","",BDP($A330,C$3))</f>
        <v/>
      </c>
      <c r="D330" s="28">
        <f>IF($A330="","",BDP($A330,D$3))</f>
        <v/>
      </c>
      <c r="E330" s="29">
        <f>IF($A330="","",BDP($A330,E$3))</f>
        <v/>
      </c>
      <c r="F330" s="17">
        <f>IF($A330="","",BDP($A330,F$3))</f>
        <v/>
      </c>
      <c r="G330" s="8">
        <f>IF($A330="","",BDP($A330,G$3))</f>
        <v/>
      </c>
      <c r="H330" s="8">
        <f>IF($A330="","",BDP($A330,H$3))</f>
        <v/>
      </c>
      <c r="I330" s="8">
        <f>IF($A330="","",BDP($A330,I$3))</f>
        <v/>
      </c>
      <c r="J330" s="8">
        <f>IF($A330="","",BDP($A330,J$3))</f>
        <v/>
      </c>
      <c r="K330" s="8">
        <f>IF($A330="","",BDP($A330,K$3))</f>
        <v/>
      </c>
      <c r="L330" s="28">
        <f>IF($A330="","",BDP($A330,L$3))</f>
        <v/>
      </c>
      <c r="M330" s="28">
        <f>IF($A330="","",BDP($A330,M$3))</f>
        <v/>
      </c>
      <c r="N330" s="30">
        <f>IF($A330="","",BDP($A330,N$3))</f>
        <v/>
      </c>
      <c r="O330" s="31">
        <f>IF($A330="","",BDP($A330,O$3))</f>
        <v/>
      </c>
      <c r="P330" s="30">
        <f>IF($A330="","",BDH($A330,$N$3,'參數'!$B$5,'參數'!$B$5,"Days=A","Fill=P","Dates=H"))</f>
        <v/>
      </c>
      <c r="Q330" s="30">
        <f>IF($A330="","",BDH($A330,$N$3,'參數'!$B$6,'參數'!$B$6,"Days=A","Fill=P","Dates=H"))</f>
        <v/>
      </c>
      <c r="R330" s="30">
        <f>IF($A330="","",BDH($A330,$N$3,'參數'!$B$7,'參數'!$B$7,"Days=A","Fill=P","Dates=H"))</f>
        <v/>
      </c>
      <c r="S330" s="32">
        <f>IF($A330="","",IFERROR(INDEX('發行人'!$A$5:$A$44,MATCH(B330,'發行人'!$D$5:$D$44,0)),"未對應"))</f>
        <v/>
      </c>
      <c r="T330" s="24">
        <f>IF($A330="","",IFERROR(INDEX('發行人'!$G$5:$G$44,MATCH(B330,'發行人'!$D$5:$D$44,0))+0,""))</f>
        <v/>
      </c>
      <c r="U330" s="18">
        <f>IF(ISNUMBER(E330),YEARFRAC('參數'!$B$4,E330),"")</f>
        <v/>
      </c>
      <c r="V330" s="8">
        <f>IF(U330="","",IF(U330&lt;3,"1-3y",IF(U330&lt;5,"3-5y",IF(U330&lt;7,"5-7y",IF(U330&lt;10,"7-10y","10y+")))))</f>
        <v/>
      </c>
      <c r="W330" s="30">
        <f>IF($A330="","",IFERROR(INDEX('參數'!$B$24:$B$45,MATCH(G330,'參數'!$A$24:$A$45,0)),""))</f>
        <v/>
      </c>
      <c r="X330" s="8">
        <f>IF($A330="","",IFERROR(INDEX('參數'!$C$24:$C$45,MATCH(G330,'參數'!$A$24:$A$45,0)),""))</f>
        <v/>
      </c>
      <c r="Y330" s="30">
        <f>IF(AND(ISNUMBER(N330),ISNUMBER(O330),ISNUMBER(U330)),IF(AND(O330&gt;0,X330&lt;&gt;""),1,0),0)</f>
        <v/>
      </c>
      <c r="Z330" s="17">
        <f>IF(Y330=1,O330*N330,"")</f>
        <v/>
      </c>
      <c r="AA330" s="33">
        <f>IF(Y330=1,IF(ISNUMBER(Q330),N330-Q330,""),"")</f>
        <v/>
      </c>
      <c r="AB330" s="33">
        <f>IF(Y330=1,IF(AND(ISNUMBER(P330),ISNUMBER(R330)),R330*5/12-O330*(P330-R330),""),"")</f>
        <v/>
      </c>
      <c r="AC330" s="30">
        <f>IF(Y330=1,COUNTIFS($X$5:$X$404,X330,$V$5:$V$404,V330,$Y$5:$Y$404,1),"")</f>
        <v/>
      </c>
      <c r="AD330" s="30">
        <f>IF(Y330=1,IFERROR(IF(AC330&gt;='參數'!$B$9,INDEX('分群統計'!$G$13:$K$16,MATCH(X330,'分群統計'!$A$13:$A$16,0),MATCH(V330,'分群統計'!$G$12:$K$12,0)),INDEX('分群統計'!$I$5:$I$8,MATCH(X330,'分群統計'!$A$5:$A$8,0))),""),"")</f>
        <v/>
      </c>
      <c r="AE330" s="18">
        <f>IF(Y330=1,IFERROR(IF(AC330&gt;='參數'!$B$9,INDEX('分群統計'!$L$13:$P$16,MATCH(X330,'分群統計'!$A$13:$A$16,0),MATCH(V330,'分群統計'!$L$12:$P$12,0)),INDEX('分群統計'!$J$5:$J$8,MATCH(X330,'分群統計'!$A$5:$A$8,0))),""),"")</f>
        <v/>
      </c>
      <c r="AF330" s="31">
        <f>IF(ISNUMBER(AE330),IF(AE330&gt;0,MAX(-3,MIN(3,(N330-AD330)/AE330)),0),"")</f>
        <v/>
      </c>
      <c r="AG330" s="30">
        <f>IF(Y330=1,COUNTIFS($B$5:$B$404,B330,$Y$5:$Y$404,1),"")</f>
        <v/>
      </c>
      <c r="AH330" s="30">
        <f>IF(Y330=1,IFERROR(IF(ISNUMBER(INDEX('分群統計'!$G$20:$G$59,MATCH(B330,'分群統計'!$A$20:$A$59,0))),INDEX('分群統計'!$H$20:$H$59,MATCH(B330,'分群統計'!$A$20:$A$59,0))+INDEX('分群統計'!$G$20:$G$59,MATCH(B330,'分群統計'!$A$20:$A$59,0))*AU330,""),""),"")</f>
        <v/>
      </c>
      <c r="AI330" s="34">
        <f>IF(ISNUMBER(AH330),N330-AH330,"")</f>
        <v/>
      </c>
      <c r="AJ330" s="30">
        <f>IF(Y330=1,IFERROR(IF(ISNUMBER(INDEX('分群統計'!$G$5:$G$8,MATCH(X330,'分群統計'!$A$5:$A$8,0))),INDEX('分群統計'!$H$5:$H$8,MATCH(X330,'分群統計'!$A$5:$A$8,0))+INDEX('分群統計'!$G$5:$G$8,MATCH(X330,'分群統計'!$A$5:$A$8,0))*AU330,""),""),"")</f>
        <v/>
      </c>
      <c r="AK330" s="34">
        <f>IF(ISNUMBER(AJ330),N330-AJ330,"")</f>
        <v/>
      </c>
      <c r="AL330" s="21">
        <f>IF(ISNUMBER(AJ330),IF(AJ330&gt;0,AK330/AJ330,""),"")</f>
        <v/>
      </c>
      <c r="AM330" s="31">
        <f>IF(AY330&lt;&gt;1,"",IFERROR(IF(INDEX('分群統計'!$K$5:$K$8,MATCH(X330,'分群統計'!$A$5:$A$8,0))&lt;3,"",IF(INDEX('分群統計'!$M$5:$M$8,MATCH(X330,'分群統計'!$A$5:$A$8,0))&gt;0,MAX(-3,MIN(3,(AX330-INDEX('分群統計'!$L$5:$L$8,MATCH(X330,'分群統計'!$A$5:$A$8,0)))/INDEX('分群統計'!$M$5:$M$8,MATCH(X330,'分群統計'!$A$5:$A$8,0)))),0)),""))</f>
        <v/>
      </c>
      <c r="AN330" s="31">
        <f>IF(ISNUMBER(AB330),IF(Z330&gt;0,AB330/Z330*100,""),"")</f>
        <v/>
      </c>
      <c r="AO330" s="31">
        <f>IF(BA330&lt;&gt;1,"",IFERROR(IF(INDEX('分群統計'!$N$5:$N$8,MATCH(X330,'分群統計'!$A$5:$A$8,0))&lt;3,"",IF(INDEX('分群統計'!$P$5:$P$8,MATCH(X330,'分群統計'!$A$5:$A$8,0))&gt;0,MAX(-3,MIN(3,(AZ330-INDEX('分群統計'!$O$5:$O$8,MATCH(X330,'分群統計'!$A$5:$A$8,0)))/INDEX('分群統計'!$P$5:$P$8,MATCH(X330,'分群統計'!$A$5:$A$8,0)))),0)),""))</f>
        <v/>
      </c>
      <c r="AP330" s="31">
        <f>IF(BC330&lt;&gt;1,"",IFERROR(IF(INDEX('分群統計'!$Q$5:$Q$8,MATCH(X330,'分群統計'!$A$5:$A$8,0))&lt;3,"",IF(INDEX('分群統計'!$S$5:$S$8,MATCH(X330,'分群統計'!$A$5:$A$8,0))&gt;0,MAX(-3,MIN(3,(BB330-INDEX('分群統計'!$R$5:$R$8,MATCH(X330,'分群統計'!$A$5:$A$8,0)))/INDEX('分群統計'!$S$5:$S$8,MATCH(X330,'分群統計'!$A$5:$A$8,0)))),0)),""))</f>
        <v/>
      </c>
      <c r="AQ330" s="31">
        <f>IF(Y330=1,(IF(ISNUMBER(AF330),AF330,0)*'參數'!$B$13+IF(ISNUMBER(AM330),AM330,0)*'參數'!$B$14+IF(ISNUMBER(AO330),AO330,0)*'參數'!$B$15+IF(ISNUMBER(AP330),AP330,0)*'參數'!$B$16)/('參數'!$B$13+'參數'!$B$14+'參數'!$B$15+'參數'!$B$16),"")</f>
        <v/>
      </c>
      <c r="AR330" s="35">
        <f>IF(Y330=1,(SUMPRODUCT(($X$5:$X$404=X330)*($Y$5:$Y$404=1)*($BD$5:$BD$404&gt;BD330))+1)/COUNTIFS($X$5:$X$404,X330,$Y$5:$Y$404,1),"")</f>
        <v/>
      </c>
      <c r="AS330" s="8">
        <f>IF(ISNUMBER(AR330),IF(AR330&lt;='參數'!$B$18,"加碼候選",IF(AR330&gt;'參數'!$B$19,"減碼候選","")),"")</f>
        <v/>
      </c>
      <c r="AT330" s="7">
        <f>IF(Y330=1,N330,0)</f>
        <v/>
      </c>
      <c r="AU330" s="7">
        <f>IF(Y330=1,LN(O330),0)</f>
        <v/>
      </c>
      <c r="AV330" s="36">
        <f>IF(Y330=1,IF(ISNUMBER(F330),F330,0),0)</f>
        <v/>
      </c>
      <c r="AW330" s="7">
        <f>IF(Y330=1,Z330,0)</f>
        <v/>
      </c>
      <c r="AX330" s="7">
        <f>IF(Y330=1,IF(ISNUMBER(AL330),AL330,0),0)</f>
        <v/>
      </c>
      <c r="AY330" s="7">
        <f>IF(Y330=1,IF(ISNUMBER(AL330),1,0),0)</f>
        <v/>
      </c>
      <c r="AZ330" s="7">
        <f>IF(Y330=1,IF(ISNUMBER(AN330),AN330,0),0)</f>
        <v/>
      </c>
      <c r="BA330" s="7">
        <f>IF(Y330=1,IF(ISNUMBER(AN330),1,0),0)</f>
        <v/>
      </c>
      <c r="BB330" s="7">
        <f>IF(Y330=1,IF(ISNUMBER(T330),T330,0),0)</f>
        <v/>
      </c>
      <c r="BC330" s="7">
        <f>IF(Y330=1,IF(ISNUMBER(T330),1,0),0)</f>
        <v/>
      </c>
      <c r="BD330" s="7">
        <f>IF(Y330=1,AQ330+ROW()/1E9,-1E9)</f>
        <v/>
      </c>
      <c r="BE330" s="7">
        <f>IF(Y330=1,AQ330+ROW()/1E9,1E9)</f>
        <v/>
      </c>
    </row>
    <row r="331">
      <c r="A331" s="16" t="n"/>
      <c r="B331" s="8">
        <f>IF($A331="","",BDP($A331,B$3))</f>
        <v/>
      </c>
      <c r="C331" s="8">
        <f>IF($A331="","",BDP($A331,C$3))</f>
        <v/>
      </c>
      <c r="D331" s="28">
        <f>IF($A331="","",BDP($A331,D$3))</f>
        <v/>
      </c>
      <c r="E331" s="29">
        <f>IF($A331="","",BDP($A331,E$3))</f>
        <v/>
      </c>
      <c r="F331" s="17">
        <f>IF($A331="","",BDP($A331,F$3))</f>
        <v/>
      </c>
      <c r="G331" s="8">
        <f>IF($A331="","",BDP($A331,G$3))</f>
        <v/>
      </c>
      <c r="H331" s="8">
        <f>IF($A331="","",BDP($A331,H$3))</f>
        <v/>
      </c>
      <c r="I331" s="8">
        <f>IF($A331="","",BDP($A331,I$3))</f>
        <v/>
      </c>
      <c r="J331" s="8">
        <f>IF($A331="","",BDP($A331,J$3))</f>
        <v/>
      </c>
      <c r="K331" s="8">
        <f>IF($A331="","",BDP($A331,K$3))</f>
        <v/>
      </c>
      <c r="L331" s="28">
        <f>IF($A331="","",BDP($A331,L$3))</f>
        <v/>
      </c>
      <c r="M331" s="28">
        <f>IF($A331="","",BDP($A331,M$3))</f>
        <v/>
      </c>
      <c r="N331" s="30">
        <f>IF($A331="","",BDP($A331,N$3))</f>
        <v/>
      </c>
      <c r="O331" s="31">
        <f>IF($A331="","",BDP($A331,O$3))</f>
        <v/>
      </c>
      <c r="P331" s="30">
        <f>IF($A331="","",BDH($A331,$N$3,'參數'!$B$5,'參數'!$B$5,"Days=A","Fill=P","Dates=H"))</f>
        <v/>
      </c>
      <c r="Q331" s="30">
        <f>IF($A331="","",BDH($A331,$N$3,'參數'!$B$6,'參數'!$B$6,"Days=A","Fill=P","Dates=H"))</f>
        <v/>
      </c>
      <c r="R331" s="30">
        <f>IF($A331="","",BDH($A331,$N$3,'參數'!$B$7,'參數'!$B$7,"Days=A","Fill=P","Dates=H"))</f>
        <v/>
      </c>
      <c r="S331" s="32">
        <f>IF($A331="","",IFERROR(INDEX('發行人'!$A$5:$A$44,MATCH(B331,'發行人'!$D$5:$D$44,0)),"未對應"))</f>
        <v/>
      </c>
      <c r="T331" s="24">
        <f>IF($A331="","",IFERROR(INDEX('發行人'!$G$5:$G$44,MATCH(B331,'發行人'!$D$5:$D$44,0))+0,""))</f>
        <v/>
      </c>
      <c r="U331" s="18">
        <f>IF(ISNUMBER(E331),YEARFRAC('參數'!$B$4,E331),"")</f>
        <v/>
      </c>
      <c r="V331" s="8">
        <f>IF(U331="","",IF(U331&lt;3,"1-3y",IF(U331&lt;5,"3-5y",IF(U331&lt;7,"5-7y",IF(U331&lt;10,"7-10y","10y+")))))</f>
        <v/>
      </c>
      <c r="W331" s="30">
        <f>IF($A331="","",IFERROR(INDEX('參數'!$B$24:$B$45,MATCH(G331,'參數'!$A$24:$A$45,0)),""))</f>
        <v/>
      </c>
      <c r="X331" s="8">
        <f>IF($A331="","",IFERROR(INDEX('參數'!$C$24:$C$45,MATCH(G331,'參數'!$A$24:$A$45,0)),""))</f>
        <v/>
      </c>
      <c r="Y331" s="30">
        <f>IF(AND(ISNUMBER(N331),ISNUMBER(O331),ISNUMBER(U331)),IF(AND(O331&gt;0,X331&lt;&gt;""),1,0),0)</f>
        <v/>
      </c>
      <c r="Z331" s="17">
        <f>IF(Y331=1,O331*N331,"")</f>
        <v/>
      </c>
      <c r="AA331" s="33">
        <f>IF(Y331=1,IF(ISNUMBER(Q331),N331-Q331,""),"")</f>
        <v/>
      </c>
      <c r="AB331" s="33">
        <f>IF(Y331=1,IF(AND(ISNUMBER(P331),ISNUMBER(R331)),R331*5/12-O331*(P331-R331),""),"")</f>
        <v/>
      </c>
      <c r="AC331" s="30">
        <f>IF(Y331=1,COUNTIFS($X$5:$X$404,X331,$V$5:$V$404,V331,$Y$5:$Y$404,1),"")</f>
        <v/>
      </c>
      <c r="AD331" s="30">
        <f>IF(Y331=1,IFERROR(IF(AC331&gt;='參數'!$B$9,INDEX('分群統計'!$G$13:$K$16,MATCH(X331,'分群統計'!$A$13:$A$16,0),MATCH(V331,'分群統計'!$G$12:$K$12,0)),INDEX('分群統計'!$I$5:$I$8,MATCH(X331,'分群統計'!$A$5:$A$8,0))),""),"")</f>
        <v/>
      </c>
      <c r="AE331" s="18">
        <f>IF(Y331=1,IFERROR(IF(AC331&gt;='參數'!$B$9,INDEX('分群統計'!$L$13:$P$16,MATCH(X331,'分群統計'!$A$13:$A$16,0),MATCH(V331,'分群統計'!$L$12:$P$12,0)),INDEX('分群統計'!$J$5:$J$8,MATCH(X331,'分群統計'!$A$5:$A$8,0))),""),"")</f>
        <v/>
      </c>
      <c r="AF331" s="31">
        <f>IF(ISNUMBER(AE331),IF(AE331&gt;0,MAX(-3,MIN(3,(N331-AD331)/AE331)),0),"")</f>
        <v/>
      </c>
      <c r="AG331" s="30">
        <f>IF(Y331=1,COUNTIFS($B$5:$B$404,B331,$Y$5:$Y$404,1),"")</f>
        <v/>
      </c>
      <c r="AH331" s="30">
        <f>IF(Y331=1,IFERROR(IF(ISNUMBER(INDEX('分群統計'!$G$20:$G$59,MATCH(B331,'分群統計'!$A$20:$A$59,0))),INDEX('分群統計'!$H$20:$H$59,MATCH(B331,'分群統計'!$A$20:$A$59,0))+INDEX('分群統計'!$G$20:$G$59,MATCH(B331,'分群統計'!$A$20:$A$59,0))*AU331,""),""),"")</f>
        <v/>
      </c>
      <c r="AI331" s="34">
        <f>IF(ISNUMBER(AH331),N331-AH331,"")</f>
        <v/>
      </c>
      <c r="AJ331" s="30">
        <f>IF(Y331=1,IFERROR(IF(ISNUMBER(INDEX('分群統計'!$G$5:$G$8,MATCH(X331,'分群統計'!$A$5:$A$8,0))),INDEX('分群統計'!$H$5:$H$8,MATCH(X331,'分群統計'!$A$5:$A$8,0))+INDEX('分群統計'!$G$5:$G$8,MATCH(X331,'分群統計'!$A$5:$A$8,0))*AU331,""),""),"")</f>
        <v/>
      </c>
      <c r="AK331" s="34">
        <f>IF(ISNUMBER(AJ331),N331-AJ331,"")</f>
        <v/>
      </c>
      <c r="AL331" s="21">
        <f>IF(ISNUMBER(AJ331),IF(AJ331&gt;0,AK331/AJ331,""),"")</f>
        <v/>
      </c>
      <c r="AM331" s="31">
        <f>IF(AY331&lt;&gt;1,"",IFERROR(IF(INDEX('分群統計'!$K$5:$K$8,MATCH(X331,'分群統計'!$A$5:$A$8,0))&lt;3,"",IF(INDEX('分群統計'!$M$5:$M$8,MATCH(X331,'分群統計'!$A$5:$A$8,0))&gt;0,MAX(-3,MIN(3,(AX331-INDEX('分群統計'!$L$5:$L$8,MATCH(X331,'分群統計'!$A$5:$A$8,0)))/INDEX('分群統計'!$M$5:$M$8,MATCH(X331,'分群統計'!$A$5:$A$8,0)))),0)),""))</f>
        <v/>
      </c>
      <c r="AN331" s="31">
        <f>IF(ISNUMBER(AB331),IF(Z331&gt;0,AB331/Z331*100,""),"")</f>
        <v/>
      </c>
      <c r="AO331" s="31">
        <f>IF(BA331&lt;&gt;1,"",IFERROR(IF(INDEX('分群統計'!$N$5:$N$8,MATCH(X331,'分群統計'!$A$5:$A$8,0))&lt;3,"",IF(INDEX('分群統計'!$P$5:$P$8,MATCH(X331,'分群統計'!$A$5:$A$8,0))&gt;0,MAX(-3,MIN(3,(AZ331-INDEX('分群統計'!$O$5:$O$8,MATCH(X331,'分群統計'!$A$5:$A$8,0)))/INDEX('分群統計'!$P$5:$P$8,MATCH(X331,'分群統計'!$A$5:$A$8,0)))),0)),""))</f>
        <v/>
      </c>
      <c r="AP331" s="31">
        <f>IF(BC331&lt;&gt;1,"",IFERROR(IF(INDEX('分群統計'!$Q$5:$Q$8,MATCH(X331,'分群統計'!$A$5:$A$8,0))&lt;3,"",IF(INDEX('分群統計'!$S$5:$S$8,MATCH(X331,'分群統計'!$A$5:$A$8,0))&gt;0,MAX(-3,MIN(3,(BB331-INDEX('分群統計'!$R$5:$R$8,MATCH(X331,'分群統計'!$A$5:$A$8,0)))/INDEX('分群統計'!$S$5:$S$8,MATCH(X331,'分群統計'!$A$5:$A$8,0)))),0)),""))</f>
        <v/>
      </c>
      <c r="AQ331" s="31">
        <f>IF(Y331=1,(IF(ISNUMBER(AF331),AF331,0)*'參數'!$B$13+IF(ISNUMBER(AM331),AM331,0)*'參數'!$B$14+IF(ISNUMBER(AO331),AO331,0)*'參數'!$B$15+IF(ISNUMBER(AP331),AP331,0)*'參數'!$B$16)/('參數'!$B$13+'參數'!$B$14+'參數'!$B$15+'參數'!$B$16),"")</f>
        <v/>
      </c>
      <c r="AR331" s="35">
        <f>IF(Y331=1,(SUMPRODUCT(($X$5:$X$404=X331)*($Y$5:$Y$404=1)*($BD$5:$BD$404&gt;BD331))+1)/COUNTIFS($X$5:$X$404,X331,$Y$5:$Y$404,1),"")</f>
        <v/>
      </c>
      <c r="AS331" s="8">
        <f>IF(ISNUMBER(AR331),IF(AR331&lt;='參數'!$B$18,"加碼候選",IF(AR331&gt;'參數'!$B$19,"減碼候選","")),"")</f>
        <v/>
      </c>
      <c r="AT331" s="7">
        <f>IF(Y331=1,N331,0)</f>
        <v/>
      </c>
      <c r="AU331" s="7">
        <f>IF(Y331=1,LN(O331),0)</f>
        <v/>
      </c>
      <c r="AV331" s="36">
        <f>IF(Y331=1,IF(ISNUMBER(F331),F331,0),0)</f>
        <v/>
      </c>
      <c r="AW331" s="7">
        <f>IF(Y331=1,Z331,0)</f>
        <v/>
      </c>
      <c r="AX331" s="7">
        <f>IF(Y331=1,IF(ISNUMBER(AL331),AL331,0),0)</f>
        <v/>
      </c>
      <c r="AY331" s="7">
        <f>IF(Y331=1,IF(ISNUMBER(AL331),1,0),0)</f>
        <v/>
      </c>
      <c r="AZ331" s="7">
        <f>IF(Y331=1,IF(ISNUMBER(AN331),AN331,0),0)</f>
        <v/>
      </c>
      <c r="BA331" s="7">
        <f>IF(Y331=1,IF(ISNUMBER(AN331),1,0),0)</f>
        <v/>
      </c>
      <c r="BB331" s="7">
        <f>IF(Y331=1,IF(ISNUMBER(T331),T331,0),0)</f>
        <v/>
      </c>
      <c r="BC331" s="7">
        <f>IF(Y331=1,IF(ISNUMBER(T331),1,0),0)</f>
        <v/>
      </c>
      <c r="BD331" s="7">
        <f>IF(Y331=1,AQ331+ROW()/1E9,-1E9)</f>
        <v/>
      </c>
      <c r="BE331" s="7">
        <f>IF(Y331=1,AQ331+ROW()/1E9,1E9)</f>
        <v/>
      </c>
    </row>
    <row r="332">
      <c r="A332" s="16" t="n"/>
      <c r="B332" s="8">
        <f>IF($A332="","",BDP($A332,B$3))</f>
        <v/>
      </c>
      <c r="C332" s="8">
        <f>IF($A332="","",BDP($A332,C$3))</f>
        <v/>
      </c>
      <c r="D332" s="28">
        <f>IF($A332="","",BDP($A332,D$3))</f>
        <v/>
      </c>
      <c r="E332" s="29">
        <f>IF($A332="","",BDP($A332,E$3))</f>
        <v/>
      </c>
      <c r="F332" s="17">
        <f>IF($A332="","",BDP($A332,F$3))</f>
        <v/>
      </c>
      <c r="G332" s="8">
        <f>IF($A332="","",BDP($A332,G$3))</f>
        <v/>
      </c>
      <c r="H332" s="8">
        <f>IF($A332="","",BDP($A332,H$3))</f>
        <v/>
      </c>
      <c r="I332" s="8">
        <f>IF($A332="","",BDP($A332,I$3))</f>
        <v/>
      </c>
      <c r="J332" s="8">
        <f>IF($A332="","",BDP($A332,J$3))</f>
        <v/>
      </c>
      <c r="K332" s="8">
        <f>IF($A332="","",BDP($A332,K$3))</f>
        <v/>
      </c>
      <c r="L332" s="28">
        <f>IF($A332="","",BDP($A332,L$3))</f>
        <v/>
      </c>
      <c r="M332" s="28">
        <f>IF($A332="","",BDP($A332,M$3))</f>
        <v/>
      </c>
      <c r="N332" s="30">
        <f>IF($A332="","",BDP($A332,N$3))</f>
        <v/>
      </c>
      <c r="O332" s="31">
        <f>IF($A332="","",BDP($A332,O$3))</f>
        <v/>
      </c>
      <c r="P332" s="30">
        <f>IF($A332="","",BDH($A332,$N$3,'參數'!$B$5,'參數'!$B$5,"Days=A","Fill=P","Dates=H"))</f>
        <v/>
      </c>
      <c r="Q332" s="30">
        <f>IF($A332="","",BDH($A332,$N$3,'參數'!$B$6,'參數'!$B$6,"Days=A","Fill=P","Dates=H"))</f>
        <v/>
      </c>
      <c r="R332" s="30">
        <f>IF($A332="","",BDH($A332,$N$3,'參數'!$B$7,'參數'!$B$7,"Days=A","Fill=P","Dates=H"))</f>
        <v/>
      </c>
      <c r="S332" s="32">
        <f>IF($A332="","",IFERROR(INDEX('發行人'!$A$5:$A$44,MATCH(B332,'發行人'!$D$5:$D$44,0)),"未對應"))</f>
        <v/>
      </c>
      <c r="T332" s="24">
        <f>IF($A332="","",IFERROR(INDEX('發行人'!$G$5:$G$44,MATCH(B332,'發行人'!$D$5:$D$44,0))+0,""))</f>
        <v/>
      </c>
      <c r="U332" s="18">
        <f>IF(ISNUMBER(E332),YEARFRAC('參數'!$B$4,E332),"")</f>
        <v/>
      </c>
      <c r="V332" s="8">
        <f>IF(U332="","",IF(U332&lt;3,"1-3y",IF(U332&lt;5,"3-5y",IF(U332&lt;7,"5-7y",IF(U332&lt;10,"7-10y","10y+")))))</f>
        <v/>
      </c>
      <c r="W332" s="30">
        <f>IF($A332="","",IFERROR(INDEX('參數'!$B$24:$B$45,MATCH(G332,'參數'!$A$24:$A$45,0)),""))</f>
        <v/>
      </c>
      <c r="X332" s="8">
        <f>IF($A332="","",IFERROR(INDEX('參數'!$C$24:$C$45,MATCH(G332,'參數'!$A$24:$A$45,0)),""))</f>
        <v/>
      </c>
      <c r="Y332" s="30">
        <f>IF(AND(ISNUMBER(N332),ISNUMBER(O332),ISNUMBER(U332)),IF(AND(O332&gt;0,X332&lt;&gt;""),1,0),0)</f>
        <v/>
      </c>
      <c r="Z332" s="17">
        <f>IF(Y332=1,O332*N332,"")</f>
        <v/>
      </c>
      <c r="AA332" s="33">
        <f>IF(Y332=1,IF(ISNUMBER(Q332),N332-Q332,""),"")</f>
        <v/>
      </c>
      <c r="AB332" s="33">
        <f>IF(Y332=1,IF(AND(ISNUMBER(P332),ISNUMBER(R332)),R332*5/12-O332*(P332-R332),""),"")</f>
        <v/>
      </c>
      <c r="AC332" s="30">
        <f>IF(Y332=1,COUNTIFS($X$5:$X$404,X332,$V$5:$V$404,V332,$Y$5:$Y$404,1),"")</f>
        <v/>
      </c>
      <c r="AD332" s="30">
        <f>IF(Y332=1,IFERROR(IF(AC332&gt;='參數'!$B$9,INDEX('分群統計'!$G$13:$K$16,MATCH(X332,'分群統計'!$A$13:$A$16,0),MATCH(V332,'分群統計'!$G$12:$K$12,0)),INDEX('分群統計'!$I$5:$I$8,MATCH(X332,'分群統計'!$A$5:$A$8,0))),""),"")</f>
        <v/>
      </c>
      <c r="AE332" s="18">
        <f>IF(Y332=1,IFERROR(IF(AC332&gt;='參數'!$B$9,INDEX('分群統計'!$L$13:$P$16,MATCH(X332,'分群統計'!$A$13:$A$16,0),MATCH(V332,'分群統計'!$L$12:$P$12,0)),INDEX('分群統計'!$J$5:$J$8,MATCH(X332,'分群統計'!$A$5:$A$8,0))),""),"")</f>
        <v/>
      </c>
      <c r="AF332" s="31">
        <f>IF(ISNUMBER(AE332),IF(AE332&gt;0,MAX(-3,MIN(3,(N332-AD332)/AE332)),0),"")</f>
        <v/>
      </c>
      <c r="AG332" s="30">
        <f>IF(Y332=1,COUNTIFS($B$5:$B$404,B332,$Y$5:$Y$404,1),"")</f>
        <v/>
      </c>
      <c r="AH332" s="30">
        <f>IF(Y332=1,IFERROR(IF(ISNUMBER(INDEX('分群統計'!$G$20:$G$59,MATCH(B332,'分群統計'!$A$20:$A$59,0))),INDEX('分群統計'!$H$20:$H$59,MATCH(B332,'分群統計'!$A$20:$A$59,0))+INDEX('分群統計'!$G$20:$G$59,MATCH(B332,'分群統計'!$A$20:$A$59,0))*AU332,""),""),"")</f>
        <v/>
      </c>
      <c r="AI332" s="34">
        <f>IF(ISNUMBER(AH332),N332-AH332,"")</f>
        <v/>
      </c>
      <c r="AJ332" s="30">
        <f>IF(Y332=1,IFERROR(IF(ISNUMBER(INDEX('分群統計'!$G$5:$G$8,MATCH(X332,'分群統計'!$A$5:$A$8,0))),INDEX('分群統計'!$H$5:$H$8,MATCH(X332,'分群統計'!$A$5:$A$8,0))+INDEX('分群統計'!$G$5:$G$8,MATCH(X332,'分群統計'!$A$5:$A$8,0))*AU332,""),""),"")</f>
        <v/>
      </c>
      <c r="AK332" s="34">
        <f>IF(ISNUMBER(AJ332),N332-AJ332,"")</f>
        <v/>
      </c>
      <c r="AL332" s="21">
        <f>IF(ISNUMBER(AJ332),IF(AJ332&gt;0,AK332/AJ332,""),"")</f>
        <v/>
      </c>
      <c r="AM332" s="31">
        <f>IF(AY332&lt;&gt;1,"",IFERROR(IF(INDEX('分群統計'!$K$5:$K$8,MATCH(X332,'分群統計'!$A$5:$A$8,0))&lt;3,"",IF(INDEX('分群統計'!$M$5:$M$8,MATCH(X332,'分群統計'!$A$5:$A$8,0))&gt;0,MAX(-3,MIN(3,(AX332-INDEX('分群統計'!$L$5:$L$8,MATCH(X332,'分群統計'!$A$5:$A$8,0)))/INDEX('分群統計'!$M$5:$M$8,MATCH(X332,'分群統計'!$A$5:$A$8,0)))),0)),""))</f>
        <v/>
      </c>
      <c r="AN332" s="31">
        <f>IF(ISNUMBER(AB332),IF(Z332&gt;0,AB332/Z332*100,""),"")</f>
        <v/>
      </c>
      <c r="AO332" s="31">
        <f>IF(BA332&lt;&gt;1,"",IFERROR(IF(INDEX('分群統計'!$N$5:$N$8,MATCH(X332,'分群統計'!$A$5:$A$8,0))&lt;3,"",IF(INDEX('分群統計'!$P$5:$P$8,MATCH(X332,'分群統計'!$A$5:$A$8,0))&gt;0,MAX(-3,MIN(3,(AZ332-INDEX('分群統計'!$O$5:$O$8,MATCH(X332,'分群統計'!$A$5:$A$8,0)))/INDEX('分群統計'!$P$5:$P$8,MATCH(X332,'分群統計'!$A$5:$A$8,0)))),0)),""))</f>
        <v/>
      </c>
      <c r="AP332" s="31">
        <f>IF(BC332&lt;&gt;1,"",IFERROR(IF(INDEX('分群統計'!$Q$5:$Q$8,MATCH(X332,'分群統計'!$A$5:$A$8,0))&lt;3,"",IF(INDEX('分群統計'!$S$5:$S$8,MATCH(X332,'分群統計'!$A$5:$A$8,0))&gt;0,MAX(-3,MIN(3,(BB332-INDEX('分群統計'!$R$5:$R$8,MATCH(X332,'分群統計'!$A$5:$A$8,0)))/INDEX('分群統計'!$S$5:$S$8,MATCH(X332,'分群統計'!$A$5:$A$8,0)))),0)),""))</f>
        <v/>
      </c>
      <c r="AQ332" s="31">
        <f>IF(Y332=1,(IF(ISNUMBER(AF332),AF332,0)*'參數'!$B$13+IF(ISNUMBER(AM332),AM332,0)*'參數'!$B$14+IF(ISNUMBER(AO332),AO332,0)*'參數'!$B$15+IF(ISNUMBER(AP332),AP332,0)*'參數'!$B$16)/('參數'!$B$13+'參數'!$B$14+'參數'!$B$15+'參數'!$B$16),"")</f>
        <v/>
      </c>
      <c r="AR332" s="35">
        <f>IF(Y332=1,(SUMPRODUCT(($X$5:$X$404=X332)*($Y$5:$Y$404=1)*($BD$5:$BD$404&gt;BD332))+1)/COUNTIFS($X$5:$X$404,X332,$Y$5:$Y$404,1),"")</f>
        <v/>
      </c>
      <c r="AS332" s="8">
        <f>IF(ISNUMBER(AR332),IF(AR332&lt;='參數'!$B$18,"加碼候選",IF(AR332&gt;'參數'!$B$19,"減碼候選","")),"")</f>
        <v/>
      </c>
      <c r="AT332" s="7">
        <f>IF(Y332=1,N332,0)</f>
        <v/>
      </c>
      <c r="AU332" s="7">
        <f>IF(Y332=1,LN(O332),0)</f>
        <v/>
      </c>
      <c r="AV332" s="36">
        <f>IF(Y332=1,IF(ISNUMBER(F332),F332,0),0)</f>
        <v/>
      </c>
      <c r="AW332" s="7">
        <f>IF(Y332=1,Z332,0)</f>
        <v/>
      </c>
      <c r="AX332" s="7">
        <f>IF(Y332=1,IF(ISNUMBER(AL332),AL332,0),0)</f>
        <v/>
      </c>
      <c r="AY332" s="7">
        <f>IF(Y332=1,IF(ISNUMBER(AL332),1,0),0)</f>
        <v/>
      </c>
      <c r="AZ332" s="7">
        <f>IF(Y332=1,IF(ISNUMBER(AN332),AN332,0),0)</f>
        <v/>
      </c>
      <c r="BA332" s="7">
        <f>IF(Y332=1,IF(ISNUMBER(AN332),1,0),0)</f>
        <v/>
      </c>
      <c r="BB332" s="7">
        <f>IF(Y332=1,IF(ISNUMBER(T332),T332,0),0)</f>
        <v/>
      </c>
      <c r="BC332" s="7">
        <f>IF(Y332=1,IF(ISNUMBER(T332),1,0),0)</f>
        <v/>
      </c>
      <c r="BD332" s="7">
        <f>IF(Y332=1,AQ332+ROW()/1E9,-1E9)</f>
        <v/>
      </c>
      <c r="BE332" s="7">
        <f>IF(Y332=1,AQ332+ROW()/1E9,1E9)</f>
        <v/>
      </c>
    </row>
    <row r="333">
      <c r="A333" s="16" t="n"/>
      <c r="B333" s="8">
        <f>IF($A333="","",BDP($A333,B$3))</f>
        <v/>
      </c>
      <c r="C333" s="8">
        <f>IF($A333="","",BDP($A333,C$3))</f>
        <v/>
      </c>
      <c r="D333" s="28">
        <f>IF($A333="","",BDP($A333,D$3))</f>
        <v/>
      </c>
      <c r="E333" s="29">
        <f>IF($A333="","",BDP($A333,E$3))</f>
        <v/>
      </c>
      <c r="F333" s="17">
        <f>IF($A333="","",BDP($A333,F$3))</f>
        <v/>
      </c>
      <c r="G333" s="8">
        <f>IF($A333="","",BDP($A333,G$3))</f>
        <v/>
      </c>
      <c r="H333" s="8">
        <f>IF($A333="","",BDP($A333,H$3))</f>
        <v/>
      </c>
      <c r="I333" s="8">
        <f>IF($A333="","",BDP($A333,I$3))</f>
        <v/>
      </c>
      <c r="J333" s="8">
        <f>IF($A333="","",BDP($A333,J$3))</f>
        <v/>
      </c>
      <c r="K333" s="8">
        <f>IF($A333="","",BDP($A333,K$3))</f>
        <v/>
      </c>
      <c r="L333" s="28">
        <f>IF($A333="","",BDP($A333,L$3))</f>
        <v/>
      </c>
      <c r="M333" s="28">
        <f>IF($A333="","",BDP($A333,M$3))</f>
        <v/>
      </c>
      <c r="N333" s="30">
        <f>IF($A333="","",BDP($A333,N$3))</f>
        <v/>
      </c>
      <c r="O333" s="31">
        <f>IF($A333="","",BDP($A333,O$3))</f>
        <v/>
      </c>
      <c r="P333" s="30">
        <f>IF($A333="","",BDH($A333,$N$3,'參數'!$B$5,'參數'!$B$5,"Days=A","Fill=P","Dates=H"))</f>
        <v/>
      </c>
      <c r="Q333" s="30">
        <f>IF($A333="","",BDH($A333,$N$3,'參數'!$B$6,'參數'!$B$6,"Days=A","Fill=P","Dates=H"))</f>
        <v/>
      </c>
      <c r="R333" s="30">
        <f>IF($A333="","",BDH($A333,$N$3,'參數'!$B$7,'參數'!$B$7,"Days=A","Fill=P","Dates=H"))</f>
        <v/>
      </c>
      <c r="S333" s="32">
        <f>IF($A333="","",IFERROR(INDEX('發行人'!$A$5:$A$44,MATCH(B333,'發行人'!$D$5:$D$44,0)),"未對應"))</f>
        <v/>
      </c>
      <c r="T333" s="24">
        <f>IF($A333="","",IFERROR(INDEX('發行人'!$G$5:$G$44,MATCH(B333,'發行人'!$D$5:$D$44,0))+0,""))</f>
        <v/>
      </c>
      <c r="U333" s="18">
        <f>IF(ISNUMBER(E333),YEARFRAC('參數'!$B$4,E333),"")</f>
        <v/>
      </c>
      <c r="V333" s="8">
        <f>IF(U333="","",IF(U333&lt;3,"1-3y",IF(U333&lt;5,"3-5y",IF(U333&lt;7,"5-7y",IF(U333&lt;10,"7-10y","10y+")))))</f>
        <v/>
      </c>
      <c r="W333" s="30">
        <f>IF($A333="","",IFERROR(INDEX('參數'!$B$24:$B$45,MATCH(G333,'參數'!$A$24:$A$45,0)),""))</f>
        <v/>
      </c>
      <c r="X333" s="8">
        <f>IF($A333="","",IFERROR(INDEX('參數'!$C$24:$C$45,MATCH(G333,'參數'!$A$24:$A$45,0)),""))</f>
        <v/>
      </c>
      <c r="Y333" s="30">
        <f>IF(AND(ISNUMBER(N333),ISNUMBER(O333),ISNUMBER(U333)),IF(AND(O333&gt;0,X333&lt;&gt;""),1,0),0)</f>
        <v/>
      </c>
      <c r="Z333" s="17">
        <f>IF(Y333=1,O333*N333,"")</f>
        <v/>
      </c>
      <c r="AA333" s="33">
        <f>IF(Y333=1,IF(ISNUMBER(Q333),N333-Q333,""),"")</f>
        <v/>
      </c>
      <c r="AB333" s="33">
        <f>IF(Y333=1,IF(AND(ISNUMBER(P333),ISNUMBER(R333)),R333*5/12-O333*(P333-R333),""),"")</f>
        <v/>
      </c>
      <c r="AC333" s="30">
        <f>IF(Y333=1,COUNTIFS($X$5:$X$404,X333,$V$5:$V$404,V333,$Y$5:$Y$404,1),"")</f>
        <v/>
      </c>
      <c r="AD333" s="30">
        <f>IF(Y333=1,IFERROR(IF(AC333&gt;='參數'!$B$9,INDEX('分群統計'!$G$13:$K$16,MATCH(X333,'分群統計'!$A$13:$A$16,0),MATCH(V333,'分群統計'!$G$12:$K$12,0)),INDEX('分群統計'!$I$5:$I$8,MATCH(X333,'分群統計'!$A$5:$A$8,0))),""),"")</f>
        <v/>
      </c>
      <c r="AE333" s="18">
        <f>IF(Y333=1,IFERROR(IF(AC333&gt;='參數'!$B$9,INDEX('分群統計'!$L$13:$P$16,MATCH(X333,'分群統計'!$A$13:$A$16,0),MATCH(V333,'分群統計'!$L$12:$P$12,0)),INDEX('分群統計'!$J$5:$J$8,MATCH(X333,'分群統計'!$A$5:$A$8,0))),""),"")</f>
        <v/>
      </c>
      <c r="AF333" s="31">
        <f>IF(ISNUMBER(AE333),IF(AE333&gt;0,MAX(-3,MIN(3,(N333-AD333)/AE333)),0),"")</f>
        <v/>
      </c>
      <c r="AG333" s="30">
        <f>IF(Y333=1,COUNTIFS($B$5:$B$404,B333,$Y$5:$Y$404,1),"")</f>
        <v/>
      </c>
      <c r="AH333" s="30">
        <f>IF(Y333=1,IFERROR(IF(ISNUMBER(INDEX('分群統計'!$G$20:$G$59,MATCH(B333,'分群統計'!$A$20:$A$59,0))),INDEX('分群統計'!$H$20:$H$59,MATCH(B333,'分群統計'!$A$20:$A$59,0))+INDEX('分群統計'!$G$20:$G$59,MATCH(B333,'分群統計'!$A$20:$A$59,0))*AU333,""),""),"")</f>
        <v/>
      </c>
      <c r="AI333" s="34">
        <f>IF(ISNUMBER(AH333),N333-AH333,"")</f>
        <v/>
      </c>
      <c r="AJ333" s="30">
        <f>IF(Y333=1,IFERROR(IF(ISNUMBER(INDEX('分群統計'!$G$5:$G$8,MATCH(X333,'分群統計'!$A$5:$A$8,0))),INDEX('分群統計'!$H$5:$H$8,MATCH(X333,'分群統計'!$A$5:$A$8,0))+INDEX('分群統計'!$G$5:$G$8,MATCH(X333,'分群統計'!$A$5:$A$8,0))*AU333,""),""),"")</f>
        <v/>
      </c>
      <c r="AK333" s="34">
        <f>IF(ISNUMBER(AJ333),N333-AJ333,"")</f>
        <v/>
      </c>
      <c r="AL333" s="21">
        <f>IF(ISNUMBER(AJ333),IF(AJ333&gt;0,AK333/AJ333,""),"")</f>
        <v/>
      </c>
      <c r="AM333" s="31">
        <f>IF(AY333&lt;&gt;1,"",IFERROR(IF(INDEX('分群統計'!$K$5:$K$8,MATCH(X333,'分群統計'!$A$5:$A$8,0))&lt;3,"",IF(INDEX('分群統計'!$M$5:$M$8,MATCH(X333,'分群統計'!$A$5:$A$8,0))&gt;0,MAX(-3,MIN(3,(AX333-INDEX('分群統計'!$L$5:$L$8,MATCH(X333,'分群統計'!$A$5:$A$8,0)))/INDEX('分群統計'!$M$5:$M$8,MATCH(X333,'分群統計'!$A$5:$A$8,0)))),0)),""))</f>
        <v/>
      </c>
      <c r="AN333" s="31">
        <f>IF(ISNUMBER(AB333),IF(Z333&gt;0,AB333/Z333*100,""),"")</f>
        <v/>
      </c>
      <c r="AO333" s="31">
        <f>IF(BA333&lt;&gt;1,"",IFERROR(IF(INDEX('分群統計'!$N$5:$N$8,MATCH(X333,'分群統計'!$A$5:$A$8,0))&lt;3,"",IF(INDEX('分群統計'!$P$5:$P$8,MATCH(X333,'分群統計'!$A$5:$A$8,0))&gt;0,MAX(-3,MIN(3,(AZ333-INDEX('分群統計'!$O$5:$O$8,MATCH(X333,'分群統計'!$A$5:$A$8,0)))/INDEX('分群統計'!$P$5:$P$8,MATCH(X333,'分群統計'!$A$5:$A$8,0)))),0)),""))</f>
        <v/>
      </c>
      <c r="AP333" s="31">
        <f>IF(BC333&lt;&gt;1,"",IFERROR(IF(INDEX('分群統計'!$Q$5:$Q$8,MATCH(X333,'分群統計'!$A$5:$A$8,0))&lt;3,"",IF(INDEX('分群統計'!$S$5:$S$8,MATCH(X333,'分群統計'!$A$5:$A$8,0))&gt;0,MAX(-3,MIN(3,(BB333-INDEX('分群統計'!$R$5:$R$8,MATCH(X333,'分群統計'!$A$5:$A$8,0)))/INDEX('分群統計'!$S$5:$S$8,MATCH(X333,'分群統計'!$A$5:$A$8,0)))),0)),""))</f>
        <v/>
      </c>
      <c r="AQ333" s="31">
        <f>IF(Y333=1,(IF(ISNUMBER(AF333),AF333,0)*'參數'!$B$13+IF(ISNUMBER(AM333),AM333,0)*'參數'!$B$14+IF(ISNUMBER(AO333),AO333,0)*'參數'!$B$15+IF(ISNUMBER(AP333),AP333,0)*'參數'!$B$16)/('參數'!$B$13+'參數'!$B$14+'參數'!$B$15+'參數'!$B$16),"")</f>
        <v/>
      </c>
      <c r="AR333" s="35">
        <f>IF(Y333=1,(SUMPRODUCT(($X$5:$X$404=X333)*($Y$5:$Y$404=1)*($BD$5:$BD$404&gt;BD333))+1)/COUNTIFS($X$5:$X$404,X333,$Y$5:$Y$404,1),"")</f>
        <v/>
      </c>
      <c r="AS333" s="8">
        <f>IF(ISNUMBER(AR333),IF(AR333&lt;='參數'!$B$18,"加碼候選",IF(AR333&gt;'參數'!$B$19,"減碼候選","")),"")</f>
        <v/>
      </c>
      <c r="AT333" s="7">
        <f>IF(Y333=1,N333,0)</f>
        <v/>
      </c>
      <c r="AU333" s="7">
        <f>IF(Y333=1,LN(O333),0)</f>
        <v/>
      </c>
      <c r="AV333" s="36">
        <f>IF(Y333=1,IF(ISNUMBER(F333),F333,0),0)</f>
        <v/>
      </c>
      <c r="AW333" s="7">
        <f>IF(Y333=1,Z333,0)</f>
        <v/>
      </c>
      <c r="AX333" s="7">
        <f>IF(Y333=1,IF(ISNUMBER(AL333),AL333,0),0)</f>
        <v/>
      </c>
      <c r="AY333" s="7">
        <f>IF(Y333=1,IF(ISNUMBER(AL333),1,0),0)</f>
        <v/>
      </c>
      <c r="AZ333" s="7">
        <f>IF(Y333=1,IF(ISNUMBER(AN333),AN333,0),0)</f>
        <v/>
      </c>
      <c r="BA333" s="7">
        <f>IF(Y333=1,IF(ISNUMBER(AN333),1,0),0)</f>
        <v/>
      </c>
      <c r="BB333" s="7">
        <f>IF(Y333=1,IF(ISNUMBER(T333),T333,0),0)</f>
        <v/>
      </c>
      <c r="BC333" s="7">
        <f>IF(Y333=1,IF(ISNUMBER(T333),1,0),0)</f>
        <v/>
      </c>
      <c r="BD333" s="7">
        <f>IF(Y333=1,AQ333+ROW()/1E9,-1E9)</f>
        <v/>
      </c>
      <c r="BE333" s="7">
        <f>IF(Y333=1,AQ333+ROW()/1E9,1E9)</f>
        <v/>
      </c>
    </row>
    <row r="334">
      <c r="A334" s="16" t="n"/>
      <c r="B334" s="8">
        <f>IF($A334="","",BDP($A334,B$3))</f>
        <v/>
      </c>
      <c r="C334" s="8">
        <f>IF($A334="","",BDP($A334,C$3))</f>
        <v/>
      </c>
      <c r="D334" s="28">
        <f>IF($A334="","",BDP($A334,D$3))</f>
        <v/>
      </c>
      <c r="E334" s="29">
        <f>IF($A334="","",BDP($A334,E$3))</f>
        <v/>
      </c>
      <c r="F334" s="17">
        <f>IF($A334="","",BDP($A334,F$3))</f>
        <v/>
      </c>
      <c r="G334" s="8">
        <f>IF($A334="","",BDP($A334,G$3))</f>
        <v/>
      </c>
      <c r="H334" s="8">
        <f>IF($A334="","",BDP($A334,H$3))</f>
        <v/>
      </c>
      <c r="I334" s="8">
        <f>IF($A334="","",BDP($A334,I$3))</f>
        <v/>
      </c>
      <c r="J334" s="8">
        <f>IF($A334="","",BDP($A334,J$3))</f>
        <v/>
      </c>
      <c r="K334" s="8">
        <f>IF($A334="","",BDP($A334,K$3))</f>
        <v/>
      </c>
      <c r="L334" s="28">
        <f>IF($A334="","",BDP($A334,L$3))</f>
        <v/>
      </c>
      <c r="M334" s="28">
        <f>IF($A334="","",BDP($A334,M$3))</f>
        <v/>
      </c>
      <c r="N334" s="30">
        <f>IF($A334="","",BDP($A334,N$3))</f>
        <v/>
      </c>
      <c r="O334" s="31">
        <f>IF($A334="","",BDP($A334,O$3))</f>
        <v/>
      </c>
      <c r="P334" s="30">
        <f>IF($A334="","",BDH($A334,$N$3,'參數'!$B$5,'參數'!$B$5,"Days=A","Fill=P","Dates=H"))</f>
        <v/>
      </c>
      <c r="Q334" s="30">
        <f>IF($A334="","",BDH($A334,$N$3,'參數'!$B$6,'參數'!$B$6,"Days=A","Fill=P","Dates=H"))</f>
        <v/>
      </c>
      <c r="R334" s="30">
        <f>IF($A334="","",BDH($A334,$N$3,'參數'!$B$7,'參數'!$B$7,"Days=A","Fill=P","Dates=H"))</f>
        <v/>
      </c>
      <c r="S334" s="32">
        <f>IF($A334="","",IFERROR(INDEX('發行人'!$A$5:$A$44,MATCH(B334,'發行人'!$D$5:$D$44,0)),"未對應"))</f>
        <v/>
      </c>
      <c r="T334" s="24">
        <f>IF($A334="","",IFERROR(INDEX('發行人'!$G$5:$G$44,MATCH(B334,'發行人'!$D$5:$D$44,0))+0,""))</f>
        <v/>
      </c>
      <c r="U334" s="18">
        <f>IF(ISNUMBER(E334),YEARFRAC('參數'!$B$4,E334),"")</f>
        <v/>
      </c>
      <c r="V334" s="8">
        <f>IF(U334="","",IF(U334&lt;3,"1-3y",IF(U334&lt;5,"3-5y",IF(U334&lt;7,"5-7y",IF(U334&lt;10,"7-10y","10y+")))))</f>
        <v/>
      </c>
      <c r="W334" s="30">
        <f>IF($A334="","",IFERROR(INDEX('參數'!$B$24:$B$45,MATCH(G334,'參數'!$A$24:$A$45,0)),""))</f>
        <v/>
      </c>
      <c r="X334" s="8">
        <f>IF($A334="","",IFERROR(INDEX('參數'!$C$24:$C$45,MATCH(G334,'參數'!$A$24:$A$45,0)),""))</f>
        <v/>
      </c>
      <c r="Y334" s="30">
        <f>IF(AND(ISNUMBER(N334),ISNUMBER(O334),ISNUMBER(U334)),IF(AND(O334&gt;0,X334&lt;&gt;""),1,0),0)</f>
        <v/>
      </c>
      <c r="Z334" s="17">
        <f>IF(Y334=1,O334*N334,"")</f>
        <v/>
      </c>
      <c r="AA334" s="33">
        <f>IF(Y334=1,IF(ISNUMBER(Q334),N334-Q334,""),"")</f>
        <v/>
      </c>
      <c r="AB334" s="33">
        <f>IF(Y334=1,IF(AND(ISNUMBER(P334),ISNUMBER(R334)),R334*5/12-O334*(P334-R334),""),"")</f>
        <v/>
      </c>
      <c r="AC334" s="30">
        <f>IF(Y334=1,COUNTIFS($X$5:$X$404,X334,$V$5:$V$404,V334,$Y$5:$Y$404,1),"")</f>
        <v/>
      </c>
      <c r="AD334" s="30">
        <f>IF(Y334=1,IFERROR(IF(AC334&gt;='參數'!$B$9,INDEX('分群統計'!$G$13:$K$16,MATCH(X334,'分群統計'!$A$13:$A$16,0),MATCH(V334,'分群統計'!$G$12:$K$12,0)),INDEX('分群統計'!$I$5:$I$8,MATCH(X334,'分群統計'!$A$5:$A$8,0))),""),"")</f>
        <v/>
      </c>
      <c r="AE334" s="18">
        <f>IF(Y334=1,IFERROR(IF(AC334&gt;='參數'!$B$9,INDEX('分群統計'!$L$13:$P$16,MATCH(X334,'分群統計'!$A$13:$A$16,0),MATCH(V334,'分群統計'!$L$12:$P$12,0)),INDEX('分群統計'!$J$5:$J$8,MATCH(X334,'分群統計'!$A$5:$A$8,0))),""),"")</f>
        <v/>
      </c>
      <c r="AF334" s="31">
        <f>IF(ISNUMBER(AE334),IF(AE334&gt;0,MAX(-3,MIN(3,(N334-AD334)/AE334)),0),"")</f>
        <v/>
      </c>
      <c r="AG334" s="30">
        <f>IF(Y334=1,COUNTIFS($B$5:$B$404,B334,$Y$5:$Y$404,1),"")</f>
        <v/>
      </c>
      <c r="AH334" s="30">
        <f>IF(Y334=1,IFERROR(IF(ISNUMBER(INDEX('分群統計'!$G$20:$G$59,MATCH(B334,'分群統計'!$A$20:$A$59,0))),INDEX('分群統計'!$H$20:$H$59,MATCH(B334,'分群統計'!$A$20:$A$59,0))+INDEX('分群統計'!$G$20:$G$59,MATCH(B334,'分群統計'!$A$20:$A$59,0))*AU334,""),""),"")</f>
        <v/>
      </c>
      <c r="AI334" s="34">
        <f>IF(ISNUMBER(AH334),N334-AH334,"")</f>
        <v/>
      </c>
      <c r="AJ334" s="30">
        <f>IF(Y334=1,IFERROR(IF(ISNUMBER(INDEX('分群統計'!$G$5:$G$8,MATCH(X334,'分群統計'!$A$5:$A$8,0))),INDEX('分群統計'!$H$5:$H$8,MATCH(X334,'分群統計'!$A$5:$A$8,0))+INDEX('分群統計'!$G$5:$G$8,MATCH(X334,'分群統計'!$A$5:$A$8,0))*AU334,""),""),"")</f>
        <v/>
      </c>
      <c r="AK334" s="34">
        <f>IF(ISNUMBER(AJ334),N334-AJ334,"")</f>
        <v/>
      </c>
      <c r="AL334" s="21">
        <f>IF(ISNUMBER(AJ334),IF(AJ334&gt;0,AK334/AJ334,""),"")</f>
        <v/>
      </c>
      <c r="AM334" s="31">
        <f>IF(AY334&lt;&gt;1,"",IFERROR(IF(INDEX('分群統計'!$K$5:$K$8,MATCH(X334,'分群統計'!$A$5:$A$8,0))&lt;3,"",IF(INDEX('分群統計'!$M$5:$M$8,MATCH(X334,'分群統計'!$A$5:$A$8,0))&gt;0,MAX(-3,MIN(3,(AX334-INDEX('分群統計'!$L$5:$L$8,MATCH(X334,'分群統計'!$A$5:$A$8,0)))/INDEX('分群統計'!$M$5:$M$8,MATCH(X334,'分群統計'!$A$5:$A$8,0)))),0)),""))</f>
        <v/>
      </c>
      <c r="AN334" s="31">
        <f>IF(ISNUMBER(AB334),IF(Z334&gt;0,AB334/Z334*100,""),"")</f>
        <v/>
      </c>
      <c r="AO334" s="31">
        <f>IF(BA334&lt;&gt;1,"",IFERROR(IF(INDEX('分群統計'!$N$5:$N$8,MATCH(X334,'分群統計'!$A$5:$A$8,0))&lt;3,"",IF(INDEX('分群統計'!$P$5:$P$8,MATCH(X334,'分群統計'!$A$5:$A$8,0))&gt;0,MAX(-3,MIN(3,(AZ334-INDEX('分群統計'!$O$5:$O$8,MATCH(X334,'分群統計'!$A$5:$A$8,0)))/INDEX('分群統計'!$P$5:$P$8,MATCH(X334,'分群統計'!$A$5:$A$8,0)))),0)),""))</f>
        <v/>
      </c>
      <c r="AP334" s="31">
        <f>IF(BC334&lt;&gt;1,"",IFERROR(IF(INDEX('分群統計'!$Q$5:$Q$8,MATCH(X334,'分群統計'!$A$5:$A$8,0))&lt;3,"",IF(INDEX('分群統計'!$S$5:$S$8,MATCH(X334,'分群統計'!$A$5:$A$8,0))&gt;0,MAX(-3,MIN(3,(BB334-INDEX('分群統計'!$R$5:$R$8,MATCH(X334,'分群統計'!$A$5:$A$8,0)))/INDEX('分群統計'!$S$5:$S$8,MATCH(X334,'分群統計'!$A$5:$A$8,0)))),0)),""))</f>
        <v/>
      </c>
      <c r="AQ334" s="31">
        <f>IF(Y334=1,(IF(ISNUMBER(AF334),AF334,0)*'參數'!$B$13+IF(ISNUMBER(AM334),AM334,0)*'參數'!$B$14+IF(ISNUMBER(AO334),AO334,0)*'參數'!$B$15+IF(ISNUMBER(AP334),AP334,0)*'參數'!$B$16)/('參數'!$B$13+'參數'!$B$14+'參數'!$B$15+'參數'!$B$16),"")</f>
        <v/>
      </c>
      <c r="AR334" s="35">
        <f>IF(Y334=1,(SUMPRODUCT(($X$5:$X$404=X334)*($Y$5:$Y$404=1)*($BD$5:$BD$404&gt;BD334))+1)/COUNTIFS($X$5:$X$404,X334,$Y$5:$Y$404,1),"")</f>
        <v/>
      </c>
      <c r="AS334" s="8">
        <f>IF(ISNUMBER(AR334),IF(AR334&lt;='參數'!$B$18,"加碼候選",IF(AR334&gt;'參數'!$B$19,"減碼候選","")),"")</f>
        <v/>
      </c>
      <c r="AT334" s="7">
        <f>IF(Y334=1,N334,0)</f>
        <v/>
      </c>
      <c r="AU334" s="7">
        <f>IF(Y334=1,LN(O334),0)</f>
        <v/>
      </c>
      <c r="AV334" s="36">
        <f>IF(Y334=1,IF(ISNUMBER(F334),F334,0),0)</f>
        <v/>
      </c>
      <c r="AW334" s="7">
        <f>IF(Y334=1,Z334,0)</f>
        <v/>
      </c>
      <c r="AX334" s="7">
        <f>IF(Y334=1,IF(ISNUMBER(AL334),AL334,0),0)</f>
        <v/>
      </c>
      <c r="AY334" s="7">
        <f>IF(Y334=1,IF(ISNUMBER(AL334),1,0),0)</f>
        <v/>
      </c>
      <c r="AZ334" s="7">
        <f>IF(Y334=1,IF(ISNUMBER(AN334),AN334,0),0)</f>
        <v/>
      </c>
      <c r="BA334" s="7">
        <f>IF(Y334=1,IF(ISNUMBER(AN334),1,0),0)</f>
        <v/>
      </c>
      <c r="BB334" s="7">
        <f>IF(Y334=1,IF(ISNUMBER(T334),T334,0),0)</f>
        <v/>
      </c>
      <c r="BC334" s="7">
        <f>IF(Y334=1,IF(ISNUMBER(T334),1,0),0)</f>
        <v/>
      </c>
      <c r="BD334" s="7">
        <f>IF(Y334=1,AQ334+ROW()/1E9,-1E9)</f>
        <v/>
      </c>
      <c r="BE334" s="7">
        <f>IF(Y334=1,AQ334+ROW()/1E9,1E9)</f>
        <v/>
      </c>
    </row>
    <row r="335">
      <c r="A335" s="16" t="n"/>
      <c r="B335" s="8">
        <f>IF($A335="","",BDP($A335,B$3))</f>
        <v/>
      </c>
      <c r="C335" s="8">
        <f>IF($A335="","",BDP($A335,C$3))</f>
        <v/>
      </c>
      <c r="D335" s="28">
        <f>IF($A335="","",BDP($A335,D$3))</f>
        <v/>
      </c>
      <c r="E335" s="29">
        <f>IF($A335="","",BDP($A335,E$3))</f>
        <v/>
      </c>
      <c r="F335" s="17">
        <f>IF($A335="","",BDP($A335,F$3))</f>
        <v/>
      </c>
      <c r="G335" s="8">
        <f>IF($A335="","",BDP($A335,G$3))</f>
        <v/>
      </c>
      <c r="H335" s="8">
        <f>IF($A335="","",BDP($A335,H$3))</f>
        <v/>
      </c>
      <c r="I335" s="8">
        <f>IF($A335="","",BDP($A335,I$3))</f>
        <v/>
      </c>
      <c r="J335" s="8">
        <f>IF($A335="","",BDP($A335,J$3))</f>
        <v/>
      </c>
      <c r="K335" s="8">
        <f>IF($A335="","",BDP($A335,K$3))</f>
        <v/>
      </c>
      <c r="L335" s="28">
        <f>IF($A335="","",BDP($A335,L$3))</f>
        <v/>
      </c>
      <c r="M335" s="28">
        <f>IF($A335="","",BDP($A335,M$3))</f>
        <v/>
      </c>
      <c r="N335" s="30">
        <f>IF($A335="","",BDP($A335,N$3))</f>
        <v/>
      </c>
      <c r="O335" s="31">
        <f>IF($A335="","",BDP($A335,O$3))</f>
        <v/>
      </c>
      <c r="P335" s="30">
        <f>IF($A335="","",BDH($A335,$N$3,'參數'!$B$5,'參數'!$B$5,"Days=A","Fill=P","Dates=H"))</f>
        <v/>
      </c>
      <c r="Q335" s="30">
        <f>IF($A335="","",BDH($A335,$N$3,'參數'!$B$6,'參數'!$B$6,"Days=A","Fill=P","Dates=H"))</f>
        <v/>
      </c>
      <c r="R335" s="30">
        <f>IF($A335="","",BDH($A335,$N$3,'參數'!$B$7,'參數'!$B$7,"Days=A","Fill=P","Dates=H"))</f>
        <v/>
      </c>
      <c r="S335" s="32">
        <f>IF($A335="","",IFERROR(INDEX('發行人'!$A$5:$A$44,MATCH(B335,'發行人'!$D$5:$D$44,0)),"未對應"))</f>
        <v/>
      </c>
      <c r="T335" s="24">
        <f>IF($A335="","",IFERROR(INDEX('發行人'!$G$5:$G$44,MATCH(B335,'發行人'!$D$5:$D$44,0))+0,""))</f>
        <v/>
      </c>
      <c r="U335" s="18">
        <f>IF(ISNUMBER(E335),YEARFRAC('參數'!$B$4,E335),"")</f>
        <v/>
      </c>
      <c r="V335" s="8">
        <f>IF(U335="","",IF(U335&lt;3,"1-3y",IF(U335&lt;5,"3-5y",IF(U335&lt;7,"5-7y",IF(U335&lt;10,"7-10y","10y+")))))</f>
        <v/>
      </c>
      <c r="W335" s="30">
        <f>IF($A335="","",IFERROR(INDEX('參數'!$B$24:$B$45,MATCH(G335,'參數'!$A$24:$A$45,0)),""))</f>
        <v/>
      </c>
      <c r="X335" s="8">
        <f>IF($A335="","",IFERROR(INDEX('參數'!$C$24:$C$45,MATCH(G335,'參數'!$A$24:$A$45,0)),""))</f>
        <v/>
      </c>
      <c r="Y335" s="30">
        <f>IF(AND(ISNUMBER(N335),ISNUMBER(O335),ISNUMBER(U335)),IF(AND(O335&gt;0,X335&lt;&gt;""),1,0),0)</f>
        <v/>
      </c>
      <c r="Z335" s="17">
        <f>IF(Y335=1,O335*N335,"")</f>
        <v/>
      </c>
      <c r="AA335" s="33">
        <f>IF(Y335=1,IF(ISNUMBER(Q335),N335-Q335,""),"")</f>
        <v/>
      </c>
      <c r="AB335" s="33">
        <f>IF(Y335=1,IF(AND(ISNUMBER(P335),ISNUMBER(R335)),R335*5/12-O335*(P335-R335),""),"")</f>
        <v/>
      </c>
      <c r="AC335" s="30">
        <f>IF(Y335=1,COUNTIFS($X$5:$X$404,X335,$V$5:$V$404,V335,$Y$5:$Y$404,1),"")</f>
        <v/>
      </c>
      <c r="AD335" s="30">
        <f>IF(Y335=1,IFERROR(IF(AC335&gt;='參數'!$B$9,INDEX('分群統計'!$G$13:$K$16,MATCH(X335,'分群統計'!$A$13:$A$16,0),MATCH(V335,'分群統計'!$G$12:$K$12,0)),INDEX('分群統計'!$I$5:$I$8,MATCH(X335,'分群統計'!$A$5:$A$8,0))),""),"")</f>
        <v/>
      </c>
      <c r="AE335" s="18">
        <f>IF(Y335=1,IFERROR(IF(AC335&gt;='參數'!$B$9,INDEX('分群統計'!$L$13:$P$16,MATCH(X335,'分群統計'!$A$13:$A$16,0),MATCH(V335,'分群統計'!$L$12:$P$12,0)),INDEX('分群統計'!$J$5:$J$8,MATCH(X335,'分群統計'!$A$5:$A$8,0))),""),"")</f>
        <v/>
      </c>
      <c r="AF335" s="31">
        <f>IF(ISNUMBER(AE335),IF(AE335&gt;0,MAX(-3,MIN(3,(N335-AD335)/AE335)),0),"")</f>
        <v/>
      </c>
      <c r="AG335" s="30">
        <f>IF(Y335=1,COUNTIFS($B$5:$B$404,B335,$Y$5:$Y$404,1),"")</f>
        <v/>
      </c>
      <c r="AH335" s="30">
        <f>IF(Y335=1,IFERROR(IF(ISNUMBER(INDEX('分群統計'!$G$20:$G$59,MATCH(B335,'分群統計'!$A$20:$A$59,0))),INDEX('分群統計'!$H$20:$H$59,MATCH(B335,'分群統計'!$A$20:$A$59,0))+INDEX('分群統計'!$G$20:$G$59,MATCH(B335,'分群統計'!$A$20:$A$59,0))*AU335,""),""),"")</f>
        <v/>
      </c>
      <c r="AI335" s="34">
        <f>IF(ISNUMBER(AH335),N335-AH335,"")</f>
        <v/>
      </c>
      <c r="AJ335" s="30">
        <f>IF(Y335=1,IFERROR(IF(ISNUMBER(INDEX('分群統計'!$G$5:$G$8,MATCH(X335,'分群統計'!$A$5:$A$8,0))),INDEX('分群統計'!$H$5:$H$8,MATCH(X335,'分群統計'!$A$5:$A$8,0))+INDEX('分群統計'!$G$5:$G$8,MATCH(X335,'分群統計'!$A$5:$A$8,0))*AU335,""),""),"")</f>
        <v/>
      </c>
      <c r="AK335" s="34">
        <f>IF(ISNUMBER(AJ335),N335-AJ335,"")</f>
        <v/>
      </c>
      <c r="AL335" s="21">
        <f>IF(ISNUMBER(AJ335),IF(AJ335&gt;0,AK335/AJ335,""),"")</f>
        <v/>
      </c>
      <c r="AM335" s="31">
        <f>IF(AY335&lt;&gt;1,"",IFERROR(IF(INDEX('分群統計'!$K$5:$K$8,MATCH(X335,'分群統計'!$A$5:$A$8,0))&lt;3,"",IF(INDEX('分群統計'!$M$5:$M$8,MATCH(X335,'分群統計'!$A$5:$A$8,0))&gt;0,MAX(-3,MIN(3,(AX335-INDEX('分群統計'!$L$5:$L$8,MATCH(X335,'分群統計'!$A$5:$A$8,0)))/INDEX('分群統計'!$M$5:$M$8,MATCH(X335,'分群統計'!$A$5:$A$8,0)))),0)),""))</f>
        <v/>
      </c>
      <c r="AN335" s="31">
        <f>IF(ISNUMBER(AB335),IF(Z335&gt;0,AB335/Z335*100,""),"")</f>
        <v/>
      </c>
      <c r="AO335" s="31">
        <f>IF(BA335&lt;&gt;1,"",IFERROR(IF(INDEX('分群統計'!$N$5:$N$8,MATCH(X335,'分群統計'!$A$5:$A$8,0))&lt;3,"",IF(INDEX('分群統計'!$P$5:$P$8,MATCH(X335,'分群統計'!$A$5:$A$8,0))&gt;0,MAX(-3,MIN(3,(AZ335-INDEX('分群統計'!$O$5:$O$8,MATCH(X335,'分群統計'!$A$5:$A$8,0)))/INDEX('分群統計'!$P$5:$P$8,MATCH(X335,'分群統計'!$A$5:$A$8,0)))),0)),""))</f>
        <v/>
      </c>
      <c r="AP335" s="31">
        <f>IF(BC335&lt;&gt;1,"",IFERROR(IF(INDEX('分群統計'!$Q$5:$Q$8,MATCH(X335,'分群統計'!$A$5:$A$8,0))&lt;3,"",IF(INDEX('分群統計'!$S$5:$S$8,MATCH(X335,'分群統計'!$A$5:$A$8,0))&gt;0,MAX(-3,MIN(3,(BB335-INDEX('分群統計'!$R$5:$R$8,MATCH(X335,'分群統計'!$A$5:$A$8,0)))/INDEX('分群統計'!$S$5:$S$8,MATCH(X335,'分群統計'!$A$5:$A$8,0)))),0)),""))</f>
        <v/>
      </c>
      <c r="AQ335" s="31">
        <f>IF(Y335=1,(IF(ISNUMBER(AF335),AF335,0)*'參數'!$B$13+IF(ISNUMBER(AM335),AM335,0)*'參數'!$B$14+IF(ISNUMBER(AO335),AO335,0)*'參數'!$B$15+IF(ISNUMBER(AP335),AP335,0)*'參數'!$B$16)/('參數'!$B$13+'參數'!$B$14+'參數'!$B$15+'參數'!$B$16),"")</f>
        <v/>
      </c>
      <c r="AR335" s="35">
        <f>IF(Y335=1,(SUMPRODUCT(($X$5:$X$404=X335)*($Y$5:$Y$404=1)*($BD$5:$BD$404&gt;BD335))+1)/COUNTIFS($X$5:$X$404,X335,$Y$5:$Y$404,1),"")</f>
        <v/>
      </c>
      <c r="AS335" s="8">
        <f>IF(ISNUMBER(AR335),IF(AR335&lt;='參數'!$B$18,"加碼候選",IF(AR335&gt;'參數'!$B$19,"減碼候選","")),"")</f>
        <v/>
      </c>
      <c r="AT335" s="7">
        <f>IF(Y335=1,N335,0)</f>
        <v/>
      </c>
      <c r="AU335" s="7">
        <f>IF(Y335=1,LN(O335),0)</f>
        <v/>
      </c>
      <c r="AV335" s="36">
        <f>IF(Y335=1,IF(ISNUMBER(F335),F335,0),0)</f>
        <v/>
      </c>
      <c r="AW335" s="7">
        <f>IF(Y335=1,Z335,0)</f>
        <v/>
      </c>
      <c r="AX335" s="7">
        <f>IF(Y335=1,IF(ISNUMBER(AL335),AL335,0),0)</f>
        <v/>
      </c>
      <c r="AY335" s="7">
        <f>IF(Y335=1,IF(ISNUMBER(AL335),1,0),0)</f>
        <v/>
      </c>
      <c r="AZ335" s="7">
        <f>IF(Y335=1,IF(ISNUMBER(AN335),AN335,0),0)</f>
        <v/>
      </c>
      <c r="BA335" s="7">
        <f>IF(Y335=1,IF(ISNUMBER(AN335),1,0),0)</f>
        <v/>
      </c>
      <c r="BB335" s="7">
        <f>IF(Y335=1,IF(ISNUMBER(T335),T335,0),0)</f>
        <v/>
      </c>
      <c r="BC335" s="7">
        <f>IF(Y335=1,IF(ISNUMBER(T335),1,0),0)</f>
        <v/>
      </c>
      <c r="BD335" s="7">
        <f>IF(Y335=1,AQ335+ROW()/1E9,-1E9)</f>
        <v/>
      </c>
      <c r="BE335" s="7">
        <f>IF(Y335=1,AQ335+ROW()/1E9,1E9)</f>
        <v/>
      </c>
    </row>
    <row r="336">
      <c r="A336" s="16" t="n"/>
      <c r="B336" s="8">
        <f>IF($A336="","",BDP($A336,B$3))</f>
        <v/>
      </c>
      <c r="C336" s="8">
        <f>IF($A336="","",BDP($A336,C$3))</f>
        <v/>
      </c>
      <c r="D336" s="28">
        <f>IF($A336="","",BDP($A336,D$3))</f>
        <v/>
      </c>
      <c r="E336" s="29">
        <f>IF($A336="","",BDP($A336,E$3))</f>
        <v/>
      </c>
      <c r="F336" s="17">
        <f>IF($A336="","",BDP($A336,F$3))</f>
        <v/>
      </c>
      <c r="G336" s="8">
        <f>IF($A336="","",BDP($A336,G$3))</f>
        <v/>
      </c>
      <c r="H336" s="8">
        <f>IF($A336="","",BDP($A336,H$3))</f>
        <v/>
      </c>
      <c r="I336" s="8">
        <f>IF($A336="","",BDP($A336,I$3))</f>
        <v/>
      </c>
      <c r="J336" s="8">
        <f>IF($A336="","",BDP($A336,J$3))</f>
        <v/>
      </c>
      <c r="K336" s="8">
        <f>IF($A336="","",BDP($A336,K$3))</f>
        <v/>
      </c>
      <c r="L336" s="28">
        <f>IF($A336="","",BDP($A336,L$3))</f>
        <v/>
      </c>
      <c r="M336" s="28">
        <f>IF($A336="","",BDP($A336,M$3))</f>
        <v/>
      </c>
      <c r="N336" s="30">
        <f>IF($A336="","",BDP($A336,N$3))</f>
        <v/>
      </c>
      <c r="O336" s="31">
        <f>IF($A336="","",BDP($A336,O$3))</f>
        <v/>
      </c>
      <c r="P336" s="30">
        <f>IF($A336="","",BDH($A336,$N$3,'參數'!$B$5,'參數'!$B$5,"Days=A","Fill=P","Dates=H"))</f>
        <v/>
      </c>
      <c r="Q336" s="30">
        <f>IF($A336="","",BDH($A336,$N$3,'參數'!$B$6,'參數'!$B$6,"Days=A","Fill=P","Dates=H"))</f>
        <v/>
      </c>
      <c r="R336" s="30">
        <f>IF($A336="","",BDH($A336,$N$3,'參數'!$B$7,'參數'!$B$7,"Days=A","Fill=P","Dates=H"))</f>
        <v/>
      </c>
      <c r="S336" s="32">
        <f>IF($A336="","",IFERROR(INDEX('發行人'!$A$5:$A$44,MATCH(B336,'發行人'!$D$5:$D$44,0)),"未對應"))</f>
        <v/>
      </c>
      <c r="T336" s="24">
        <f>IF($A336="","",IFERROR(INDEX('發行人'!$G$5:$G$44,MATCH(B336,'發行人'!$D$5:$D$44,0))+0,""))</f>
        <v/>
      </c>
      <c r="U336" s="18">
        <f>IF(ISNUMBER(E336),YEARFRAC('參數'!$B$4,E336),"")</f>
        <v/>
      </c>
      <c r="V336" s="8">
        <f>IF(U336="","",IF(U336&lt;3,"1-3y",IF(U336&lt;5,"3-5y",IF(U336&lt;7,"5-7y",IF(U336&lt;10,"7-10y","10y+")))))</f>
        <v/>
      </c>
      <c r="W336" s="30">
        <f>IF($A336="","",IFERROR(INDEX('參數'!$B$24:$B$45,MATCH(G336,'參數'!$A$24:$A$45,0)),""))</f>
        <v/>
      </c>
      <c r="X336" s="8">
        <f>IF($A336="","",IFERROR(INDEX('參數'!$C$24:$C$45,MATCH(G336,'參數'!$A$24:$A$45,0)),""))</f>
        <v/>
      </c>
      <c r="Y336" s="30">
        <f>IF(AND(ISNUMBER(N336),ISNUMBER(O336),ISNUMBER(U336)),IF(AND(O336&gt;0,X336&lt;&gt;""),1,0),0)</f>
        <v/>
      </c>
      <c r="Z336" s="17">
        <f>IF(Y336=1,O336*N336,"")</f>
        <v/>
      </c>
      <c r="AA336" s="33">
        <f>IF(Y336=1,IF(ISNUMBER(Q336),N336-Q336,""),"")</f>
        <v/>
      </c>
      <c r="AB336" s="33">
        <f>IF(Y336=1,IF(AND(ISNUMBER(P336),ISNUMBER(R336)),R336*5/12-O336*(P336-R336),""),"")</f>
        <v/>
      </c>
      <c r="AC336" s="30">
        <f>IF(Y336=1,COUNTIFS($X$5:$X$404,X336,$V$5:$V$404,V336,$Y$5:$Y$404,1),"")</f>
        <v/>
      </c>
      <c r="AD336" s="30">
        <f>IF(Y336=1,IFERROR(IF(AC336&gt;='參數'!$B$9,INDEX('分群統計'!$G$13:$K$16,MATCH(X336,'分群統計'!$A$13:$A$16,0),MATCH(V336,'分群統計'!$G$12:$K$12,0)),INDEX('分群統計'!$I$5:$I$8,MATCH(X336,'分群統計'!$A$5:$A$8,0))),""),"")</f>
        <v/>
      </c>
      <c r="AE336" s="18">
        <f>IF(Y336=1,IFERROR(IF(AC336&gt;='參數'!$B$9,INDEX('分群統計'!$L$13:$P$16,MATCH(X336,'分群統計'!$A$13:$A$16,0),MATCH(V336,'分群統計'!$L$12:$P$12,0)),INDEX('分群統計'!$J$5:$J$8,MATCH(X336,'分群統計'!$A$5:$A$8,0))),""),"")</f>
        <v/>
      </c>
      <c r="AF336" s="31">
        <f>IF(ISNUMBER(AE336),IF(AE336&gt;0,MAX(-3,MIN(3,(N336-AD336)/AE336)),0),"")</f>
        <v/>
      </c>
      <c r="AG336" s="30">
        <f>IF(Y336=1,COUNTIFS($B$5:$B$404,B336,$Y$5:$Y$404,1),"")</f>
        <v/>
      </c>
      <c r="AH336" s="30">
        <f>IF(Y336=1,IFERROR(IF(ISNUMBER(INDEX('分群統計'!$G$20:$G$59,MATCH(B336,'分群統計'!$A$20:$A$59,0))),INDEX('分群統計'!$H$20:$H$59,MATCH(B336,'分群統計'!$A$20:$A$59,0))+INDEX('分群統計'!$G$20:$G$59,MATCH(B336,'分群統計'!$A$20:$A$59,0))*AU336,""),""),"")</f>
        <v/>
      </c>
      <c r="AI336" s="34">
        <f>IF(ISNUMBER(AH336),N336-AH336,"")</f>
        <v/>
      </c>
      <c r="AJ336" s="30">
        <f>IF(Y336=1,IFERROR(IF(ISNUMBER(INDEX('分群統計'!$G$5:$G$8,MATCH(X336,'分群統計'!$A$5:$A$8,0))),INDEX('分群統計'!$H$5:$H$8,MATCH(X336,'分群統計'!$A$5:$A$8,0))+INDEX('分群統計'!$G$5:$G$8,MATCH(X336,'分群統計'!$A$5:$A$8,0))*AU336,""),""),"")</f>
        <v/>
      </c>
      <c r="AK336" s="34">
        <f>IF(ISNUMBER(AJ336),N336-AJ336,"")</f>
        <v/>
      </c>
      <c r="AL336" s="21">
        <f>IF(ISNUMBER(AJ336),IF(AJ336&gt;0,AK336/AJ336,""),"")</f>
        <v/>
      </c>
      <c r="AM336" s="31">
        <f>IF(AY336&lt;&gt;1,"",IFERROR(IF(INDEX('分群統計'!$K$5:$K$8,MATCH(X336,'分群統計'!$A$5:$A$8,0))&lt;3,"",IF(INDEX('分群統計'!$M$5:$M$8,MATCH(X336,'分群統計'!$A$5:$A$8,0))&gt;0,MAX(-3,MIN(3,(AX336-INDEX('分群統計'!$L$5:$L$8,MATCH(X336,'分群統計'!$A$5:$A$8,0)))/INDEX('分群統計'!$M$5:$M$8,MATCH(X336,'分群統計'!$A$5:$A$8,0)))),0)),""))</f>
        <v/>
      </c>
      <c r="AN336" s="31">
        <f>IF(ISNUMBER(AB336),IF(Z336&gt;0,AB336/Z336*100,""),"")</f>
        <v/>
      </c>
      <c r="AO336" s="31">
        <f>IF(BA336&lt;&gt;1,"",IFERROR(IF(INDEX('分群統計'!$N$5:$N$8,MATCH(X336,'分群統計'!$A$5:$A$8,0))&lt;3,"",IF(INDEX('分群統計'!$P$5:$P$8,MATCH(X336,'分群統計'!$A$5:$A$8,0))&gt;0,MAX(-3,MIN(3,(AZ336-INDEX('分群統計'!$O$5:$O$8,MATCH(X336,'分群統計'!$A$5:$A$8,0)))/INDEX('分群統計'!$P$5:$P$8,MATCH(X336,'分群統計'!$A$5:$A$8,0)))),0)),""))</f>
        <v/>
      </c>
      <c r="AP336" s="31">
        <f>IF(BC336&lt;&gt;1,"",IFERROR(IF(INDEX('分群統計'!$Q$5:$Q$8,MATCH(X336,'分群統計'!$A$5:$A$8,0))&lt;3,"",IF(INDEX('分群統計'!$S$5:$S$8,MATCH(X336,'分群統計'!$A$5:$A$8,0))&gt;0,MAX(-3,MIN(3,(BB336-INDEX('分群統計'!$R$5:$R$8,MATCH(X336,'分群統計'!$A$5:$A$8,0)))/INDEX('分群統計'!$S$5:$S$8,MATCH(X336,'分群統計'!$A$5:$A$8,0)))),0)),""))</f>
        <v/>
      </c>
      <c r="AQ336" s="31">
        <f>IF(Y336=1,(IF(ISNUMBER(AF336),AF336,0)*'參數'!$B$13+IF(ISNUMBER(AM336),AM336,0)*'參數'!$B$14+IF(ISNUMBER(AO336),AO336,0)*'參數'!$B$15+IF(ISNUMBER(AP336),AP336,0)*'參數'!$B$16)/('參數'!$B$13+'參數'!$B$14+'參數'!$B$15+'參數'!$B$16),"")</f>
        <v/>
      </c>
      <c r="AR336" s="35">
        <f>IF(Y336=1,(SUMPRODUCT(($X$5:$X$404=X336)*($Y$5:$Y$404=1)*($BD$5:$BD$404&gt;BD336))+1)/COUNTIFS($X$5:$X$404,X336,$Y$5:$Y$404,1),"")</f>
        <v/>
      </c>
      <c r="AS336" s="8">
        <f>IF(ISNUMBER(AR336),IF(AR336&lt;='參數'!$B$18,"加碼候選",IF(AR336&gt;'參數'!$B$19,"減碼候選","")),"")</f>
        <v/>
      </c>
      <c r="AT336" s="7">
        <f>IF(Y336=1,N336,0)</f>
        <v/>
      </c>
      <c r="AU336" s="7">
        <f>IF(Y336=1,LN(O336),0)</f>
        <v/>
      </c>
      <c r="AV336" s="36">
        <f>IF(Y336=1,IF(ISNUMBER(F336),F336,0),0)</f>
        <v/>
      </c>
      <c r="AW336" s="7">
        <f>IF(Y336=1,Z336,0)</f>
        <v/>
      </c>
      <c r="AX336" s="7">
        <f>IF(Y336=1,IF(ISNUMBER(AL336),AL336,0),0)</f>
        <v/>
      </c>
      <c r="AY336" s="7">
        <f>IF(Y336=1,IF(ISNUMBER(AL336),1,0),0)</f>
        <v/>
      </c>
      <c r="AZ336" s="7">
        <f>IF(Y336=1,IF(ISNUMBER(AN336),AN336,0),0)</f>
        <v/>
      </c>
      <c r="BA336" s="7">
        <f>IF(Y336=1,IF(ISNUMBER(AN336),1,0),0)</f>
        <v/>
      </c>
      <c r="BB336" s="7">
        <f>IF(Y336=1,IF(ISNUMBER(T336),T336,0),0)</f>
        <v/>
      </c>
      <c r="BC336" s="7">
        <f>IF(Y336=1,IF(ISNUMBER(T336),1,0),0)</f>
        <v/>
      </c>
      <c r="BD336" s="7">
        <f>IF(Y336=1,AQ336+ROW()/1E9,-1E9)</f>
        <v/>
      </c>
      <c r="BE336" s="7">
        <f>IF(Y336=1,AQ336+ROW()/1E9,1E9)</f>
        <v/>
      </c>
    </row>
    <row r="337">
      <c r="A337" s="16" t="n"/>
      <c r="B337" s="8">
        <f>IF($A337="","",BDP($A337,B$3))</f>
        <v/>
      </c>
      <c r="C337" s="8">
        <f>IF($A337="","",BDP($A337,C$3))</f>
        <v/>
      </c>
      <c r="D337" s="28">
        <f>IF($A337="","",BDP($A337,D$3))</f>
        <v/>
      </c>
      <c r="E337" s="29">
        <f>IF($A337="","",BDP($A337,E$3))</f>
        <v/>
      </c>
      <c r="F337" s="17">
        <f>IF($A337="","",BDP($A337,F$3))</f>
        <v/>
      </c>
      <c r="G337" s="8">
        <f>IF($A337="","",BDP($A337,G$3))</f>
        <v/>
      </c>
      <c r="H337" s="8">
        <f>IF($A337="","",BDP($A337,H$3))</f>
        <v/>
      </c>
      <c r="I337" s="8">
        <f>IF($A337="","",BDP($A337,I$3))</f>
        <v/>
      </c>
      <c r="J337" s="8">
        <f>IF($A337="","",BDP($A337,J$3))</f>
        <v/>
      </c>
      <c r="K337" s="8">
        <f>IF($A337="","",BDP($A337,K$3))</f>
        <v/>
      </c>
      <c r="L337" s="28">
        <f>IF($A337="","",BDP($A337,L$3))</f>
        <v/>
      </c>
      <c r="M337" s="28">
        <f>IF($A337="","",BDP($A337,M$3))</f>
        <v/>
      </c>
      <c r="N337" s="30">
        <f>IF($A337="","",BDP($A337,N$3))</f>
        <v/>
      </c>
      <c r="O337" s="31">
        <f>IF($A337="","",BDP($A337,O$3))</f>
        <v/>
      </c>
      <c r="P337" s="30">
        <f>IF($A337="","",BDH($A337,$N$3,'參數'!$B$5,'參數'!$B$5,"Days=A","Fill=P","Dates=H"))</f>
        <v/>
      </c>
      <c r="Q337" s="30">
        <f>IF($A337="","",BDH($A337,$N$3,'參數'!$B$6,'參數'!$B$6,"Days=A","Fill=P","Dates=H"))</f>
        <v/>
      </c>
      <c r="R337" s="30">
        <f>IF($A337="","",BDH($A337,$N$3,'參數'!$B$7,'參數'!$B$7,"Days=A","Fill=P","Dates=H"))</f>
        <v/>
      </c>
      <c r="S337" s="32">
        <f>IF($A337="","",IFERROR(INDEX('發行人'!$A$5:$A$44,MATCH(B337,'發行人'!$D$5:$D$44,0)),"未對應"))</f>
        <v/>
      </c>
      <c r="T337" s="24">
        <f>IF($A337="","",IFERROR(INDEX('發行人'!$G$5:$G$44,MATCH(B337,'發行人'!$D$5:$D$44,0))+0,""))</f>
        <v/>
      </c>
      <c r="U337" s="18">
        <f>IF(ISNUMBER(E337),YEARFRAC('參數'!$B$4,E337),"")</f>
        <v/>
      </c>
      <c r="V337" s="8">
        <f>IF(U337="","",IF(U337&lt;3,"1-3y",IF(U337&lt;5,"3-5y",IF(U337&lt;7,"5-7y",IF(U337&lt;10,"7-10y","10y+")))))</f>
        <v/>
      </c>
      <c r="W337" s="30">
        <f>IF($A337="","",IFERROR(INDEX('參數'!$B$24:$B$45,MATCH(G337,'參數'!$A$24:$A$45,0)),""))</f>
        <v/>
      </c>
      <c r="X337" s="8">
        <f>IF($A337="","",IFERROR(INDEX('參數'!$C$24:$C$45,MATCH(G337,'參數'!$A$24:$A$45,0)),""))</f>
        <v/>
      </c>
      <c r="Y337" s="30">
        <f>IF(AND(ISNUMBER(N337),ISNUMBER(O337),ISNUMBER(U337)),IF(AND(O337&gt;0,X337&lt;&gt;""),1,0),0)</f>
        <v/>
      </c>
      <c r="Z337" s="17">
        <f>IF(Y337=1,O337*N337,"")</f>
        <v/>
      </c>
      <c r="AA337" s="33">
        <f>IF(Y337=1,IF(ISNUMBER(Q337),N337-Q337,""),"")</f>
        <v/>
      </c>
      <c r="AB337" s="33">
        <f>IF(Y337=1,IF(AND(ISNUMBER(P337),ISNUMBER(R337)),R337*5/12-O337*(P337-R337),""),"")</f>
        <v/>
      </c>
      <c r="AC337" s="30">
        <f>IF(Y337=1,COUNTIFS($X$5:$X$404,X337,$V$5:$V$404,V337,$Y$5:$Y$404,1),"")</f>
        <v/>
      </c>
      <c r="AD337" s="30">
        <f>IF(Y337=1,IFERROR(IF(AC337&gt;='參數'!$B$9,INDEX('分群統計'!$G$13:$K$16,MATCH(X337,'分群統計'!$A$13:$A$16,0),MATCH(V337,'分群統計'!$G$12:$K$12,0)),INDEX('分群統計'!$I$5:$I$8,MATCH(X337,'分群統計'!$A$5:$A$8,0))),""),"")</f>
        <v/>
      </c>
      <c r="AE337" s="18">
        <f>IF(Y337=1,IFERROR(IF(AC337&gt;='參數'!$B$9,INDEX('分群統計'!$L$13:$P$16,MATCH(X337,'分群統計'!$A$13:$A$16,0),MATCH(V337,'分群統計'!$L$12:$P$12,0)),INDEX('分群統計'!$J$5:$J$8,MATCH(X337,'分群統計'!$A$5:$A$8,0))),""),"")</f>
        <v/>
      </c>
      <c r="AF337" s="31">
        <f>IF(ISNUMBER(AE337),IF(AE337&gt;0,MAX(-3,MIN(3,(N337-AD337)/AE337)),0),"")</f>
        <v/>
      </c>
      <c r="AG337" s="30">
        <f>IF(Y337=1,COUNTIFS($B$5:$B$404,B337,$Y$5:$Y$404,1),"")</f>
        <v/>
      </c>
      <c r="AH337" s="30">
        <f>IF(Y337=1,IFERROR(IF(ISNUMBER(INDEX('分群統計'!$G$20:$G$59,MATCH(B337,'分群統計'!$A$20:$A$59,0))),INDEX('分群統計'!$H$20:$H$59,MATCH(B337,'分群統計'!$A$20:$A$59,0))+INDEX('分群統計'!$G$20:$G$59,MATCH(B337,'分群統計'!$A$20:$A$59,0))*AU337,""),""),"")</f>
        <v/>
      </c>
      <c r="AI337" s="34">
        <f>IF(ISNUMBER(AH337),N337-AH337,"")</f>
        <v/>
      </c>
      <c r="AJ337" s="30">
        <f>IF(Y337=1,IFERROR(IF(ISNUMBER(INDEX('分群統計'!$G$5:$G$8,MATCH(X337,'分群統計'!$A$5:$A$8,0))),INDEX('分群統計'!$H$5:$H$8,MATCH(X337,'分群統計'!$A$5:$A$8,0))+INDEX('分群統計'!$G$5:$G$8,MATCH(X337,'分群統計'!$A$5:$A$8,0))*AU337,""),""),"")</f>
        <v/>
      </c>
      <c r="AK337" s="34">
        <f>IF(ISNUMBER(AJ337),N337-AJ337,"")</f>
        <v/>
      </c>
      <c r="AL337" s="21">
        <f>IF(ISNUMBER(AJ337),IF(AJ337&gt;0,AK337/AJ337,""),"")</f>
        <v/>
      </c>
      <c r="AM337" s="31">
        <f>IF(AY337&lt;&gt;1,"",IFERROR(IF(INDEX('分群統計'!$K$5:$K$8,MATCH(X337,'分群統計'!$A$5:$A$8,0))&lt;3,"",IF(INDEX('分群統計'!$M$5:$M$8,MATCH(X337,'分群統計'!$A$5:$A$8,0))&gt;0,MAX(-3,MIN(3,(AX337-INDEX('分群統計'!$L$5:$L$8,MATCH(X337,'分群統計'!$A$5:$A$8,0)))/INDEX('分群統計'!$M$5:$M$8,MATCH(X337,'分群統計'!$A$5:$A$8,0)))),0)),""))</f>
        <v/>
      </c>
      <c r="AN337" s="31">
        <f>IF(ISNUMBER(AB337),IF(Z337&gt;0,AB337/Z337*100,""),"")</f>
        <v/>
      </c>
      <c r="AO337" s="31">
        <f>IF(BA337&lt;&gt;1,"",IFERROR(IF(INDEX('分群統計'!$N$5:$N$8,MATCH(X337,'分群統計'!$A$5:$A$8,0))&lt;3,"",IF(INDEX('分群統計'!$P$5:$P$8,MATCH(X337,'分群統計'!$A$5:$A$8,0))&gt;0,MAX(-3,MIN(3,(AZ337-INDEX('分群統計'!$O$5:$O$8,MATCH(X337,'分群統計'!$A$5:$A$8,0)))/INDEX('分群統計'!$P$5:$P$8,MATCH(X337,'分群統計'!$A$5:$A$8,0)))),0)),""))</f>
        <v/>
      </c>
      <c r="AP337" s="31">
        <f>IF(BC337&lt;&gt;1,"",IFERROR(IF(INDEX('分群統計'!$Q$5:$Q$8,MATCH(X337,'分群統計'!$A$5:$A$8,0))&lt;3,"",IF(INDEX('分群統計'!$S$5:$S$8,MATCH(X337,'分群統計'!$A$5:$A$8,0))&gt;0,MAX(-3,MIN(3,(BB337-INDEX('分群統計'!$R$5:$R$8,MATCH(X337,'分群統計'!$A$5:$A$8,0)))/INDEX('分群統計'!$S$5:$S$8,MATCH(X337,'分群統計'!$A$5:$A$8,0)))),0)),""))</f>
        <v/>
      </c>
      <c r="AQ337" s="31">
        <f>IF(Y337=1,(IF(ISNUMBER(AF337),AF337,0)*'參數'!$B$13+IF(ISNUMBER(AM337),AM337,0)*'參數'!$B$14+IF(ISNUMBER(AO337),AO337,0)*'參數'!$B$15+IF(ISNUMBER(AP337),AP337,0)*'參數'!$B$16)/('參數'!$B$13+'參數'!$B$14+'參數'!$B$15+'參數'!$B$16),"")</f>
        <v/>
      </c>
      <c r="AR337" s="35">
        <f>IF(Y337=1,(SUMPRODUCT(($X$5:$X$404=X337)*($Y$5:$Y$404=1)*($BD$5:$BD$404&gt;BD337))+1)/COUNTIFS($X$5:$X$404,X337,$Y$5:$Y$404,1),"")</f>
        <v/>
      </c>
      <c r="AS337" s="8">
        <f>IF(ISNUMBER(AR337),IF(AR337&lt;='參數'!$B$18,"加碼候選",IF(AR337&gt;'參數'!$B$19,"減碼候選","")),"")</f>
        <v/>
      </c>
      <c r="AT337" s="7">
        <f>IF(Y337=1,N337,0)</f>
        <v/>
      </c>
      <c r="AU337" s="7">
        <f>IF(Y337=1,LN(O337),0)</f>
        <v/>
      </c>
      <c r="AV337" s="36">
        <f>IF(Y337=1,IF(ISNUMBER(F337),F337,0),0)</f>
        <v/>
      </c>
      <c r="AW337" s="7">
        <f>IF(Y337=1,Z337,0)</f>
        <v/>
      </c>
      <c r="AX337" s="7">
        <f>IF(Y337=1,IF(ISNUMBER(AL337),AL337,0),0)</f>
        <v/>
      </c>
      <c r="AY337" s="7">
        <f>IF(Y337=1,IF(ISNUMBER(AL337),1,0),0)</f>
        <v/>
      </c>
      <c r="AZ337" s="7">
        <f>IF(Y337=1,IF(ISNUMBER(AN337),AN337,0),0)</f>
        <v/>
      </c>
      <c r="BA337" s="7">
        <f>IF(Y337=1,IF(ISNUMBER(AN337),1,0),0)</f>
        <v/>
      </c>
      <c r="BB337" s="7">
        <f>IF(Y337=1,IF(ISNUMBER(T337),T337,0),0)</f>
        <v/>
      </c>
      <c r="BC337" s="7">
        <f>IF(Y337=1,IF(ISNUMBER(T337),1,0),0)</f>
        <v/>
      </c>
      <c r="BD337" s="7">
        <f>IF(Y337=1,AQ337+ROW()/1E9,-1E9)</f>
        <v/>
      </c>
      <c r="BE337" s="7">
        <f>IF(Y337=1,AQ337+ROW()/1E9,1E9)</f>
        <v/>
      </c>
    </row>
    <row r="338">
      <c r="A338" s="16" t="n"/>
      <c r="B338" s="8">
        <f>IF($A338="","",BDP($A338,B$3))</f>
        <v/>
      </c>
      <c r="C338" s="8">
        <f>IF($A338="","",BDP($A338,C$3))</f>
        <v/>
      </c>
      <c r="D338" s="28">
        <f>IF($A338="","",BDP($A338,D$3))</f>
        <v/>
      </c>
      <c r="E338" s="29">
        <f>IF($A338="","",BDP($A338,E$3))</f>
        <v/>
      </c>
      <c r="F338" s="17">
        <f>IF($A338="","",BDP($A338,F$3))</f>
        <v/>
      </c>
      <c r="G338" s="8">
        <f>IF($A338="","",BDP($A338,G$3))</f>
        <v/>
      </c>
      <c r="H338" s="8">
        <f>IF($A338="","",BDP($A338,H$3))</f>
        <v/>
      </c>
      <c r="I338" s="8">
        <f>IF($A338="","",BDP($A338,I$3))</f>
        <v/>
      </c>
      <c r="J338" s="8">
        <f>IF($A338="","",BDP($A338,J$3))</f>
        <v/>
      </c>
      <c r="K338" s="8">
        <f>IF($A338="","",BDP($A338,K$3))</f>
        <v/>
      </c>
      <c r="L338" s="28">
        <f>IF($A338="","",BDP($A338,L$3))</f>
        <v/>
      </c>
      <c r="M338" s="28">
        <f>IF($A338="","",BDP($A338,M$3))</f>
        <v/>
      </c>
      <c r="N338" s="30">
        <f>IF($A338="","",BDP($A338,N$3))</f>
        <v/>
      </c>
      <c r="O338" s="31">
        <f>IF($A338="","",BDP($A338,O$3))</f>
        <v/>
      </c>
      <c r="P338" s="30">
        <f>IF($A338="","",BDH($A338,$N$3,'參數'!$B$5,'參數'!$B$5,"Days=A","Fill=P","Dates=H"))</f>
        <v/>
      </c>
      <c r="Q338" s="30">
        <f>IF($A338="","",BDH($A338,$N$3,'參數'!$B$6,'參數'!$B$6,"Days=A","Fill=P","Dates=H"))</f>
        <v/>
      </c>
      <c r="R338" s="30">
        <f>IF($A338="","",BDH($A338,$N$3,'參數'!$B$7,'參數'!$B$7,"Days=A","Fill=P","Dates=H"))</f>
        <v/>
      </c>
      <c r="S338" s="32">
        <f>IF($A338="","",IFERROR(INDEX('發行人'!$A$5:$A$44,MATCH(B338,'發行人'!$D$5:$D$44,0)),"未對應"))</f>
        <v/>
      </c>
      <c r="T338" s="24">
        <f>IF($A338="","",IFERROR(INDEX('發行人'!$G$5:$G$44,MATCH(B338,'發行人'!$D$5:$D$44,0))+0,""))</f>
        <v/>
      </c>
      <c r="U338" s="18">
        <f>IF(ISNUMBER(E338),YEARFRAC('參數'!$B$4,E338),"")</f>
        <v/>
      </c>
      <c r="V338" s="8">
        <f>IF(U338="","",IF(U338&lt;3,"1-3y",IF(U338&lt;5,"3-5y",IF(U338&lt;7,"5-7y",IF(U338&lt;10,"7-10y","10y+")))))</f>
        <v/>
      </c>
      <c r="W338" s="30">
        <f>IF($A338="","",IFERROR(INDEX('參數'!$B$24:$B$45,MATCH(G338,'參數'!$A$24:$A$45,0)),""))</f>
        <v/>
      </c>
      <c r="X338" s="8">
        <f>IF($A338="","",IFERROR(INDEX('參數'!$C$24:$C$45,MATCH(G338,'參數'!$A$24:$A$45,0)),""))</f>
        <v/>
      </c>
      <c r="Y338" s="30">
        <f>IF(AND(ISNUMBER(N338),ISNUMBER(O338),ISNUMBER(U338)),IF(AND(O338&gt;0,X338&lt;&gt;""),1,0),0)</f>
        <v/>
      </c>
      <c r="Z338" s="17">
        <f>IF(Y338=1,O338*N338,"")</f>
        <v/>
      </c>
      <c r="AA338" s="33">
        <f>IF(Y338=1,IF(ISNUMBER(Q338),N338-Q338,""),"")</f>
        <v/>
      </c>
      <c r="AB338" s="33">
        <f>IF(Y338=1,IF(AND(ISNUMBER(P338),ISNUMBER(R338)),R338*5/12-O338*(P338-R338),""),"")</f>
        <v/>
      </c>
      <c r="AC338" s="30">
        <f>IF(Y338=1,COUNTIFS($X$5:$X$404,X338,$V$5:$V$404,V338,$Y$5:$Y$404,1),"")</f>
        <v/>
      </c>
      <c r="AD338" s="30">
        <f>IF(Y338=1,IFERROR(IF(AC338&gt;='參數'!$B$9,INDEX('分群統計'!$G$13:$K$16,MATCH(X338,'分群統計'!$A$13:$A$16,0),MATCH(V338,'分群統計'!$G$12:$K$12,0)),INDEX('分群統計'!$I$5:$I$8,MATCH(X338,'分群統計'!$A$5:$A$8,0))),""),"")</f>
        <v/>
      </c>
      <c r="AE338" s="18">
        <f>IF(Y338=1,IFERROR(IF(AC338&gt;='參數'!$B$9,INDEX('分群統計'!$L$13:$P$16,MATCH(X338,'分群統計'!$A$13:$A$16,0),MATCH(V338,'分群統計'!$L$12:$P$12,0)),INDEX('分群統計'!$J$5:$J$8,MATCH(X338,'分群統計'!$A$5:$A$8,0))),""),"")</f>
        <v/>
      </c>
      <c r="AF338" s="31">
        <f>IF(ISNUMBER(AE338),IF(AE338&gt;0,MAX(-3,MIN(3,(N338-AD338)/AE338)),0),"")</f>
        <v/>
      </c>
      <c r="AG338" s="30">
        <f>IF(Y338=1,COUNTIFS($B$5:$B$404,B338,$Y$5:$Y$404,1),"")</f>
        <v/>
      </c>
      <c r="AH338" s="30">
        <f>IF(Y338=1,IFERROR(IF(ISNUMBER(INDEX('分群統計'!$G$20:$G$59,MATCH(B338,'分群統計'!$A$20:$A$59,0))),INDEX('分群統計'!$H$20:$H$59,MATCH(B338,'分群統計'!$A$20:$A$59,0))+INDEX('分群統計'!$G$20:$G$59,MATCH(B338,'分群統計'!$A$20:$A$59,0))*AU338,""),""),"")</f>
        <v/>
      </c>
      <c r="AI338" s="34">
        <f>IF(ISNUMBER(AH338),N338-AH338,"")</f>
        <v/>
      </c>
      <c r="AJ338" s="30">
        <f>IF(Y338=1,IFERROR(IF(ISNUMBER(INDEX('分群統計'!$G$5:$G$8,MATCH(X338,'分群統計'!$A$5:$A$8,0))),INDEX('分群統計'!$H$5:$H$8,MATCH(X338,'分群統計'!$A$5:$A$8,0))+INDEX('分群統計'!$G$5:$G$8,MATCH(X338,'分群統計'!$A$5:$A$8,0))*AU338,""),""),"")</f>
        <v/>
      </c>
      <c r="AK338" s="34">
        <f>IF(ISNUMBER(AJ338),N338-AJ338,"")</f>
        <v/>
      </c>
      <c r="AL338" s="21">
        <f>IF(ISNUMBER(AJ338),IF(AJ338&gt;0,AK338/AJ338,""),"")</f>
        <v/>
      </c>
      <c r="AM338" s="31">
        <f>IF(AY338&lt;&gt;1,"",IFERROR(IF(INDEX('分群統計'!$K$5:$K$8,MATCH(X338,'分群統計'!$A$5:$A$8,0))&lt;3,"",IF(INDEX('分群統計'!$M$5:$M$8,MATCH(X338,'分群統計'!$A$5:$A$8,0))&gt;0,MAX(-3,MIN(3,(AX338-INDEX('分群統計'!$L$5:$L$8,MATCH(X338,'分群統計'!$A$5:$A$8,0)))/INDEX('分群統計'!$M$5:$M$8,MATCH(X338,'分群統計'!$A$5:$A$8,0)))),0)),""))</f>
        <v/>
      </c>
      <c r="AN338" s="31">
        <f>IF(ISNUMBER(AB338),IF(Z338&gt;0,AB338/Z338*100,""),"")</f>
        <v/>
      </c>
      <c r="AO338" s="31">
        <f>IF(BA338&lt;&gt;1,"",IFERROR(IF(INDEX('分群統計'!$N$5:$N$8,MATCH(X338,'分群統計'!$A$5:$A$8,0))&lt;3,"",IF(INDEX('分群統計'!$P$5:$P$8,MATCH(X338,'分群統計'!$A$5:$A$8,0))&gt;0,MAX(-3,MIN(3,(AZ338-INDEX('分群統計'!$O$5:$O$8,MATCH(X338,'分群統計'!$A$5:$A$8,0)))/INDEX('分群統計'!$P$5:$P$8,MATCH(X338,'分群統計'!$A$5:$A$8,0)))),0)),""))</f>
        <v/>
      </c>
      <c r="AP338" s="31">
        <f>IF(BC338&lt;&gt;1,"",IFERROR(IF(INDEX('分群統計'!$Q$5:$Q$8,MATCH(X338,'分群統計'!$A$5:$A$8,0))&lt;3,"",IF(INDEX('分群統計'!$S$5:$S$8,MATCH(X338,'分群統計'!$A$5:$A$8,0))&gt;0,MAX(-3,MIN(3,(BB338-INDEX('分群統計'!$R$5:$R$8,MATCH(X338,'分群統計'!$A$5:$A$8,0)))/INDEX('分群統計'!$S$5:$S$8,MATCH(X338,'分群統計'!$A$5:$A$8,0)))),0)),""))</f>
        <v/>
      </c>
      <c r="AQ338" s="31">
        <f>IF(Y338=1,(IF(ISNUMBER(AF338),AF338,0)*'參數'!$B$13+IF(ISNUMBER(AM338),AM338,0)*'參數'!$B$14+IF(ISNUMBER(AO338),AO338,0)*'參數'!$B$15+IF(ISNUMBER(AP338),AP338,0)*'參數'!$B$16)/('參數'!$B$13+'參數'!$B$14+'參數'!$B$15+'參數'!$B$16),"")</f>
        <v/>
      </c>
      <c r="AR338" s="35">
        <f>IF(Y338=1,(SUMPRODUCT(($X$5:$X$404=X338)*($Y$5:$Y$404=1)*($BD$5:$BD$404&gt;BD338))+1)/COUNTIFS($X$5:$X$404,X338,$Y$5:$Y$404,1),"")</f>
        <v/>
      </c>
      <c r="AS338" s="8">
        <f>IF(ISNUMBER(AR338),IF(AR338&lt;='參數'!$B$18,"加碼候選",IF(AR338&gt;'參數'!$B$19,"減碼候選","")),"")</f>
        <v/>
      </c>
      <c r="AT338" s="7">
        <f>IF(Y338=1,N338,0)</f>
        <v/>
      </c>
      <c r="AU338" s="7">
        <f>IF(Y338=1,LN(O338),0)</f>
        <v/>
      </c>
      <c r="AV338" s="36">
        <f>IF(Y338=1,IF(ISNUMBER(F338),F338,0),0)</f>
        <v/>
      </c>
      <c r="AW338" s="7">
        <f>IF(Y338=1,Z338,0)</f>
        <v/>
      </c>
      <c r="AX338" s="7">
        <f>IF(Y338=1,IF(ISNUMBER(AL338),AL338,0),0)</f>
        <v/>
      </c>
      <c r="AY338" s="7">
        <f>IF(Y338=1,IF(ISNUMBER(AL338),1,0),0)</f>
        <v/>
      </c>
      <c r="AZ338" s="7">
        <f>IF(Y338=1,IF(ISNUMBER(AN338),AN338,0),0)</f>
        <v/>
      </c>
      <c r="BA338" s="7">
        <f>IF(Y338=1,IF(ISNUMBER(AN338),1,0),0)</f>
        <v/>
      </c>
      <c r="BB338" s="7">
        <f>IF(Y338=1,IF(ISNUMBER(T338),T338,0),0)</f>
        <v/>
      </c>
      <c r="BC338" s="7">
        <f>IF(Y338=1,IF(ISNUMBER(T338),1,0),0)</f>
        <v/>
      </c>
      <c r="BD338" s="7">
        <f>IF(Y338=1,AQ338+ROW()/1E9,-1E9)</f>
        <v/>
      </c>
      <c r="BE338" s="7">
        <f>IF(Y338=1,AQ338+ROW()/1E9,1E9)</f>
        <v/>
      </c>
    </row>
    <row r="339">
      <c r="A339" s="16" t="n"/>
      <c r="B339" s="8">
        <f>IF($A339="","",BDP($A339,B$3))</f>
        <v/>
      </c>
      <c r="C339" s="8">
        <f>IF($A339="","",BDP($A339,C$3))</f>
        <v/>
      </c>
      <c r="D339" s="28">
        <f>IF($A339="","",BDP($A339,D$3))</f>
        <v/>
      </c>
      <c r="E339" s="29">
        <f>IF($A339="","",BDP($A339,E$3))</f>
        <v/>
      </c>
      <c r="F339" s="17">
        <f>IF($A339="","",BDP($A339,F$3))</f>
        <v/>
      </c>
      <c r="G339" s="8">
        <f>IF($A339="","",BDP($A339,G$3))</f>
        <v/>
      </c>
      <c r="H339" s="8">
        <f>IF($A339="","",BDP($A339,H$3))</f>
        <v/>
      </c>
      <c r="I339" s="8">
        <f>IF($A339="","",BDP($A339,I$3))</f>
        <v/>
      </c>
      <c r="J339" s="8">
        <f>IF($A339="","",BDP($A339,J$3))</f>
        <v/>
      </c>
      <c r="K339" s="8">
        <f>IF($A339="","",BDP($A339,K$3))</f>
        <v/>
      </c>
      <c r="L339" s="28">
        <f>IF($A339="","",BDP($A339,L$3))</f>
        <v/>
      </c>
      <c r="M339" s="28">
        <f>IF($A339="","",BDP($A339,M$3))</f>
        <v/>
      </c>
      <c r="N339" s="30">
        <f>IF($A339="","",BDP($A339,N$3))</f>
        <v/>
      </c>
      <c r="O339" s="31">
        <f>IF($A339="","",BDP($A339,O$3))</f>
        <v/>
      </c>
      <c r="P339" s="30">
        <f>IF($A339="","",BDH($A339,$N$3,'參數'!$B$5,'參數'!$B$5,"Days=A","Fill=P","Dates=H"))</f>
        <v/>
      </c>
      <c r="Q339" s="30">
        <f>IF($A339="","",BDH($A339,$N$3,'參數'!$B$6,'參數'!$B$6,"Days=A","Fill=P","Dates=H"))</f>
        <v/>
      </c>
      <c r="R339" s="30">
        <f>IF($A339="","",BDH($A339,$N$3,'參數'!$B$7,'參數'!$B$7,"Days=A","Fill=P","Dates=H"))</f>
        <v/>
      </c>
      <c r="S339" s="32">
        <f>IF($A339="","",IFERROR(INDEX('發行人'!$A$5:$A$44,MATCH(B339,'發行人'!$D$5:$D$44,0)),"未對應"))</f>
        <v/>
      </c>
      <c r="T339" s="24">
        <f>IF($A339="","",IFERROR(INDEX('發行人'!$G$5:$G$44,MATCH(B339,'發行人'!$D$5:$D$44,0))+0,""))</f>
        <v/>
      </c>
      <c r="U339" s="18">
        <f>IF(ISNUMBER(E339),YEARFRAC('參數'!$B$4,E339),"")</f>
        <v/>
      </c>
      <c r="V339" s="8">
        <f>IF(U339="","",IF(U339&lt;3,"1-3y",IF(U339&lt;5,"3-5y",IF(U339&lt;7,"5-7y",IF(U339&lt;10,"7-10y","10y+")))))</f>
        <v/>
      </c>
      <c r="W339" s="30">
        <f>IF($A339="","",IFERROR(INDEX('參數'!$B$24:$B$45,MATCH(G339,'參數'!$A$24:$A$45,0)),""))</f>
        <v/>
      </c>
      <c r="X339" s="8">
        <f>IF($A339="","",IFERROR(INDEX('參數'!$C$24:$C$45,MATCH(G339,'參數'!$A$24:$A$45,0)),""))</f>
        <v/>
      </c>
      <c r="Y339" s="30">
        <f>IF(AND(ISNUMBER(N339),ISNUMBER(O339),ISNUMBER(U339)),IF(AND(O339&gt;0,X339&lt;&gt;""),1,0),0)</f>
        <v/>
      </c>
      <c r="Z339" s="17">
        <f>IF(Y339=1,O339*N339,"")</f>
        <v/>
      </c>
      <c r="AA339" s="33">
        <f>IF(Y339=1,IF(ISNUMBER(Q339),N339-Q339,""),"")</f>
        <v/>
      </c>
      <c r="AB339" s="33">
        <f>IF(Y339=1,IF(AND(ISNUMBER(P339),ISNUMBER(R339)),R339*5/12-O339*(P339-R339),""),"")</f>
        <v/>
      </c>
      <c r="AC339" s="30">
        <f>IF(Y339=1,COUNTIFS($X$5:$X$404,X339,$V$5:$V$404,V339,$Y$5:$Y$404,1),"")</f>
        <v/>
      </c>
      <c r="AD339" s="30">
        <f>IF(Y339=1,IFERROR(IF(AC339&gt;='參數'!$B$9,INDEX('分群統計'!$G$13:$K$16,MATCH(X339,'分群統計'!$A$13:$A$16,0),MATCH(V339,'分群統計'!$G$12:$K$12,0)),INDEX('分群統計'!$I$5:$I$8,MATCH(X339,'分群統計'!$A$5:$A$8,0))),""),"")</f>
        <v/>
      </c>
      <c r="AE339" s="18">
        <f>IF(Y339=1,IFERROR(IF(AC339&gt;='參數'!$B$9,INDEX('分群統計'!$L$13:$P$16,MATCH(X339,'分群統計'!$A$13:$A$16,0),MATCH(V339,'分群統計'!$L$12:$P$12,0)),INDEX('分群統計'!$J$5:$J$8,MATCH(X339,'分群統計'!$A$5:$A$8,0))),""),"")</f>
        <v/>
      </c>
      <c r="AF339" s="31">
        <f>IF(ISNUMBER(AE339),IF(AE339&gt;0,MAX(-3,MIN(3,(N339-AD339)/AE339)),0),"")</f>
        <v/>
      </c>
      <c r="AG339" s="30">
        <f>IF(Y339=1,COUNTIFS($B$5:$B$404,B339,$Y$5:$Y$404,1),"")</f>
        <v/>
      </c>
      <c r="AH339" s="30">
        <f>IF(Y339=1,IFERROR(IF(ISNUMBER(INDEX('分群統計'!$G$20:$G$59,MATCH(B339,'分群統計'!$A$20:$A$59,0))),INDEX('分群統計'!$H$20:$H$59,MATCH(B339,'分群統計'!$A$20:$A$59,0))+INDEX('分群統計'!$G$20:$G$59,MATCH(B339,'分群統計'!$A$20:$A$59,0))*AU339,""),""),"")</f>
        <v/>
      </c>
      <c r="AI339" s="34">
        <f>IF(ISNUMBER(AH339),N339-AH339,"")</f>
        <v/>
      </c>
      <c r="AJ339" s="30">
        <f>IF(Y339=1,IFERROR(IF(ISNUMBER(INDEX('分群統計'!$G$5:$G$8,MATCH(X339,'分群統計'!$A$5:$A$8,0))),INDEX('分群統計'!$H$5:$H$8,MATCH(X339,'分群統計'!$A$5:$A$8,0))+INDEX('分群統計'!$G$5:$G$8,MATCH(X339,'分群統計'!$A$5:$A$8,0))*AU339,""),""),"")</f>
        <v/>
      </c>
      <c r="AK339" s="34">
        <f>IF(ISNUMBER(AJ339),N339-AJ339,"")</f>
        <v/>
      </c>
      <c r="AL339" s="21">
        <f>IF(ISNUMBER(AJ339),IF(AJ339&gt;0,AK339/AJ339,""),"")</f>
        <v/>
      </c>
      <c r="AM339" s="31">
        <f>IF(AY339&lt;&gt;1,"",IFERROR(IF(INDEX('分群統計'!$K$5:$K$8,MATCH(X339,'分群統計'!$A$5:$A$8,0))&lt;3,"",IF(INDEX('分群統計'!$M$5:$M$8,MATCH(X339,'分群統計'!$A$5:$A$8,0))&gt;0,MAX(-3,MIN(3,(AX339-INDEX('分群統計'!$L$5:$L$8,MATCH(X339,'分群統計'!$A$5:$A$8,0)))/INDEX('分群統計'!$M$5:$M$8,MATCH(X339,'分群統計'!$A$5:$A$8,0)))),0)),""))</f>
        <v/>
      </c>
      <c r="AN339" s="31">
        <f>IF(ISNUMBER(AB339),IF(Z339&gt;0,AB339/Z339*100,""),"")</f>
        <v/>
      </c>
      <c r="AO339" s="31">
        <f>IF(BA339&lt;&gt;1,"",IFERROR(IF(INDEX('分群統計'!$N$5:$N$8,MATCH(X339,'分群統計'!$A$5:$A$8,0))&lt;3,"",IF(INDEX('分群統計'!$P$5:$P$8,MATCH(X339,'分群統計'!$A$5:$A$8,0))&gt;0,MAX(-3,MIN(3,(AZ339-INDEX('分群統計'!$O$5:$O$8,MATCH(X339,'分群統計'!$A$5:$A$8,0)))/INDEX('分群統計'!$P$5:$P$8,MATCH(X339,'分群統計'!$A$5:$A$8,0)))),0)),""))</f>
        <v/>
      </c>
      <c r="AP339" s="31">
        <f>IF(BC339&lt;&gt;1,"",IFERROR(IF(INDEX('分群統計'!$Q$5:$Q$8,MATCH(X339,'分群統計'!$A$5:$A$8,0))&lt;3,"",IF(INDEX('分群統計'!$S$5:$S$8,MATCH(X339,'分群統計'!$A$5:$A$8,0))&gt;0,MAX(-3,MIN(3,(BB339-INDEX('分群統計'!$R$5:$R$8,MATCH(X339,'分群統計'!$A$5:$A$8,0)))/INDEX('分群統計'!$S$5:$S$8,MATCH(X339,'分群統計'!$A$5:$A$8,0)))),0)),""))</f>
        <v/>
      </c>
      <c r="AQ339" s="31">
        <f>IF(Y339=1,(IF(ISNUMBER(AF339),AF339,0)*'參數'!$B$13+IF(ISNUMBER(AM339),AM339,0)*'參數'!$B$14+IF(ISNUMBER(AO339),AO339,0)*'參數'!$B$15+IF(ISNUMBER(AP339),AP339,0)*'參數'!$B$16)/('參數'!$B$13+'參數'!$B$14+'參數'!$B$15+'參數'!$B$16),"")</f>
        <v/>
      </c>
      <c r="AR339" s="35">
        <f>IF(Y339=1,(SUMPRODUCT(($X$5:$X$404=X339)*($Y$5:$Y$404=1)*($BD$5:$BD$404&gt;BD339))+1)/COUNTIFS($X$5:$X$404,X339,$Y$5:$Y$404,1),"")</f>
        <v/>
      </c>
      <c r="AS339" s="8">
        <f>IF(ISNUMBER(AR339),IF(AR339&lt;='參數'!$B$18,"加碼候選",IF(AR339&gt;'參數'!$B$19,"減碼候選","")),"")</f>
        <v/>
      </c>
      <c r="AT339" s="7">
        <f>IF(Y339=1,N339,0)</f>
        <v/>
      </c>
      <c r="AU339" s="7">
        <f>IF(Y339=1,LN(O339),0)</f>
        <v/>
      </c>
      <c r="AV339" s="36">
        <f>IF(Y339=1,IF(ISNUMBER(F339),F339,0),0)</f>
        <v/>
      </c>
      <c r="AW339" s="7">
        <f>IF(Y339=1,Z339,0)</f>
        <v/>
      </c>
      <c r="AX339" s="7">
        <f>IF(Y339=1,IF(ISNUMBER(AL339),AL339,0),0)</f>
        <v/>
      </c>
      <c r="AY339" s="7">
        <f>IF(Y339=1,IF(ISNUMBER(AL339),1,0),0)</f>
        <v/>
      </c>
      <c r="AZ339" s="7">
        <f>IF(Y339=1,IF(ISNUMBER(AN339),AN339,0),0)</f>
        <v/>
      </c>
      <c r="BA339" s="7">
        <f>IF(Y339=1,IF(ISNUMBER(AN339),1,0),0)</f>
        <v/>
      </c>
      <c r="BB339" s="7">
        <f>IF(Y339=1,IF(ISNUMBER(T339),T339,0),0)</f>
        <v/>
      </c>
      <c r="BC339" s="7">
        <f>IF(Y339=1,IF(ISNUMBER(T339),1,0),0)</f>
        <v/>
      </c>
      <c r="BD339" s="7">
        <f>IF(Y339=1,AQ339+ROW()/1E9,-1E9)</f>
        <v/>
      </c>
      <c r="BE339" s="7">
        <f>IF(Y339=1,AQ339+ROW()/1E9,1E9)</f>
        <v/>
      </c>
    </row>
    <row r="340">
      <c r="A340" s="16" t="n"/>
      <c r="B340" s="8">
        <f>IF($A340="","",BDP($A340,B$3))</f>
        <v/>
      </c>
      <c r="C340" s="8">
        <f>IF($A340="","",BDP($A340,C$3))</f>
        <v/>
      </c>
      <c r="D340" s="28">
        <f>IF($A340="","",BDP($A340,D$3))</f>
        <v/>
      </c>
      <c r="E340" s="29">
        <f>IF($A340="","",BDP($A340,E$3))</f>
        <v/>
      </c>
      <c r="F340" s="17">
        <f>IF($A340="","",BDP($A340,F$3))</f>
        <v/>
      </c>
      <c r="G340" s="8">
        <f>IF($A340="","",BDP($A340,G$3))</f>
        <v/>
      </c>
      <c r="H340" s="8">
        <f>IF($A340="","",BDP($A340,H$3))</f>
        <v/>
      </c>
      <c r="I340" s="8">
        <f>IF($A340="","",BDP($A340,I$3))</f>
        <v/>
      </c>
      <c r="J340" s="8">
        <f>IF($A340="","",BDP($A340,J$3))</f>
        <v/>
      </c>
      <c r="K340" s="8">
        <f>IF($A340="","",BDP($A340,K$3))</f>
        <v/>
      </c>
      <c r="L340" s="28">
        <f>IF($A340="","",BDP($A340,L$3))</f>
        <v/>
      </c>
      <c r="M340" s="28">
        <f>IF($A340="","",BDP($A340,M$3))</f>
        <v/>
      </c>
      <c r="N340" s="30">
        <f>IF($A340="","",BDP($A340,N$3))</f>
        <v/>
      </c>
      <c r="O340" s="31">
        <f>IF($A340="","",BDP($A340,O$3))</f>
        <v/>
      </c>
      <c r="P340" s="30">
        <f>IF($A340="","",BDH($A340,$N$3,'參數'!$B$5,'參數'!$B$5,"Days=A","Fill=P","Dates=H"))</f>
        <v/>
      </c>
      <c r="Q340" s="30">
        <f>IF($A340="","",BDH($A340,$N$3,'參數'!$B$6,'參數'!$B$6,"Days=A","Fill=P","Dates=H"))</f>
        <v/>
      </c>
      <c r="R340" s="30">
        <f>IF($A340="","",BDH($A340,$N$3,'參數'!$B$7,'參數'!$B$7,"Days=A","Fill=P","Dates=H"))</f>
        <v/>
      </c>
      <c r="S340" s="32">
        <f>IF($A340="","",IFERROR(INDEX('發行人'!$A$5:$A$44,MATCH(B340,'發行人'!$D$5:$D$44,0)),"未對應"))</f>
        <v/>
      </c>
      <c r="T340" s="24">
        <f>IF($A340="","",IFERROR(INDEX('發行人'!$G$5:$G$44,MATCH(B340,'發行人'!$D$5:$D$44,0))+0,""))</f>
        <v/>
      </c>
      <c r="U340" s="18">
        <f>IF(ISNUMBER(E340),YEARFRAC('參數'!$B$4,E340),"")</f>
        <v/>
      </c>
      <c r="V340" s="8">
        <f>IF(U340="","",IF(U340&lt;3,"1-3y",IF(U340&lt;5,"3-5y",IF(U340&lt;7,"5-7y",IF(U340&lt;10,"7-10y","10y+")))))</f>
        <v/>
      </c>
      <c r="W340" s="30">
        <f>IF($A340="","",IFERROR(INDEX('參數'!$B$24:$B$45,MATCH(G340,'參數'!$A$24:$A$45,0)),""))</f>
        <v/>
      </c>
      <c r="X340" s="8">
        <f>IF($A340="","",IFERROR(INDEX('參數'!$C$24:$C$45,MATCH(G340,'參數'!$A$24:$A$45,0)),""))</f>
        <v/>
      </c>
      <c r="Y340" s="30">
        <f>IF(AND(ISNUMBER(N340),ISNUMBER(O340),ISNUMBER(U340)),IF(AND(O340&gt;0,X340&lt;&gt;""),1,0),0)</f>
        <v/>
      </c>
      <c r="Z340" s="17">
        <f>IF(Y340=1,O340*N340,"")</f>
        <v/>
      </c>
      <c r="AA340" s="33">
        <f>IF(Y340=1,IF(ISNUMBER(Q340),N340-Q340,""),"")</f>
        <v/>
      </c>
      <c r="AB340" s="33">
        <f>IF(Y340=1,IF(AND(ISNUMBER(P340),ISNUMBER(R340)),R340*5/12-O340*(P340-R340),""),"")</f>
        <v/>
      </c>
      <c r="AC340" s="30">
        <f>IF(Y340=1,COUNTIFS($X$5:$X$404,X340,$V$5:$V$404,V340,$Y$5:$Y$404,1),"")</f>
        <v/>
      </c>
      <c r="AD340" s="30">
        <f>IF(Y340=1,IFERROR(IF(AC340&gt;='參數'!$B$9,INDEX('分群統計'!$G$13:$K$16,MATCH(X340,'分群統計'!$A$13:$A$16,0),MATCH(V340,'分群統計'!$G$12:$K$12,0)),INDEX('分群統計'!$I$5:$I$8,MATCH(X340,'分群統計'!$A$5:$A$8,0))),""),"")</f>
        <v/>
      </c>
      <c r="AE340" s="18">
        <f>IF(Y340=1,IFERROR(IF(AC340&gt;='參數'!$B$9,INDEX('分群統計'!$L$13:$P$16,MATCH(X340,'分群統計'!$A$13:$A$16,0),MATCH(V340,'分群統計'!$L$12:$P$12,0)),INDEX('分群統計'!$J$5:$J$8,MATCH(X340,'分群統計'!$A$5:$A$8,0))),""),"")</f>
        <v/>
      </c>
      <c r="AF340" s="31">
        <f>IF(ISNUMBER(AE340),IF(AE340&gt;0,MAX(-3,MIN(3,(N340-AD340)/AE340)),0),"")</f>
        <v/>
      </c>
      <c r="AG340" s="30">
        <f>IF(Y340=1,COUNTIFS($B$5:$B$404,B340,$Y$5:$Y$404,1),"")</f>
        <v/>
      </c>
      <c r="AH340" s="30">
        <f>IF(Y340=1,IFERROR(IF(ISNUMBER(INDEX('分群統計'!$G$20:$G$59,MATCH(B340,'分群統計'!$A$20:$A$59,0))),INDEX('分群統計'!$H$20:$H$59,MATCH(B340,'分群統計'!$A$20:$A$59,0))+INDEX('分群統計'!$G$20:$G$59,MATCH(B340,'分群統計'!$A$20:$A$59,0))*AU340,""),""),"")</f>
        <v/>
      </c>
      <c r="AI340" s="34">
        <f>IF(ISNUMBER(AH340),N340-AH340,"")</f>
        <v/>
      </c>
      <c r="AJ340" s="30">
        <f>IF(Y340=1,IFERROR(IF(ISNUMBER(INDEX('分群統計'!$G$5:$G$8,MATCH(X340,'分群統計'!$A$5:$A$8,0))),INDEX('分群統計'!$H$5:$H$8,MATCH(X340,'分群統計'!$A$5:$A$8,0))+INDEX('分群統計'!$G$5:$G$8,MATCH(X340,'分群統計'!$A$5:$A$8,0))*AU340,""),""),"")</f>
        <v/>
      </c>
      <c r="AK340" s="34">
        <f>IF(ISNUMBER(AJ340),N340-AJ340,"")</f>
        <v/>
      </c>
      <c r="AL340" s="21">
        <f>IF(ISNUMBER(AJ340),IF(AJ340&gt;0,AK340/AJ340,""),"")</f>
        <v/>
      </c>
      <c r="AM340" s="31">
        <f>IF(AY340&lt;&gt;1,"",IFERROR(IF(INDEX('分群統計'!$K$5:$K$8,MATCH(X340,'分群統計'!$A$5:$A$8,0))&lt;3,"",IF(INDEX('分群統計'!$M$5:$M$8,MATCH(X340,'分群統計'!$A$5:$A$8,0))&gt;0,MAX(-3,MIN(3,(AX340-INDEX('分群統計'!$L$5:$L$8,MATCH(X340,'分群統計'!$A$5:$A$8,0)))/INDEX('分群統計'!$M$5:$M$8,MATCH(X340,'分群統計'!$A$5:$A$8,0)))),0)),""))</f>
        <v/>
      </c>
      <c r="AN340" s="31">
        <f>IF(ISNUMBER(AB340),IF(Z340&gt;0,AB340/Z340*100,""),"")</f>
        <v/>
      </c>
      <c r="AO340" s="31">
        <f>IF(BA340&lt;&gt;1,"",IFERROR(IF(INDEX('分群統計'!$N$5:$N$8,MATCH(X340,'分群統計'!$A$5:$A$8,0))&lt;3,"",IF(INDEX('分群統計'!$P$5:$P$8,MATCH(X340,'分群統計'!$A$5:$A$8,0))&gt;0,MAX(-3,MIN(3,(AZ340-INDEX('分群統計'!$O$5:$O$8,MATCH(X340,'分群統計'!$A$5:$A$8,0)))/INDEX('分群統計'!$P$5:$P$8,MATCH(X340,'分群統計'!$A$5:$A$8,0)))),0)),""))</f>
        <v/>
      </c>
      <c r="AP340" s="31">
        <f>IF(BC340&lt;&gt;1,"",IFERROR(IF(INDEX('分群統計'!$Q$5:$Q$8,MATCH(X340,'分群統計'!$A$5:$A$8,0))&lt;3,"",IF(INDEX('分群統計'!$S$5:$S$8,MATCH(X340,'分群統計'!$A$5:$A$8,0))&gt;0,MAX(-3,MIN(3,(BB340-INDEX('分群統計'!$R$5:$R$8,MATCH(X340,'分群統計'!$A$5:$A$8,0)))/INDEX('分群統計'!$S$5:$S$8,MATCH(X340,'分群統計'!$A$5:$A$8,0)))),0)),""))</f>
        <v/>
      </c>
      <c r="AQ340" s="31">
        <f>IF(Y340=1,(IF(ISNUMBER(AF340),AF340,0)*'參數'!$B$13+IF(ISNUMBER(AM340),AM340,0)*'參數'!$B$14+IF(ISNUMBER(AO340),AO340,0)*'參數'!$B$15+IF(ISNUMBER(AP340),AP340,0)*'參數'!$B$16)/('參數'!$B$13+'參數'!$B$14+'參數'!$B$15+'參數'!$B$16),"")</f>
        <v/>
      </c>
      <c r="AR340" s="35">
        <f>IF(Y340=1,(SUMPRODUCT(($X$5:$X$404=X340)*($Y$5:$Y$404=1)*($BD$5:$BD$404&gt;BD340))+1)/COUNTIFS($X$5:$X$404,X340,$Y$5:$Y$404,1),"")</f>
        <v/>
      </c>
      <c r="AS340" s="8">
        <f>IF(ISNUMBER(AR340),IF(AR340&lt;='參數'!$B$18,"加碼候選",IF(AR340&gt;'參數'!$B$19,"減碼候選","")),"")</f>
        <v/>
      </c>
      <c r="AT340" s="7">
        <f>IF(Y340=1,N340,0)</f>
        <v/>
      </c>
      <c r="AU340" s="7">
        <f>IF(Y340=1,LN(O340),0)</f>
        <v/>
      </c>
      <c r="AV340" s="36">
        <f>IF(Y340=1,IF(ISNUMBER(F340),F340,0),0)</f>
        <v/>
      </c>
      <c r="AW340" s="7">
        <f>IF(Y340=1,Z340,0)</f>
        <v/>
      </c>
      <c r="AX340" s="7">
        <f>IF(Y340=1,IF(ISNUMBER(AL340),AL340,0),0)</f>
        <v/>
      </c>
      <c r="AY340" s="7">
        <f>IF(Y340=1,IF(ISNUMBER(AL340),1,0),0)</f>
        <v/>
      </c>
      <c r="AZ340" s="7">
        <f>IF(Y340=1,IF(ISNUMBER(AN340),AN340,0),0)</f>
        <v/>
      </c>
      <c r="BA340" s="7">
        <f>IF(Y340=1,IF(ISNUMBER(AN340),1,0),0)</f>
        <v/>
      </c>
      <c r="BB340" s="7">
        <f>IF(Y340=1,IF(ISNUMBER(T340),T340,0),0)</f>
        <v/>
      </c>
      <c r="BC340" s="7">
        <f>IF(Y340=1,IF(ISNUMBER(T340),1,0),0)</f>
        <v/>
      </c>
      <c r="BD340" s="7">
        <f>IF(Y340=1,AQ340+ROW()/1E9,-1E9)</f>
        <v/>
      </c>
      <c r="BE340" s="7">
        <f>IF(Y340=1,AQ340+ROW()/1E9,1E9)</f>
        <v/>
      </c>
    </row>
    <row r="341">
      <c r="A341" s="16" t="n"/>
      <c r="B341" s="8">
        <f>IF($A341="","",BDP($A341,B$3))</f>
        <v/>
      </c>
      <c r="C341" s="8">
        <f>IF($A341="","",BDP($A341,C$3))</f>
        <v/>
      </c>
      <c r="D341" s="28">
        <f>IF($A341="","",BDP($A341,D$3))</f>
        <v/>
      </c>
      <c r="E341" s="29">
        <f>IF($A341="","",BDP($A341,E$3))</f>
        <v/>
      </c>
      <c r="F341" s="17">
        <f>IF($A341="","",BDP($A341,F$3))</f>
        <v/>
      </c>
      <c r="G341" s="8">
        <f>IF($A341="","",BDP($A341,G$3))</f>
        <v/>
      </c>
      <c r="H341" s="8">
        <f>IF($A341="","",BDP($A341,H$3))</f>
        <v/>
      </c>
      <c r="I341" s="8">
        <f>IF($A341="","",BDP($A341,I$3))</f>
        <v/>
      </c>
      <c r="J341" s="8">
        <f>IF($A341="","",BDP($A341,J$3))</f>
        <v/>
      </c>
      <c r="K341" s="8">
        <f>IF($A341="","",BDP($A341,K$3))</f>
        <v/>
      </c>
      <c r="L341" s="28">
        <f>IF($A341="","",BDP($A341,L$3))</f>
        <v/>
      </c>
      <c r="M341" s="28">
        <f>IF($A341="","",BDP($A341,M$3))</f>
        <v/>
      </c>
      <c r="N341" s="30">
        <f>IF($A341="","",BDP($A341,N$3))</f>
        <v/>
      </c>
      <c r="O341" s="31">
        <f>IF($A341="","",BDP($A341,O$3))</f>
        <v/>
      </c>
      <c r="P341" s="30">
        <f>IF($A341="","",BDH($A341,$N$3,'參數'!$B$5,'參數'!$B$5,"Days=A","Fill=P","Dates=H"))</f>
        <v/>
      </c>
      <c r="Q341" s="30">
        <f>IF($A341="","",BDH($A341,$N$3,'參數'!$B$6,'參數'!$B$6,"Days=A","Fill=P","Dates=H"))</f>
        <v/>
      </c>
      <c r="R341" s="30">
        <f>IF($A341="","",BDH($A341,$N$3,'參數'!$B$7,'參數'!$B$7,"Days=A","Fill=P","Dates=H"))</f>
        <v/>
      </c>
      <c r="S341" s="32">
        <f>IF($A341="","",IFERROR(INDEX('發行人'!$A$5:$A$44,MATCH(B341,'發行人'!$D$5:$D$44,0)),"未對應"))</f>
        <v/>
      </c>
      <c r="T341" s="24">
        <f>IF($A341="","",IFERROR(INDEX('發行人'!$G$5:$G$44,MATCH(B341,'發行人'!$D$5:$D$44,0))+0,""))</f>
        <v/>
      </c>
      <c r="U341" s="18">
        <f>IF(ISNUMBER(E341),YEARFRAC('參數'!$B$4,E341),"")</f>
        <v/>
      </c>
      <c r="V341" s="8">
        <f>IF(U341="","",IF(U341&lt;3,"1-3y",IF(U341&lt;5,"3-5y",IF(U341&lt;7,"5-7y",IF(U341&lt;10,"7-10y","10y+")))))</f>
        <v/>
      </c>
      <c r="W341" s="30">
        <f>IF($A341="","",IFERROR(INDEX('參數'!$B$24:$B$45,MATCH(G341,'參數'!$A$24:$A$45,0)),""))</f>
        <v/>
      </c>
      <c r="X341" s="8">
        <f>IF($A341="","",IFERROR(INDEX('參數'!$C$24:$C$45,MATCH(G341,'參數'!$A$24:$A$45,0)),""))</f>
        <v/>
      </c>
      <c r="Y341" s="30">
        <f>IF(AND(ISNUMBER(N341),ISNUMBER(O341),ISNUMBER(U341)),IF(AND(O341&gt;0,X341&lt;&gt;""),1,0),0)</f>
        <v/>
      </c>
      <c r="Z341" s="17">
        <f>IF(Y341=1,O341*N341,"")</f>
        <v/>
      </c>
      <c r="AA341" s="33">
        <f>IF(Y341=1,IF(ISNUMBER(Q341),N341-Q341,""),"")</f>
        <v/>
      </c>
      <c r="AB341" s="33">
        <f>IF(Y341=1,IF(AND(ISNUMBER(P341),ISNUMBER(R341)),R341*5/12-O341*(P341-R341),""),"")</f>
        <v/>
      </c>
      <c r="AC341" s="30">
        <f>IF(Y341=1,COUNTIFS($X$5:$X$404,X341,$V$5:$V$404,V341,$Y$5:$Y$404,1),"")</f>
        <v/>
      </c>
      <c r="AD341" s="30">
        <f>IF(Y341=1,IFERROR(IF(AC341&gt;='參數'!$B$9,INDEX('分群統計'!$G$13:$K$16,MATCH(X341,'分群統計'!$A$13:$A$16,0),MATCH(V341,'分群統計'!$G$12:$K$12,0)),INDEX('分群統計'!$I$5:$I$8,MATCH(X341,'分群統計'!$A$5:$A$8,0))),""),"")</f>
        <v/>
      </c>
      <c r="AE341" s="18">
        <f>IF(Y341=1,IFERROR(IF(AC341&gt;='參數'!$B$9,INDEX('分群統計'!$L$13:$P$16,MATCH(X341,'分群統計'!$A$13:$A$16,0),MATCH(V341,'分群統計'!$L$12:$P$12,0)),INDEX('分群統計'!$J$5:$J$8,MATCH(X341,'分群統計'!$A$5:$A$8,0))),""),"")</f>
        <v/>
      </c>
      <c r="AF341" s="31">
        <f>IF(ISNUMBER(AE341),IF(AE341&gt;0,MAX(-3,MIN(3,(N341-AD341)/AE341)),0),"")</f>
        <v/>
      </c>
      <c r="AG341" s="30">
        <f>IF(Y341=1,COUNTIFS($B$5:$B$404,B341,$Y$5:$Y$404,1),"")</f>
        <v/>
      </c>
      <c r="AH341" s="30">
        <f>IF(Y341=1,IFERROR(IF(ISNUMBER(INDEX('分群統計'!$G$20:$G$59,MATCH(B341,'分群統計'!$A$20:$A$59,0))),INDEX('分群統計'!$H$20:$H$59,MATCH(B341,'分群統計'!$A$20:$A$59,0))+INDEX('分群統計'!$G$20:$G$59,MATCH(B341,'分群統計'!$A$20:$A$59,0))*AU341,""),""),"")</f>
        <v/>
      </c>
      <c r="AI341" s="34">
        <f>IF(ISNUMBER(AH341),N341-AH341,"")</f>
        <v/>
      </c>
      <c r="AJ341" s="30">
        <f>IF(Y341=1,IFERROR(IF(ISNUMBER(INDEX('分群統計'!$G$5:$G$8,MATCH(X341,'分群統計'!$A$5:$A$8,0))),INDEX('分群統計'!$H$5:$H$8,MATCH(X341,'分群統計'!$A$5:$A$8,0))+INDEX('分群統計'!$G$5:$G$8,MATCH(X341,'分群統計'!$A$5:$A$8,0))*AU341,""),""),"")</f>
        <v/>
      </c>
      <c r="AK341" s="34">
        <f>IF(ISNUMBER(AJ341),N341-AJ341,"")</f>
        <v/>
      </c>
      <c r="AL341" s="21">
        <f>IF(ISNUMBER(AJ341),IF(AJ341&gt;0,AK341/AJ341,""),"")</f>
        <v/>
      </c>
      <c r="AM341" s="31">
        <f>IF(AY341&lt;&gt;1,"",IFERROR(IF(INDEX('分群統計'!$K$5:$K$8,MATCH(X341,'分群統計'!$A$5:$A$8,0))&lt;3,"",IF(INDEX('分群統計'!$M$5:$M$8,MATCH(X341,'分群統計'!$A$5:$A$8,0))&gt;0,MAX(-3,MIN(3,(AX341-INDEX('分群統計'!$L$5:$L$8,MATCH(X341,'分群統計'!$A$5:$A$8,0)))/INDEX('分群統計'!$M$5:$M$8,MATCH(X341,'分群統計'!$A$5:$A$8,0)))),0)),""))</f>
        <v/>
      </c>
      <c r="AN341" s="31">
        <f>IF(ISNUMBER(AB341),IF(Z341&gt;0,AB341/Z341*100,""),"")</f>
        <v/>
      </c>
      <c r="AO341" s="31">
        <f>IF(BA341&lt;&gt;1,"",IFERROR(IF(INDEX('分群統計'!$N$5:$N$8,MATCH(X341,'分群統計'!$A$5:$A$8,0))&lt;3,"",IF(INDEX('分群統計'!$P$5:$P$8,MATCH(X341,'分群統計'!$A$5:$A$8,0))&gt;0,MAX(-3,MIN(3,(AZ341-INDEX('分群統計'!$O$5:$O$8,MATCH(X341,'分群統計'!$A$5:$A$8,0)))/INDEX('分群統計'!$P$5:$P$8,MATCH(X341,'分群統計'!$A$5:$A$8,0)))),0)),""))</f>
        <v/>
      </c>
      <c r="AP341" s="31">
        <f>IF(BC341&lt;&gt;1,"",IFERROR(IF(INDEX('分群統計'!$Q$5:$Q$8,MATCH(X341,'分群統計'!$A$5:$A$8,0))&lt;3,"",IF(INDEX('分群統計'!$S$5:$S$8,MATCH(X341,'分群統計'!$A$5:$A$8,0))&gt;0,MAX(-3,MIN(3,(BB341-INDEX('分群統計'!$R$5:$R$8,MATCH(X341,'分群統計'!$A$5:$A$8,0)))/INDEX('分群統計'!$S$5:$S$8,MATCH(X341,'分群統計'!$A$5:$A$8,0)))),0)),""))</f>
        <v/>
      </c>
      <c r="AQ341" s="31">
        <f>IF(Y341=1,(IF(ISNUMBER(AF341),AF341,0)*'參數'!$B$13+IF(ISNUMBER(AM341),AM341,0)*'參數'!$B$14+IF(ISNUMBER(AO341),AO341,0)*'參數'!$B$15+IF(ISNUMBER(AP341),AP341,0)*'參數'!$B$16)/('參數'!$B$13+'參數'!$B$14+'參數'!$B$15+'參數'!$B$16),"")</f>
        <v/>
      </c>
      <c r="AR341" s="35">
        <f>IF(Y341=1,(SUMPRODUCT(($X$5:$X$404=X341)*($Y$5:$Y$404=1)*($BD$5:$BD$404&gt;BD341))+1)/COUNTIFS($X$5:$X$404,X341,$Y$5:$Y$404,1),"")</f>
        <v/>
      </c>
      <c r="AS341" s="8">
        <f>IF(ISNUMBER(AR341),IF(AR341&lt;='參數'!$B$18,"加碼候選",IF(AR341&gt;'參數'!$B$19,"減碼候選","")),"")</f>
        <v/>
      </c>
      <c r="AT341" s="7">
        <f>IF(Y341=1,N341,0)</f>
        <v/>
      </c>
      <c r="AU341" s="7">
        <f>IF(Y341=1,LN(O341),0)</f>
        <v/>
      </c>
      <c r="AV341" s="36">
        <f>IF(Y341=1,IF(ISNUMBER(F341),F341,0),0)</f>
        <v/>
      </c>
      <c r="AW341" s="7">
        <f>IF(Y341=1,Z341,0)</f>
        <v/>
      </c>
      <c r="AX341" s="7">
        <f>IF(Y341=1,IF(ISNUMBER(AL341),AL341,0),0)</f>
        <v/>
      </c>
      <c r="AY341" s="7">
        <f>IF(Y341=1,IF(ISNUMBER(AL341),1,0),0)</f>
        <v/>
      </c>
      <c r="AZ341" s="7">
        <f>IF(Y341=1,IF(ISNUMBER(AN341),AN341,0),0)</f>
        <v/>
      </c>
      <c r="BA341" s="7">
        <f>IF(Y341=1,IF(ISNUMBER(AN341),1,0),0)</f>
        <v/>
      </c>
      <c r="BB341" s="7">
        <f>IF(Y341=1,IF(ISNUMBER(T341),T341,0),0)</f>
        <v/>
      </c>
      <c r="BC341" s="7">
        <f>IF(Y341=1,IF(ISNUMBER(T341),1,0),0)</f>
        <v/>
      </c>
      <c r="BD341" s="7">
        <f>IF(Y341=1,AQ341+ROW()/1E9,-1E9)</f>
        <v/>
      </c>
      <c r="BE341" s="7">
        <f>IF(Y341=1,AQ341+ROW()/1E9,1E9)</f>
        <v/>
      </c>
    </row>
    <row r="342">
      <c r="A342" s="16" t="n"/>
      <c r="B342" s="8">
        <f>IF($A342="","",BDP($A342,B$3))</f>
        <v/>
      </c>
      <c r="C342" s="8">
        <f>IF($A342="","",BDP($A342,C$3))</f>
        <v/>
      </c>
      <c r="D342" s="28">
        <f>IF($A342="","",BDP($A342,D$3))</f>
        <v/>
      </c>
      <c r="E342" s="29">
        <f>IF($A342="","",BDP($A342,E$3))</f>
        <v/>
      </c>
      <c r="F342" s="17">
        <f>IF($A342="","",BDP($A342,F$3))</f>
        <v/>
      </c>
      <c r="G342" s="8">
        <f>IF($A342="","",BDP($A342,G$3))</f>
        <v/>
      </c>
      <c r="H342" s="8">
        <f>IF($A342="","",BDP($A342,H$3))</f>
        <v/>
      </c>
      <c r="I342" s="8">
        <f>IF($A342="","",BDP($A342,I$3))</f>
        <v/>
      </c>
      <c r="J342" s="8">
        <f>IF($A342="","",BDP($A342,J$3))</f>
        <v/>
      </c>
      <c r="K342" s="8">
        <f>IF($A342="","",BDP($A342,K$3))</f>
        <v/>
      </c>
      <c r="L342" s="28">
        <f>IF($A342="","",BDP($A342,L$3))</f>
        <v/>
      </c>
      <c r="M342" s="28">
        <f>IF($A342="","",BDP($A342,M$3))</f>
        <v/>
      </c>
      <c r="N342" s="30">
        <f>IF($A342="","",BDP($A342,N$3))</f>
        <v/>
      </c>
      <c r="O342" s="31">
        <f>IF($A342="","",BDP($A342,O$3))</f>
        <v/>
      </c>
      <c r="P342" s="30">
        <f>IF($A342="","",BDH($A342,$N$3,'參數'!$B$5,'參數'!$B$5,"Days=A","Fill=P","Dates=H"))</f>
        <v/>
      </c>
      <c r="Q342" s="30">
        <f>IF($A342="","",BDH($A342,$N$3,'參數'!$B$6,'參數'!$B$6,"Days=A","Fill=P","Dates=H"))</f>
        <v/>
      </c>
      <c r="R342" s="30">
        <f>IF($A342="","",BDH($A342,$N$3,'參數'!$B$7,'參數'!$B$7,"Days=A","Fill=P","Dates=H"))</f>
        <v/>
      </c>
      <c r="S342" s="32">
        <f>IF($A342="","",IFERROR(INDEX('發行人'!$A$5:$A$44,MATCH(B342,'發行人'!$D$5:$D$44,0)),"未對應"))</f>
        <v/>
      </c>
      <c r="T342" s="24">
        <f>IF($A342="","",IFERROR(INDEX('發行人'!$G$5:$G$44,MATCH(B342,'發行人'!$D$5:$D$44,0))+0,""))</f>
        <v/>
      </c>
      <c r="U342" s="18">
        <f>IF(ISNUMBER(E342),YEARFRAC('參數'!$B$4,E342),"")</f>
        <v/>
      </c>
      <c r="V342" s="8">
        <f>IF(U342="","",IF(U342&lt;3,"1-3y",IF(U342&lt;5,"3-5y",IF(U342&lt;7,"5-7y",IF(U342&lt;10,"7-10y","10y+")))))</f>
        <v/>
      </c>
      <c r="W342" s="30">
        <f>IF($A342="","",IFERROR(INDEX('參數'!$B$24:$B$45,MATCH(G342,'參數'!$A$24:$A$45,0)),""))</f>
        <v/>
      </c>
      <c r="X342" s="8">
        <f>IF($A342="","",IFERROR(INDEX('參數'!$C$24:$C$45,MATCH(G342,'參數'!$A$24:$A$45,0)),""))</f>
        <v/>
      </c>
      <c r="Y342" s="30">
        <f>IF(AND(ISNUMBER(N342),ISNUMBER(O342),ISNUMBER(U342)),IF(AND(O342&gt;0,X342&lt;&gt;""),1,0),0)</f>
        <v/>
      </c>
      <c r="Z342" s="17">
        <f>IF(Y342=1,O342*N342,"")</f>
        <v/>
      </c>
      <c r="AA342" s="33">
        <f>IF(Y342=1,IF(ISNUMBER(Q342),N342-Q342,""),"")</f>
        <v/>
      </c>
      <c r="AB342" s="33">
        <f>IF(Y342=1,IF(AND(ISNUMBER(P342),ISNUMBER(R342)),R342*5/12-O342*(P342-R342),""),"")</f>
        <v/>
      </c>
      <c r="AC342" s="30">
        <f>IF(Y342=1,COUNTIFS($X$5:$X$404,X342,$V$5:$V$404,V342,$Y$5:$Y$404,1),"")</f>
        <v/>
      </c>
      <c r="AD342" s="30">
        <f>IF(Y342=1,IFERROR(IF(AC342&gt;='參數'!$B$9,INDEX('分群統計'!$G$13:$K$16,MATCH(X342,'分群統計'!$A$13:$A$16,0),MATCH(V342,'分群統計'!$G$12:$K$12,0)),INDEX('分群統計'!$I$5:$I$8,MATCH(X342,'分群統計'!$A$5:$A$8,0))),""),"")</f>
        <v/>
      </c>
      <c r="AE342" s="18">
        <f>IF(Y342=1,IFERROR(IF(AC342&gt;='參數'!$B$9,INDEX('分群統計'!$L$13:$P$16,MATCH(X342,'分群統計'!$A$13:$A$16,0),MATCH(V342,'分群統計'!$L$12:$P$12,0)),INDEX('分群統計'!$J$5:$J$8,MATCH(X342,'分群統計'!$A$5:$A$8,0))),""),"")</f>
        <v/>
      </c>
      <c r="AF342" s="31">
        <f>IF(ISNUMBER(AE342),IF(AE342&gt;0,MAX(-3,MIN(3,(N342-AD342)/AE342)),0),"")</f>
        <v/>
      </c>
      <c r="AG342" s="30">
        <f>IF(Y342=1,COUNTIFS($B$5:$B$404,B342,$Y$5:$Y$404,1),"")</f>
        <v/>
      </c>
      <c r="AH342" s="30">
        <f>IF(Y342=1,IFERROR(IF(ISNUMBER(INDEX('分群統計'!$G$20:$G$59,MATCH(B342,'分群統計'!$A$20:$A$59,0))),INDEX('分群統計'!$H$20:$H$59,MATCH(B342,'分群統計'!$A$20:$A$59,0))+INDEX('分群統計'!$G$20:$G$59,MATCH(B342,'分群統計'!$A$20:$A$59,0))*AU342,""),""),"")</f>
        <v/>
      </c>
      <c r="AI342" s="34">
        <f>IF(ISNUMBER(AH342),N342-AH342,"")</f>
        <v/>
      </c>
      <c r="AJ342" s="30">
        <f>IF(Y342=1,IFERROR(IF(ISNUMBER(INDEX('分群統計'!$G$5:$G$8,MATCH(X342,'分群統計'!$A$5:$A$8,0))),INDEX('分群統計'!$H$5:$H$8,MATCH(X342,'分群統計'!$A$5:$A$8,0))+INDEX('分群統計'!$G$5:$G$8,MATCH(X342,'分群統計'!$A$5:$A$8,0))*AU342,""),""),"")</f>
        <v/>
      </c>
      <c r="AK342" s="34">
        <f>IF(ISNUMBER(AJ342),N342-AJ342,"")</f>
        <v/>
      </c>
      <c r="AL342" s="21">
        <f>IF(ISNUMBER(AJ342),IF(AJ342&gt;0,AK342/AJ342,""),"")</f>
        <v/>
      </c>
      <c r="AM342" s="31">
        <f>IF(AY342&lt;&gt;1,"",IFERROR(IF(INDEX('分群統計'!$K$5:$K$8,MATCH(X342,'分群統計'!$A$5:$A$8,0))&lt;3,"",IF(INDEX('分群統計'!$M$5:$M$8,MATCH(X342,'分群統計'!$A$5:$A$8,0))&gt;0,MAX(-3,MIN(3,(AX342-INDEX('分群統計'!$L$5:$L$8,MATCH(X342,'分群統計'!$A$5:$A$8,0)))/INDEX('分群統計'!$M$5:$M$8,MATCH(X342,'分群統計'!$A$5:$A$8,0)))),0)),""))</f>
        <v/>
      </c>
      <c r="AN342" s="31">
        <f>IF(ISNUMBER(AB342),IF(Z342&gt;0,AB342/Z342*100,""),"")</f>
        <v/>
      </c>
      <c r="AO342" s="31">
        <f>IF(BA342&lt;&gt;1,"",IFERROR(IF(INDEX('分群統計'!$N$5:$N$8,MATCH(X342,'分群統計'!$A$5:$A$8,0))&lt;3,"",IF(INDEX('分群統計'!$P$5:$P$8,MATCH(X342,'分群統計'!$A$5:$A$8,0))&gt;0,MAX(-3,MIN(3,(AZ342-INDEX('分群統計'!$O$5:$O$8,MATCH(X342,'分群統計'!$A$5:$A$8,0)))/INDEX('分群統計'!$P$5:$P$8,MATCH(X342,'分群統計'!$A$5:$A$8,0)))),0)),""))</f>
        <v/>
      </c>
      <c r="AP342" s="31">
        <f>IF(BC342&lt;&gt;1,"",IFERROR(IF(INDEX('分群統計'!$Q$5:$Q$8,MATCH(X342,'分群統計'!$A$5:$A$8,0))&lt;3,"",IF(INDEX('分群統計'!$S$5:$S$8,MATCH(X342,'分群統計'!$A$5:$A$8,0))&gt;0,MAX(-3,MIN(3,(BB342-INDEX('分群統計'!$R$5:$R$8,MATCH(X342,'分群統計'!$A$5:$A$8,0)))/INDEX('分群統計'!$S$5:$S$8,MATCH(X342,'分群統計'!$A$5:$A$8,0)))),0)),""))</f>
        <v/>
      </c>
      <c r="AQ342" s="31">
        <f>IF(Y342=1,(IF(ISNUMBER(AF342),AF342,0)*'參數'!$B$13+IF(ISNUMBER(AM342),AM342,0)*'參數'!$B$14+IF(ISNUMBER(AO342),AO342,0)*'參數'!$B$15+IF(ISNUMBER(AP342),AP342,0)*'參數'!$B$16)/('參數'!$B$13+'參數'!$B$14+'參數'!$B$15+'參數'!$B$16),"")</f>
        <v/>
      </c>
      <c r="AR342" s="35">
        <f>IF(Y342=1,(SUMPRODUCT(($X$5:$X$404=X342)*($Y$5:$Y$404=1)*($BD$5:$BD$404&gt;BD342))+1)/COUNTIFS($X$5:$X$404,X342,$Y$5:$Y$404,1),"")</f>
        <v/>
      </c>
      <c r="AS342" s="8">
        <f>IF(ISNUMBER(AR342),IF(AR342&lt;='參數'!$B$18,"加碼候選",IF(AR342&gt;'參數'!$B$19,"減碼候選","")),"")</f>
        <v/>
      </c>
      <c r="AT342" s="7">
        <f>IF(Y342=1,N342,0)</f>
        <v/>
      </c>
      <c r="AU342" s="7">
        <f>IF(Y342=1,LN(O342),0)</f>
        <v/>
      </c>
      <c r="AV342" s="36">
        <f>IF(Y342=1,IF(ISNUMBER(F342),F342,0),0)</f>
        <v/>
      </c>
      <c r="AW342" s="7">
        <f>IF(Y342=1,Z342,0)</f>
        <v/>
      </c>
      <c r="AX342" s="7">
        <f>IF(Y342=1,IF(ISNUMBER(AL342),AL342,0),0)</f>
        <v/>
      </c>
      <c r="AY342" s="7">
        <f>IF(Y342=1,IF(ISNUMBER(AL342),1,0),0)</f>
        <v/>
      </c>
      <c r="AZ342" s="7">
        <f>IF(Y342=1,IF(ISNUMBER(AN342),AN342,0),0)</f>
        <v/>
      </c>
      <c r="BA342" s="7">
        <f>IF(Y342=1,IF(ISNUMBER(AN342),1,0),0)</f>
        <v/>
      </c>
      <c r="BB342" s="7">
        <f>IF(Y342=1,IF(ISNUMBER(T342),T342,0),0)</f>
        <v/>
      </c>
      <c r="BC342" s="7">
        <f>IF(Y342=1,IF(ISNUMBER(T342),1,0),0)</f>
        <v/>
      </c>
      <c r="BD342" s="7">
        <f>IF(Y342=1,AQ342+ROW()/1E9,-1E9)</f>
        <v/>
      </c>
      <c r="BE342" s="7">
        <f>IF(Y342=1,AQ342+ROW()/1E9,1E9)</f>
        <v/>
      </c>
    </row>
    <row r="343">
      <c r="A343" s="16" t="n"/>
      <c r="B343" s="8">
        <f>IF($A343="","",BDP($A343,B$3))</f>
        <v/>
      </c>
      <c r="C343" s="8">
        <f>IF($A343="","",BDP($A343,C$3))</f>
        <v/>
      </c>
      <c r="D343" s="28">
        <f>IF($A343="","",BDP($A343,D$3))</f>
        <v/>
      </c>
      <c r="E343" s="29">
        <f>IF($A343="","",BDP($A343,E$3))</f>
        <v/>
      </c>
      <c r="F343" s="17">
        <f>IF($A343="","",BDP($A343,F$3))</f>
        <v/>
      </c>
      <c r="G343" s="8">
        <f>IF($A343="","",BDP($A343,G$3))</f>
        <v/>
      </c>
      <c r="H343" s="8">
        <f>IF($A343="","",BDP($A343,H$3))</f>
        <v/>
      </c>
      <c r="I343" s="8">
        <f>IF($A343="","",BDP($A343,I$3))</f>
        <v/>
      </c>
      <c r="J343" s="8">
        <f>IF($A343="","",BDP($A343,J$3))</f>
        <v/>
      </c>
      <c r="K343" s="8">
        <f>IF($A343="","",BDP($A343,K$3))</f>
        <v/>
      </c>
      <c r="L343" s="28">
        <f>IF($A343="","",BDP($A343,L$3))</f>
        <v/>
      </c>
      <c r="M343" s="28">
        <f>IF($A343="","",BDP($A343,M$3))</f>
        <v/>
      </c>
      <c r="N343" s="30">
        <f>IF($A343="","",BDP($A343,N$3))</f>
        <v/>
      </c>
      <c r="O343" s="31">
        <f>IF($A343="","",BDP($A343,O$3))</f>
        <v/>
      </c>
      <c r="P343" s="30">
        <f>IF($A343="","",BDH($A343,$N$3,'參數'!$B$5,'參數'!$B$5,"Days=A","Fill=P","Dates=H"))</f>
        <v/>
      </c>
      <c r="Q343" s="30">
        <f>IF($A343="","",BDH($A343,$N$3,'參數'!$B$6,'參數'!$B$6,"Days=A","Fill=P","Dates=H"))</f>
        <v/>
      </c>
      <c r="R343" s="30">
        <f>IF($A343="","",BDH($A343,$N$3,'參數'!$B$7,'參數'!$B$7,"Days=A","Fill=P","Dates=H"))</f>
        <v/>
      </c>
      <c r="S343" s="32">
        <f>IF($A343="","",IFERROR(INDEX('發行人'!$A$5:$A$44,MATCH(B343,'發行人'!$D$5:$D$44,0)),"未對應"))</f>
        <v/>
      </c>
      <c r="T343" s="24">
        <f>IF($A343="","",IFERROR(INDEX('發行人'!$G$5:$G$44,MATCH(B343,'發行人'!$D$5:$D$44,0))+0,""))</f>
        <v/>
      </c>
      <c r="U343" s="18">
        <f>IF(ISNUMBER(E343),YEARFRAC('參數'!$B$4,E343),"")</f>
        <v/>
      </c>
      <c r="V343" s="8">
        <f>IF(U343="","",IF(U343&lt;3,"1-3y",IF(U343&lt;5,"3-5y",IF(U343&lt;7,"5-7y",IF(U343&lt;10,"7-10y","10y+")))))</f>
        <v/>
      </c>
      <c r="W343" s="30">
        <f>IF($A343="","",IFERROR(INDEX('參數'!$B$24:$B$45,MATCH(G343,'參數'!$A$24:$A$45,0)),""))</f>
        <v/>
      </c>
      <c r="X343" s="8">
        <f>IF($A343="","",IFERROR(INDEX('參數'!$C$24:$C$45,MATCH(G343,'參數'!$A$24:$A$45,0)),""))</f>
        <v/>
      </c>
      <c r="Y343" s="30">
        <f>IF(AND(ISNUMBER(N343),ISNUMBER(O343),ISNUMBER(U343)),IF(AND(O343&gt;0,X343&lt;&gt;""),1,0),0)</f>
        <v/>
      </c>
      <c r="Z343" s="17">
        <f>IF(Y343=1,O343*N343,"")</f>
        <v/>
      </c>
      <c r="AA343" s="33">
        <f>IF(Y343=1,IF(ISNUMBER(Q343),N343-Q343,""),"")</f>
        <v/>
      </c>
      <c r="AB343" s="33">
        <f>IF(Y343=1,IF(AND(ISNUMBER(P343),ISNUMBER(R343)),R343*5/12-O343*(P343-R343),""),"")</f>
        <v/>
      </c>
      <c r="AC343" s="30">
        <f>IF(Y343=1,COUNTIFS($X$5:$X$404,X343,$V$5:$V$404,V343,$Y$5:$Y$404,1),"")</f>
        <v/>
      </c>
      <c r="AD343" s="30">
        <f>IF(Y343=1,IFERROR(IF(AC343&gt;='參數'!$B$9,INDEX('分群統計'!$G$13:$K$16,MATCH(X343,'分群統計'!$A$13:$A$16,0),MATCH(V343,'分群統計'!$G$12:$K$12,0)),INDEX('分群統計'!$I$5:$I$8,MATCH(X343,'分群統計'!$A$5:$A$8,0))),""),"")</f>
        <v/>
      </c>
      <c r="AE343" s="18">
        <f>IF(Y343=1,IFERROR(IF(AC343&gt;='參數'!$B$9,INDEX('分群統計'!$L$13:$P$16,MATCH(X343,'分群統計'!$A$13:$A$16,0),MATCH(V343,'分群統計'!$L$12:$P$12,0)),INDEX('分群統計'!$J$5:$J$8,MATCH(X343,'分群統計'!$A$5:$A$8,0))),""),"")</f>
        <v/>
      </c>
      <c r="AF343" s="31">
        <f>IF(ISNUMBER(AE343),IF(AE343&gt;0,MAX(-3,MIN(3,(N343-AD343)/AE343)),0),"")</f>
        <v/>
      </c>
      <c r="AG343" s="30">
        <f>IF(Y343=1,COUNTIFS($B$5:$B$404,B343,$Y$5:$Y$404,1),"")</f>
        <v/>
      </c>
      <c r="AH343" s="30">
        <f>IF(Y343=1,IFERROR(IF(ISNUMBER(INDEX('分群統計'!$G$20:$G$59,MATCH(B343,'分群統計'!$A$20:$A$59,0))),INDEX('分群統計'!$H$20:$H$59,MATCH(B343,'分群統計'!$A$20:$A$59,0))+INDEX('分群統計'!$G$20:$G$59,MATCH(B343,'分群統計'!$A$20:$A$59,0))*AU343,""),""),"")</f>
        <v/>
      </c>
      <c r="AI343" s="34">
        <f>IF(ISNUMBER(AH343),N343-AH343,"")</f>
        <v/>
      </c>
      <c r="AJ343" s="30">
        <f>IF(Y343=1,IFERROR(IF(ISNUMBER(INDEX('分群統計'!$G$5:$G$8,MATCH(X343,'分群統計'!$A$5:$A$8,0))),INDEX('分群統計'!$H$5:$H$8,MATCH(X343,'分群統計'!$A$5:$A$8,0))+INDEX('分群統計'!$G$5:$G$8,MATCH(X343,'分群統計'!$A$5:$A$8,0))*AU343,""),""),"")</f>
        <v/>
      </c>
      <c r="AK343" s="34">
        <f>IF(ISNUMBER(AJ343),N343-AJ343,"")</f>
        <v/>
      </c>
      <c r="AL343" s="21">
        <f>IF(ISNUMBER(AJ343),IF(AJ343&gt;0,AK343/AJ343,""),"")</f>
        <v/>
      </c>
      <c r="AM343" s="31">
        <f>IF(AY343&lt;&gt;1,"",IFERROR(IF(INDEX('分群統計'!$K$5:$K$8,MATCH(X343,'分群統計'!$A$5:$A$8,0))&lt;3,"",IF(INDEX('分群統計'!$M$5:$M$8,MATCH(X343,'分群統計'!$A$5:$A$8,0))&gt;0,MAX(-3,MIN(3,(AX343-INDEX('分群統計'!$L$5:$L$8,MATCH(X343,'分群統計'!$A$5:$A$8,0)))/INDEX('分群統計'!$M$5:$M$8,MATCH(X343,'分群統計'!$A$5:$A$8,0)))),0)),""))</f>
        <v/>
      </c>
      <c r="AN343" s="31">
        <f>IF(ISNUMBER(AB343),IF(Z343&gt;0,AB343/Z343*100,""),"")</f>
        <v/>
      </c>
      <c r="AO343" s="31">
        <f>IF(BA343&lt;&gt;1,"",IFERROR(IF(INDEX('分群統計'!$N$5:$N$8,MATCH(X343,'分群統計'!$A$5:$A$8,0))&lt;3,"",IF(INDEX('分群統計'!$P$5:$P$8,MATCH(X343,'分群統計'!$A$5:$A$8,0))&gt;0,MAX(-3,MIN(3,(AZ343-INDEX('分群統計'!$O$5:$O$8,MATCH(X343,'分群統計'!$A$5:$A$8,0)))/INDEX('分群統計'!$P$5:$P$8,MATCH(X343,'分群統計'!$A$5:$A$8,0)))),0)),""))</f>
        <v/>
      </c>
      <c r="AP343" s="31">
        <f>IF(BC343&lt;&gt;1,"",IFERROR(IF(INDEX('分群統計'!$Q$5:$Q$8,MATCH(X343,'分群統計'!$A$5:$A$8,0))&lt;3,"",IF(INDEX('分群統計'!$S$5:$S$8,MATCH(X343,'分群統計'!$A$5:$A$8,0))&gt;0,MAX(-3,MIN(3,(BB343-INDEX('分群統計'!$R$5:$R$8,MATCH(X343,'分群統計'!$A$5:$A$8,0)))/INDEX('分群統計'!$S$5:$S$8,MATCH(X343,'分群統計'!$A$5:$A$8,0)))),0)),""))</f>
        <v/>
      </c>
      <c r="AQ343" s="31">
        <f>IF(Y343=1,(IF(ISNUMBER(AF343),AF343,0)*'參數'!$B$13+IF(ISNUMBER(AM343),AM343,0)*'參數'!$B$14+IF(ISNUMBER(AO343),AO343,0)*'參數'!$B$15+IF(ISNUMBER(AP343),AP343,0)*'參數'!$B$16)/('參數'!$B$13+'參數'!$B$14+'參數'!$B$15+'參數'!$B$16),"")</f>
        <v/>
      </c>
      <c r="AR343" s="35">
        <f>IF(Y343=1,(SUMPRODUCT(($X$5:$X$404=X343)*($Y$5:$Y$404=1)*($BD$5:$BD$404&gt;BD343))+1)/COUNTIFS($X$5:$X$404,X343,$Y$5:$Y$404,1),"")</f>
        <v/>
      </c>
      <c r="AS343" s="8">
        <f>IF(ISNUMBER(AR343),IF(AR343&lt;='參數'!$B$18,"加碼候選",IF(AR343&gt;'參數'!$B$19,"減碼候選","")),"")</f>
        <v/>
      </c>
      <c r="AT343" s="7">
        <f>IF(Y343=1,N343,0)</f>
        <v/>
      </c>
      <c r="AU343" s="7">
        <f>IF(Y343=1,LN(O343),0)</f>
        <v/>
      </c>
      <c r="AV343" s="36">
        <f>IF(Y343=1,IF(ISNUMBER(F343),F343,0),0)</f>
        <v/>
      </c>
      <c r="AW343" s="7">
        <f>IF(Y343=1,Z343,0)</f>
        <v/>
      </c>
      <c r="AX343" s="7">
        <f>IF(Y343=1,IF(ISNUMBER(AL343),AL343,0),0)</f>
        <v/>
      </c>
      <c r="AY343" s="7">
        <f>IF(Y343=1,IF(ISNUMBER(AL343),1,0),0)</f>
        <v/>
      </c>
      <c r="AZ343" s="7">
        <f>IF(Y343=1,IF(ISNUMBER(AN343),AN343,0),0)</f>
        <v/>
      </c>
      <c r="BA343" s="7">
        <f>IF(Y343=1,IF(ISNUMBER(AN343),1,0),0)</f>
        <v/>
      </c>
      <c r="BB343" s="7">
        <f>IF(Y343=1,IF(ISNUMBER(T343),T343,0),0)</f>
        <v/>
      </c>
      <c r="BC343" s="7">
        <f>IF(Y343=1,IF(ISNUMBER(T343),1,0),0)</f>
        <v/>
      </c>
      <c r="BD343" s="7">
        <f>IF(Y343=1,AQ343+ROW()/1E9,-1E9)</f>
        <v/>
      </c>
      <c r="BE343" s="7">
        <f>IF(Y343=1,AQ343+ROW()/1E9,1E9)</f>
        <v/>
      </c>
    </row>
    <row r="344">
      <c r="A344" s="16" t="n"/>
      <c r="B344" s="8">
        <f>IF($A344="","",BDP($A344,B$3))</f>
        <v/>
      </c>
      <c r="C344" s="8">
        <f>IF($A344="","",BDP($A344,C$3))</f>
        <v/>
      </c>
      <c r="D344" s="28">
        <f>IF($A344="","",BDP($A344,D$3))</f>
        <v/>
      </c>
      <c r="E344" s="29">
        <f>IF($A344="","",BDP($A344,E$3))</f>
        <v/>
      </c>
      <c r="F344" s="17">
        <f>IF($A344="","",BDP($A344,F$3))</f>
        <v/>
      </c>
      <c r="G344" s="8">
        <f>IF($A344="","",BDP($A344,G$3))</f>
        <v/>
      </c>
      <c r="H344" s="8">
        <f>IF($A344="","",BDP($A344,H$3))</f>
        <v/>
      </c>
      <c r="I344" s="8">
        <f>IF($A344="","",BDP($A344,I$3))</f>
        <v/>
      </c>
      <c r="J344" s="8">
        <f>IF($A344="","",BDP($A344,J$3))</f>
        <v/>
      </c>
      <c r="K344" s="8">
        <f>IF($A344="","",BDP($A344,K$3))</f>
        <v/>
      </c>
      <c r="L344" s="28">
        <f>IF($A344="","",BDP($A344,L$3))</f>
        <v/>
      </c>
      <c r="M344" s="28">
        <f>IF($A344="","",BDP($A344,M$3))</f>
        <v/>
      </c>
      <c r="N344" s="30">
        <f>IF($A344="","",BDP($A344,N$3))</f>
        <v/>
      </c>
      <c r="O344" s="31">
        <f>IF($A344="","",BDP($A344,O$3))</f>
        <v/>
      </c>
      <c r="P344" s="30">
        <f>IF($A344="","",BDH($A344,$N$3,'參數'!$B$5,'參數'!$B$5,"Days=A","Fill=P","Dates=H"))</f>
        <v/>
      </c>
      <c r="Q344" s="30">
        <f>IF($A344="","",BDH($A344,$N$3,'參數'!$B$6,'參數'!$B$6,"Days=A","Fill=P","Dates=H"))</f>
        <v/>
      </c>
      <c r="R344" s="30">
        <f>IF($A344="","",BDH($A344,$N$3,'參數'!$B$7,'參數'!$B$7,"Days=A","Fill=P","Dates=H"))</f>
        <v/>
      </c>
      <c r="S344" s="32">
        <f>IF($A344="","",IFERROR(INDEX('發行人'!$A$5:$A$44,MATCH(B344,'發行人'!$D$5:$D$44,0)),"未對應"))</f>
        <v/>
      </c>
      <c r="T344" s="24">
        <f>IF($A344="","",IFERROR(INDEX('發行人'!$G$5:$G$44,MATCH(B344,'發行人'!$D$5:$D$44,0))+0,""))</f>
        <v/>
      </c>
      <c r="U344" s="18">
        <f>IF(ISNUMBER(E344),YEARFRAC('參數'!$B$4,E344),"")</f>
        <v/>
      </c>
      <c r="V344" s="8">
        <f>IF(U344="","",IF(U344&lt;3,"1-3y",IF(U344&lt;5,"3-5y",IF(U344&lt;7,"5-7y",IF(U344&lt;10,"7-10y","10y+")))))</f>
        <v/>
      </c>
      <c r="W344" s="30">
        <f>IF($A344="","",IFERROR(INDEX('參數'!$B$24:$B$45,MATCH(G344,'參數'!$A$24:$A$45,0)),""))</f>
        <v/>
      </c>
      <c r="X344" s="8">
        <f>IF($A344="","",IFERROR(INDEX('參數'!$C$24:$C$45,MATCH(G344,'參數'!$A$24:$A$45,0)),""))</f>
        <v/>
      </c>
      <c r="Y344" s="30">
        <f>IF(AND(ISNUMBER(N344),ISNUMBER(O344),ISNUMBER(U344)),IF(AND(O344&gt;0,X344&lt;&gt;""),1,0),0)</f>
        <v/>
      </c>
      <c r="Z344" s="17">
        <f>IF(Y344=1,O344*N344,"")</f>
        <v/>
      </c>
      <c r="AA344" s="33">
        <f>IF(Y344=1,IF(ISNUMBER(Q344),N344-Q344,""),"")</f>
        <v/>
      </c>
      <c r="AB344" s="33">
        <f>IF(Y344=1,IF(AND(ISNUMBER(P344),ISNUMBER(R344)),R344*5/12-O344*(P344-R344),""),"")</f>
        <v/>
      </c>
      <c r="AC344" s="30">
        <f>IF(Y344=1,COUNTIFS($X$5:$X$404,X344,$V$5:$V$404,V344,$Y$5:$Y$404,1),"")</f>
        <v/>
      </c>
      <c r="AD344" s="30">
        <f>IF(Y344=1,IFERROR(IF(AC344&gt;='參數'!$B$9,INDEX('分群統計'!$G$13:$K$16,MATCH(X344,'分群統計'!$A$13:$A$16,0),MATCH(V344,'分群統計'!$G$12:$K$12,0)),INDEX('分群統計'!$I$5:$I$8,MATCH(X344,'分群統計'!$A$5:$A$8,0))),""),"")</f>
        <v/>
      </c>
      <c r="AE344" s="18">
        <f>IF(Y344=1,IFERROR(IF(AC344&gt;='參數'!$B$9,INDEX('分群統計'!$L$13:$P$16,MATCH(X344,'分群統計'!$A$13:$A$16,0),MATCH(V344,'分群統計'!$L$12:$P$12,0)),INDEX('分群統計'!$J$5:$J$8,MATCH(X344,'分群統計'!$A$5:$A$8,0))),""),"")</f>
        <v/>
      </c>
      <c r="AF344" s="31">
        <f>IF(ISNUMBER(AE344),IF(AE344&gt;0,MAX(-3,MIN(3,(N344-AD344)/AE344)),0),"")</f>
        <v/>
      </c>
      <c r="AG344" s="30">
        <f>IF(Y344=1,COUNTIFS($B$5:$B$404,B344,$Y$5:$Y$404,1),"")</f>
        <v/>
      </c>
      <c r="AH344" s="30">
        <f>IF(Y344=1,IFERROR(IF(ISNUMBER(INDEX('分群統計'!$G$20:$G$59,MATCH(B344,'分群統計'!$A$20:$A$59,0))),INDEX('分群統計'!$H$20:$H$59,MATCH(B344,'分群統計'!$A$20:$A$59,0))+INDEX('分群統計'!$G$20:$G$59,MATCH(B344,'分群統計'!$A$20:$A$59,0))*AU344,""),""),"")</f>
        <v/>
      </c>
      <c r="AI344" s="34">
        <f>IF(ISNUMBER(AH344),N344-AH344,"")</f>
        <v/>
      </c>
      <c r="AJ344" s="30">
        <f>IF(Y344=1,IFERROR(IF(ISNUMBER(INDEX('分群統計'!$G$5:$G$8,MATCH(X344,'分群統計'!$A$5:$A$8,0))),INDEX('分群統計'!$H$5:$H$8,MATCH(X344,'分群統計'!$A$5:$A$8,0))+INDEX('分群統計'!$G$5:$G$8,MATCH(X344,'分群統計'!$A$5:$A$8,0))*AU344,""),""),"")</f>
        <v/>
      </c>
      <c r="AK344" s="34">
        <f>IF(ISNUMBER(AJ344),N344-AJ344,"")</f>
        <v/>
      </c>
      <c r="AL344" s="21">
        <f>IF(ISNUMBER(AJ344),IF(AJ344&gt;0,AK344/AJ344,""),"")</f>
        <v/>
      </c>
      <c r="AM344" s="31">
        <f>IF(AY344&lt;&gt;1,"",IFERROR(IF(INDEX('分群統計'!$K$5:$K$8,MATCH(X344,'分群統計'!$A$5:$A$8,0))&lt;3,"",IF(INDEX('分群統計'!$M$5:$M$8,MATCH(X344,'分群統計'!$A$5:$A$8,0))&gt;0,MAX(-3,MIN(3,(AX344-INDEX('分群統計'!$L$5:$L$8,MATCH(X344,'分群統計'!$A$5:$A$8,0)))/INDEX('分群統計'!$M$5:$M$8,MATCH(X344,'分群統計'!$A$5:$A$8,0)))),0)),""))</f>
        <v/>
      </c>
      <c r="AN344" s="31">
        <f>IF(ISNUMBER(AB344),IF(Z344&gt;0,AB344/Z344*100,""),"")</f>
        <v/>
      </c>
      <c r="AO344" s="31">
        <f>IF(BA344&lt;&gt;1,"",IFERROR(IF(INDEX('分群統計'!$N$5:$N$8,MATCH(X344,'分群統計'!$A$5:$A$8,0))&lt;3,"",IF(INDEX('分群統計'!$P$5:$P$8,MATCH(X344,'分群統計'!$A$5:$A$8,0))&gt;0,MAX(-3,MIN(3,(AZ344-INDEX('分群統計'!$O$5:$O$8,MATCH(X344,'分群統計'!$A$5:$A$8,0)))/INDEX('分群統計'!$P$5:$P$8,MATCH(X344,'分群統計'!$A$5:$A$8,0)))),0)),""))</f>
        <v/>
      </c>
      <c r="AP344" s="31">
        <f>IF(BC344&lt;&gt;1,"",IFERROR(IF(INDEX('分群統計'!$Q$5:$Q$8,MATCH(X344,'分群統計'!$A$5:$A$8,0))&lt;3,"",IF(INDEX('分群統計'!$S$5:$S$8,MATCH(X344,'分群統計'!$A$5:$A$8,0))&gt;0,MAX(-3,MIN(3,(BB344-INDEX('分群統計'!$R$5:$R$8,MATCH(X344,'分群統計'!$A$5:$A$8,0)))/INDEX('分群統計'!$S$5:$S$8,MATCH(X344,'分群統計'!$A$5:$A$8,0)))),0)),""))</f>
        <v/>
      </c>
      <c r="AQ344" s="31">
        <f>IF(Y344=1,(IF(ISNUMBER(AF344),AF344,0)*'參數'!$B$13+IF(ISNUMBER(AM344),AM344,0)*'參數'!$B$14+IF(ISNUMBER(AO344),AO344,0)*'參數'!$B$15+IF(ISNUMBER(AP344),AP344,0)*'參數'!$B$16)/('參數'!$B$13+'參數'!$B$14+'參數'!$B$15+'參數'!$B$16),"")</f>
        <v/>
      </c>
      <c r="AR344" s="35">
        <f>IF(Y344=1,(SUMPRODUCT(($X$5:$X$404=X344)*($Y$5:$Y$404=1)*($BD$5:$BD$404&gt;BD344))+1)/COUNTIFS($X$5:$X$404,X344,$Y$5:$Y$404,1),"")</f>
        <v/>
      </c>
      <c r="AS344" s="8">
        <f>IF(ISNUMBER(AR344),IF(AR344&lt;='參數'!$B$18,"加碼候選",IF(AR344&gt;'參數'!$B$19,"減碼候選","")),"")</f>
        <v/>
      </c>
      <c r="AT344" s="7">
        <f>IF(Y344=1,N344,0)</f>
        <v/>
      </c>
      <c r="AU344" s="7">
        <f>IF(Y344=1,LN(O344),0)</f>
        <v/>
      </c>
      <c r="AV344" s="36">
        <f>IF(Y344=1,IF(ISNUMBER(F344),F344,0),0)</f>
        <v/>
      </c>
      <c r="AW344" s="7">
        <f>IF(Y344=1,Z344,0)</f>
        <v/>
      </c>
      <c r="AX344" s="7">
        <f>IF(Y344=1,IF(ISNUMBER(AL344),AL344,0),0)</f>
        <v/>
      </c>
      <c r="AY344" s="7">
        <f>IF(Y344=1,IF(ISNUMBER(AL344),1,0),0)</f>
        <v/>
      </c>
      <c r="AZ344" s="7">
        <f>IF(Y344=1,IF(ISNUMBER(AN344),AN344,0),0)</f>
        <v/>
      </c>
      <c r="BA344" s="7">
        <f>IF(Y344=1,IF(ISNUMBER(AN344),1,0),0)</f>
        <v/>
      </c>
      <c r="BB344" s="7">
        <f>IF(Y344=1,IF(ISNUMBER(T344),T344,0),0)</f>
        <v/>
      </c>
      <c r="BC344" s="7">
        <f>IF(Y344=1,IF(ISNUMBER(T344),1,0),0)</f>
        <v/>
      </c>
      <c r="BD344" s="7">
        <f>IF(Y344=1,AQ344+ROW()/1E9,-1E9)</f>
        <v/>
      </c>
      <c r="BE344" s="7">
        <f>IF(Y344=1,AQ344+ROW()/1E9,1E9)</f>
        <v/>
      </c>
    </row>
    <row r="345">
      <c r="A345" s="16" t="n"/>
      <c r="B345" s="8">
        <f>IF($A345="","",BDP($A345,B$3))</f>
        <v/>
      </c>
      <c r="C345" s="8">
        <f>IF($A345="","",BDP($A345,C$3))</f>
        <v/>
      </c>
      <c r="D345" s="28">
        <f>IF($A345="","",BDP($A345,D$3))</f>
        <v/>
      </c>
      <c r="E345" s="29">
        <f>IF($A345="","",BDP($A345,E$3))</f>
        <v/>
      </c>
      <c r="F345" s="17">
        <f>IF($A345="","",BDP($A345,F$3))</f>
        <v/>
      </c>
      <c r="G345" s="8">
        <f>IF($A345="","",BDP($A345,G$3))</f>
        <v/>
      </c>
      <c r="H345" s="8">
        <f>IF($A345="","",BDP($A345,H$3))</f>
        <v/>
      </c>
      <c r="I345" s="8">
        <f>IF($A345="","",BDP($A345,I$3))</f>
        <v/>
      </c>
      <c r="J345" s="8">
        <f>IF($A345="","",BDP($A345,J$3))</f>
        <v/>
      </c>
      <c r="K345" s="8">
        <f>IF($A345="","",BDP($A345,K$3))</f>
        <v/>
      </c>
      <c r="L345" s="28">
        <f>IF($A345="","",BDP($A345,L$3))</f>
        <v/>
      </c>
      <c r="M345" s="28">
        <f>IF($A345="","",BDP($A345,M$3))</f>
        <v/>
      </c>
      <c r="N345" s="30">
        <f>IF($A345="","",BDP($A345,N$3))</f>
        <v/>
      </c>
      <c r="O345" s="31">
        <f>IF($A345="","",BDP($A345,O$3))</f>
        <v/>
      </c>
      <c r="P345" s="30">
        <f>IF($A345="","",BDH($A345,$N$3,'參數'!$B$5,'參數'!$B$5,"Days=A","Fill=P","Dates=H"))</f>
        <v/>
      </c>
      <c r="Q345" s="30">
        <f>IF($A345="","",BDH($A345,$N$3,'參數'!$B$6,'參數'!$B$6,"Days=A","Fill=P","Dates=H"))</f>
        <v/>
      </c>
      <c r="R345" s="30">
        <f>IF($A345="","",BDH($A345,$N$3,'參數'!$B$7,'參數'!$B$7,"Days=A","Fill=P","Dates=H"))</f>
        <v/>
      </c>
      <c r="S345" s="32">
        <f>IF($A345="","",IFERROR(INDEX('發行人'!$A$5:$A$44,MATCH(B345,'發行人'!$D$5:$D$44,0)),"未對應"))</f>
        <v/>
      </c>
      <c r="T345" s="24">
        <f>IF($A345="","",IFERROR(INDEX('發行人'!$G$5:$G$44,MATCH(B345,'發行人'!$D$5:$D$44,0))+0,""))</f>
        <v/>
      </c>
      <c r="U345" s="18">
        <f>IF(ISNUMBER(E345),YEARFRAC('參數'!$B$4,E345),"")</f>
        <v/>
      </c>
      <c r="V345" s="8">
        <f>IF(U345="","",IF(U345&lt;3,"1-3y",IF(U345&lt;5,"3-5y",IF(U345&lt;7,"5-7y",IF(U345&lt;10,"7-10y","10y+")))))</f>
        <v/>
      </c>
      <c r="W345" s="30">
        <f>IF($A345="","",IFERROR(INDEX('參數'!$B$24:$B$45,MATCH(G345,'參數'!$A$24:$A$45,0)),""))</f>
        <v/>
      </c>
      <c r="X345" s="8">
        <f>IF($A345="","",IFERROR(INDEX('參數'!$C$24:$C$45,MATCH(G345,'參數'!$A$24:$A$45,0)),""))</f>
        <v/>
      </c>
      <c r="Y345" s="30">
        <f>IF(AND(ISNUMBER(N345),ISNUMBER(O345),ISNUMBER(U345)),IF(AND(O345&gt;0,X345&lt;&gt;""),1,0),0)</f>
        <v/>
      </c>
      <c r="Z345" s="17">
        <f>IF(Y345=1,O345*N345,"")</f>
        <v/>
      </c>
      <c r="AA345" s="33">
        <f>IF(Y345=1,IF(ISNUMBER(Q345),N345-Q345,""),"")</f>
        <v/>
      </c>
      <c r="AB345" s="33">
        <f>IF(Y345=1,IF(AND(ISNUMBER(P345),ISNUMBER(R345)),R345*5/12-O345*(P345-R345),""),"")</f>
        <v/>
      </c>
      <c r="AC345" s="30">
        <f>IF(Y345=1,COUNTIFS($X$5:$X$404,X345,$V$5:$V$404,V345,$Y$5:$Y$404,1),"")</f>
        <v/>
      </c>
      <c r="AD345" s="30">
        <f>IF(Y345=1,IFERROR(IF(AC345&gt;='參數'!$B$9,INDEX('分群統計'!$G$13:$K$16,MATCH(X345,'分群統計'!$A$13:$A$16,0),MATCH(V345,'分群統計'!$G$12:$K$12,0)),INDEX('分群統計'!$I$5:$I$8,MATCH(X345,'分群統計'!$A$5:$A$8,0))),""),"")</f>
        <v/>
      </c>
      <c r="AE345" s="18">
        <f>IF(Y345=1,IFERROR(IF(AC345&gt;='參數'!$B$9,INDEX('分群統計'!$L$13:$P$16,MATCH(X345,'分群統計'!$A$13:$A$16,0),MATCH(V345,'分群統計'!$L$12:$P$12,0)),INDEX('分群統計'!$J$5:$J$8,MATCH(X345,'分群統計'!$A$5:$A$8,0))),""),"")</f>
        <v/>
      </c>
      <c r="AF345" s="31">
        <f>IF(ISNUMBER(AE345),IF(AE345&gt;0,MAX(-3,MIN(3,(N345-AD345)/AE345)),0),"")</f>
        <v/>
      </c>
      <c r="AG345" s="30">
        <f>IF(Y345=1,COUNTIFS($B$5:$B$404,B345,$Y$5:$Y$404,1),"")</f>
        <v/>
      </c>
      <c r="AH345" s="30">
        <f>IF(Y345=1,IFERROR(IF(ISNUMBER(INDEX('分群統計'!$G$20:$G$59,MATCH(B345,'分群統計'!$A$20:$A$59,0))),INDEX('分群統計'!$H$20:$H$59,MATCH(B345,'分群統計'!$A$20:$A$59,0))+INDEX('分群統計'!$G$20:$G$59,MATCH(B345,'分群統計'!$A$20:$A$59,0))*AU345,""),""),"")</f>
        <v/>
      </c>
      <c r="AI345" s="34">
        <f>IF(ISNUMBER(AH345),N345-AH345,"")</f>
        <v/>
      </c>
      <c r="AJ345" s="30">
        <f>IF(Y345=1,IFERROR(IF(ISNUMBER(INDEX('分群統計'!$G$5:$G$8,MATCH(X345,'分群統計'!$A$5:$A$8,0))),INDEX('分群統計'!$H$5:$H$8,MATCH(X345,'分群統計'!$A$5:$A$8,0))+INDEX('分群統計'!$G$5:$G$8,MATCH(X345,'分群統計'!$A$5:$A$8,0))*AU345,""),""),"")</f>
        <v/>
      </c>
      <c r="AK345" s="34">
        <f>IF(ISNUMBER(AJ345),N345-AJ345,"")</f>
        <v/>
      </c>
      <c r="AL345" s="21">
        <f>IF(ISNUMBER(AJ345),IF(AJ345&gt;0,AK345/AJ345,""),"")</f>
        <v/>
      </c>
      <c r="AM345" s="31">
        <f>IF(AY345&lt;&gt;1,"",IFERROR(IF(INDEX('分群統計'!$K$5:$K$8,MATCH(X345,'分群統計'!$A$5:$A$8,0))&lt;3,"",IF(INDEX('分群統計'!$M$5:$M$8,MATCH(X345,'分群統計'!$A$5:$A$8,0))&gt;0,MAX(-3,MIN(3,(AX345-INDEX('分群統計'!$L$5:$L$8,MATCH(X345,'分群統計'!$A$5:$A$8,0)))/INDEX('分群統計'!$M$5:$M$8,MATCH(X345,'分群統計'!$A$5:$A$8,0)))),0)),""))</f>
        <v/>
      </c>
      <c r="AN345" s="31">
        <f>IF(ISNUMBER(AB345),IF(Z345&gt;0,AB345/Z345*100,""),"")</f>
        <v/>
      </c>
      <c r="AO345" s="31">
        <f>IF(BA345&lt;&gt;1,"",IFERROR(IF(INDEX('分群統計'!$N$5:$N$8,MATCH(X345,'分群統計'!$A$5:$A$8,0))&lt;3,"",IF(INDEX('分群統計'!$P$5:$P$8,MATCH(X345,'分群統計'!$A$5:$A$8,0))&gt;0,MAX(-3,MIN(3,(AZ345-INDEX('分群統計'!$O$5:$O$8,MATCH(X345,'分群統計'!$A$5:$A$8,0)))/INDEX('分群統計'!$P$5:$P$8,MATCH(X345,'分群統計'!$A$5:$A$8,0)))),0)),""))</f>
        <v/>
      </c>
      <c r="AP345" s="31">
        <f>IF(BC345&lt;&gt;1,"",IFERROR(IF(INDEX('分群統計'!$Q$5:$Q$8,MATCH(X345,'分群統計'!$A$5:$A$8,0))&lt;3,"",IF(INDEX('分群統計'!$S$5:$S$8,MATCH(X345,'分群統計'!$A$5:$A$8,0))&gt;0,MAX(-3,MIN(3,(BB345-INDEX('分群統計'!$R$5:$R$8,MATCH(X345,'分群統計'!$A$5:$A$8,0)))/INDEX('分群統計'!$S$5:$S$8,MATCH(X345,'分群統計'!$A$5:$A$8,0)))),0)),""))</f>
        <v/>
      </c>
      <c r="AQ345" s="31">
        <f>IF(Y345=1,(IF(ISNUMBER(AF345),AF345,0)*'參數'!$B$13+IF(ISNUMBER(AM345),AM345,0)*'參數'!$B$14+IF(ISNUMBER(AO345),AO345,0)*'參數'!$B$15+IF(ISNUMBER(AP345),AP345,0)*'參數'!$B$16)/('參數'!$B$13+'參數'!$B$14+'參數'!$B$15+'參數'!$B$16),"")</f>
        <v/>
      </c>
      <c r="AR345" s="35">
        <f>IF(Y345=1,(SUMPRODUCT(($X$5:$X$404=X345)*($Y$5:$Y$404=1)*($BD$5:$BD$404&gt;BD345))+1)/COUNTIFS($X$5:$X$404,X345,$Y$5:$Y$404,1),"")</f>
        <v/>
      </c>
      <c r="AS345" s="8">
        <f>IF(ISNUMBER(AR345),IF(AR345&lt;='參數'!$B$18,"加碼候選",IF(AR345&gt;'參數'!$B$19,"減碼候選","")),"")</f>
        <v/>
      </c>
      <c r="AT345" s="7">
        <f>IF(Y345=1,N345,0)</f>
        <v/>
      </c>
      <c r="AU345" s="7">
        <f>IF(Y345=1,LN(O345),0)</f>
        <v/>
      </c>
      <c r="AV345" s="36">
        <f>IF(Y345=1,IF(ISNUMBER(F345),F345,0),0)</f>
        <v/>
      </c>
      <c r="AW345" s="7">
        <f>IF(Y345=1,Z345,0)</f>
        <v/>
      </c>
      <c r="AX345" s="7">
        <f>IF(Y345=1,IF(ISNUMBER(AL345),AL345,0),0)</f>
        <v/>
      </c>
      <c r="AY345" s="7">
        <f>IF(Y345=1,IF(ISNUMBER(AL345),1,0),0)</f>
        <v/>
      </c>
      <c r="AZ345" s="7">
        <f>IF(Y345=1,IF(ISNUMBER(AN345),AN345,0),0)</f>
        <v/>
      </c>
      <c r="BA345" s="7">
        <f>IF(Y345=1,IF(ISNUMBER(AN345),1,0),0)</f>
        <v/>
      </c>
      <c r="BB345" s="7">
        <f>IF(Y345=1,IF(ISNUMBER(T345),T345,0),0)</f>
        <v/>
      </c>
      <c r="BC345" s="7">
        <f>IF(Y345=1,IF(ISNUMBER(T345),1,0),0)</f>
        <v/>
      </c>
      <c r="BD345" s="7">
        <f>IF(Y345=1,AQ345+ROW()/1E9,-1E9)</f>
        <v/>
      </c>
      <c r="BE345" s="7">
        <f>IF(Y345=1,AQ345+ROW()/1E9,1E9)</f>
        <v/>
      </c>
    </row>
    <row r="346">
      <c r="A346" s="16" t="n"/>
      <c r="B346" s="8">
        <f>IF($A346="","",BDP($A346,B$3))</f>
        <v/>
      </c>
      <c r="C346" s="8">
        <f>IF($A346="","",BDP($A346,C$3))</f>
        <v/>
      </c>
      <c r="D346" s="28">
        <f>IF($A346="","",BDP($A346,D$3))</f>
        <v/>
      </c>
      <c r="E346" s="29">
        <f>IF($A346="","",BDP($A346,E$3))</f>
        <v/>
      </c>
      <c r="F346" s="17">
        <f>IF($A346="","",BDP($A346,F$3))</f>
        <v/>
      </c>
      <c r="G346" s="8">
        <f>IF($A346="","",BDP($A346,G$3))</f>
        <v/>
      </c>
      <c r="H346" s="8">
        <f>IF($A346="","",BDP($A346,H$3))</f>
        <v/>
      </c>
      <c r="I346" s="8">
        <f>IF($A346="","",BDP($A346,I$3))</f>
        <v/>
      </c>
      <c r="J346" s="8">
        <f>IF($A346="","",BDP($A346,J$3))</f>
        <v/>
      </c>
      <c r="K346" s="8">
        <f>IF($A346="","",BDP($A346,K$3))</f>
        <v/>
      </c>
      <c r="L346" s="28">
        <f>IF($A346="","",BDP($A346,L$3))</f>
        <v/>
      </c>
      <c r="M346" s="28">
        <f>IF($A346="","",BDP($A346,M$3))</f>
        <v/>
      </c>
      <c r="N346" s="30">
        <f>IF($A346="","",BDP($A346,N$3))</f>
        <v/>
      </c>
      <c r="O346" s="31">
        <f>IF($A346="","",BDP($A346,O$3))</f>
        <v/>
      </c>
      <c r="P346" s="30">
        <f>IF($A346="","",BDH($A346,$N$3,'參數'!$B$5,'參數'!$B$5,"Days=A","Fill=P","Dates=H"))</f>
        <v/>
      </c>
      <c r="Q346" s="30">
        <f>IF($A346="","",BDH($A346,$N$3,'參數'!$B$6,'參數'!$B$6,"Days=A","Fill=P","Dates=H"))</f>
        <v/>
      </c>
      <c r="R346" s="30">
        <f>IF($A346="","",BDH($A346,$N$3,'參數'!$B$7,'參數'!$B$7,"Days=A","Fill=P","Dates=H"))</f>
        <v/>
      </c>
      <c r="S346" s="32">
        <f>IF($A346="","",IFERROR(INDEX('發行人'!$A$5:$A$44,MATCH(B346,'發行人'!$D$5:$D$44,0)),"未對應"))</f>
        <v/>
      </c>
      <c r="T346" s="24">
        <f>IF($A346="","",IFERROR(INDEX('發行人'!$G$5:$G$44,MATCH(B346,'發行人'!$D$5:$D$44,0))+0,""))</f>
        <v/>
      </c>
      <c r="U346" s="18">
        <f>IF(ISNUMBER(E346),YEARFRAC('參數'!$B$4,E346),"")</f>
        <v/>
      </c>
      <c r="V346" s="8">
        <f>IF(U346="","",IF(U346&lt;3,"1-3y",IF(U346&lt;5,"3-5y",IF(U346&lt;7,"5-7y",IF(U346&lt;10,"7-10y","10y+")))))</f>
        <v/>
      </c>
      <c r="W346" s="30">
        <f>IF($A346="","",IFERROR(INDEX('參數'!$B$24:$B$45,MATCH(G346,'參數'!$A$24:$A$45,0)),""))</f>
        <v/>
      </c>
      <c r="X346" s="8">
        <f>IF($A346="","",IFERROR(INDEX('參數'!$C$24:$C$45,MATCH(G346,'參數'!$A$24:$A$45,0)),""))</f>
        <v/>
      </c>
      <c r="Y346" s="30">
        <f>IF(AND(ISNUMBER(N346),ISNUMBER(O346),ISNUMBER(U346)),IF(AND(O346&gt;0,X346&lt;&gt;""),1,0),0)</f>
        <v/>
      </c>
      <c r="Z346" s="17">
        <f>IF(Y346=1,O346*N346,"")</f>
        <v/>
      </c>
      <c r="AA346" s="33">
        <f>IF(Y346=1,IF(ISNUMBER(Q346),N346-Q346,""),"")</f>
        <v/>
      </c>
      <c r="AB346" s="33">
        <f>IF(Y346=1,IF(AND(ISNUMBER(P346),ISNUMBER(R346)),R346*5/12-O346*(P346-R346),""),"")</f>
        <v/>
      </c>
      <c r="AC346" s="30">
        <f>IF(Y346=1,COUNTIFS($X$5:$X$404,X346,$V$5:$V$404,V346,$Y$5:$Y$404,1),"")</f>
        <v/>
      </c>
      <c r="AD346" s="30">
        <f>IF(Y346=1,IFERROR(IF(AC346&gt;='參數'!$B$9,INDEX('分群統計'!$G$13:$K$16,MATCH(X346,'分群統計'!$A$13:$A$16,0),MATCH(V346,'分群統計'!$G$12:$K$12,0)),INDEX('分群統計'!$I$5:$I$8,MATCH(X346,'分群統計'!$A$5:$A$8,0))),""),"")</f>
        <v/>
      </c>
      <c r="AE346" s="18">
        <f>IF(Y346=1,IFERROR(IF(AC346&gt;='參數'!$B$9,INDEX('分群統計'!$L$13:$P$16,MATCH(X346,'分群統計'!$A$13:$A$16,0),MATCH(V346,'分群統計'!$L$12:$P$12,0)),INDEX('分群統計'!$J$5:$J$8,MATCH(X346,'分群統計'!$A$5:$A$8,0))),""),"")</f>
        <v/>
      </c>
      <c r="AF346" s="31">
        <f>IF(ISNUMBER(AE346),IF(AE346&gt;0,MAX(-3,MIN(3,(N346-AD346)/AE346)),0),"")</f>
        <v/>
      </c>
      <c r="AG346" s="30">
        <f>IF(Y346=1,COUNTIFS($B$5:$B$404,B346,$Y$5:$Y$404,1),"")</f>
        <v/>
      </c>
      <c r="AH346" s="30">
        <f>IF(Y346=1,IFERROR(IF(ISNUMBER(INDEX('分群統計'!$G$20:$G$59,MATCH(B346,'分群統計'!$A$20:$A$59,0))),INDEX('分群統計'!$H$20:$H$59,MATCH(B346,'分群統計'!$A$20:$A$59,0))+INDEX('分群統計'!$G$20:$G$59,MATCH(B346,'分群統計'!$A$20:$A$59,0))*AU346,""),""),"")</f>
        <v/>
      </c>
      <c r="AI346" s="34">
        <f>IF(ISNUMBER(AH346),N346-AH346,"")</f>
        <v/>
      </c>
      <c r="AJ346" s="30">
        <f>IF(Y346=1,IFERROR(IF(ISNUMBER(INDEX('分群統計'!$G$5:$G$8,MATCH(X346,'分群統計'!$A$5:$A$8,0))),INDEX('分群統計'!$H$5:$H$8,MATCH(X346,'分群統計'!$A$5:$A$8,0))+INDEX('分群統計'!$G$5:$G$8,MATCH(X346,'分群統計'!$A$5:$A$8,0))*AU346,""),""),"")</f>
        <v/>
      </c>
      <c r="AK346" s="34">
        <f>IF(ISNUMBER(AJ346),N346-AJ346,"")</f>
        <v/>
      </c>
      <c r="AL346" s="21">
        <f>IF(ISNUMBER(AJ346),IF(AJ346&gt;0,AK346/AJ346,""),"")</f>
        <v/>
      </c>
      <c r="AM346" s="31">
        <f>IF(AY346&lt;&gt;1,"",IFERROR(IF(INDEX('分群統計'!$K$5:$K$8,MATCH(X346,'分群統計'!$A$5:$A$8,0))&lt;3,"",IF(INDEX('分群統計'!$M$5:$M$8,MATCH(X346,'分群統計'!$A$5:$A$8,0))&gt;0,MAX(-3,MIN(3,(AX346-INDEX('分群統計'!$L$5:$L$8,MATCH(X346,'分群統計'!$A$5:$A$8,0)))/INDEX('分群統計'!$M$5:$M$8,MATCH(X346,'分群統計'!$A$5:$A$8,0)))),0)),""))</f>
        <v/>
      </c>
      <c r="AN346" s="31">
        <f>IF(ISNUMBER(AB346),IF(Z346&gt;0,AB346/Z346*100,""),"")</f>
        <v/>
      </c>
      <c r="AO346" s="31">
        <f>IF(BA346&lt;&gt;1,"",IFERROR(IF(INDEX('分群統計'!$N$5:$N$8,MATCH(X346,'分群統計'!$A$5:$A$8,0))&lt;3,"",IF(INDEX('分群統計'!$P$5:$P$8,MATCH(X346,'分群統計'!$A$5:$A$8,0))&gt;0,MAX(-3,MIN(3,(AZ346-INDEX('分群統計'!$O$5:$O$8,MATCH(X346,'分群統計'!$A$5:$A$8,0)))/INDEX('分群統計'!$P$5:$P$8,MATCH(X346,'分群統計'!$A$5:$A$8,0)))),0)),""))</f>
        <v/>
      </c>
      <c r="AP346" s="31">
        <f>IF(BC346&lt;&gt;1,"",IFERROR(IF(INDEX('分群統計'!$Q$5:$Q$8,MATCH(X346,'分群統計'!$A$5:$A$8,0))&lt;3,"",IF(INDEX('分群統計'!$S$5:$S$8,MATCH(X346,'分群統計'!$A$5:$A$8,0))&gt;0,MAX(-3,MIN(3,(BB346-INDEX('分群統計'!$R$5:$R$8,MATCH(X346,'分群統計'!$A$5:$A$8,0)))/INDEX('分群統計'!$S$5:$S$8,MATCH(X346,'分群統計'!$A$5:$A$8,0)))),0)),""))</f>
        <v/>
      </c>
      <c r="AQ346" s="31">
        <f>IF(Y346=1,(IF(ISNUMBER(AF346),AF346,0)*'參數'!$B$13+IF(ISNUMBER(AM346),AM346,0)*'參數'!$B$14+IF(ISNUMBER(AO346),AO346,0)*'參數'!$B$15+IF(ISNUMBER(AP346),AP346,0)*'參數'!$B$16)/('參數'!$B$13+'參數'!$B$14+'參數'!$B$15+'參數'!$B$16),"")</f>
        <v/>
      </c>
      <c r="AR346" s="35">
        <f>IF(Y346=1,(SUMPRODUCT(($X$5:$X$404=X346)*($Y$5:$Y$404=1)*($BD$5:$BD$404&gt;BD346))+1)/COUNTIFS($X$5:$X$404,X346,$Y$5:$Y$404,1),"")</f>
        <v/>
      </c>
      <c r="AS346" s="8">
        <f>IF(ISNUMBER(AR346),IF(AR346&lt;='參數'!$B$18,"加碼候選",IF(AR346&gt;'參數'!$B$19,"減碼候選","")),"")</f>
        <v/>
      </c>
      <c r="AT346" s="7">
        <f>IF(Y346=1,N346,0)</f>
        <v/>
      </c>
      <c r="AU346" s="7">
        <f>IF(Y346=1,LN(O346),0)</f>
        <v/>
      </c>
      <c r="AV346" s="36">
        <f>IF(Y346=1,IF(ISNUMBER(F346),F346,0),0)</f>
        <v/>
      </c>
      <c r="AW346" s="7">
        <f>IF(Y346=1,Z346,0)</f>
        <v/>
      </c>
      <c r="AX346" s="7">
        <f>IF(Y346=1,IF(ISNUMBER(AL346),AL346,0),0)</f>
        <v/>
      </c>
      <c r="AY346" s="7">
        <f>IF(Y346=1,IF(ISNUMBER(AL346),1,0),0)</f>
        <v/>
      </c>
      <c r="AZ346" s="7">
        <f>IF(Y346=1,IF(ISNUMBER(AN346),AN346,0),0)</f>
        <v/>
      </c>
      <c r="BA346" s="7">
        <f>IF(Y346=1,IF(ISNUMBER(AN346),1,0),0)</f>
        <v/>
      </c>
      <c r="BB346" s="7">
        <f>IF(Y346=1,IF(ISNUMBER(T346),T346,0),0)</f>
        <v/>
      </c>
      <c r="BC346" s="7">
        <f>IF(Y346=1,IF(ISNUMBER(T346),1,0),0)</f>
        <v/>
      </c>
      <c r="BD346" s="7">
        <f>IF(Y346=1,AQ346+ROW()/1E9,-1E9)</f>
        <v/>
      </c>
      <c r="BE346" s="7">
        <f>IF(Y346=1,AQ346+ROW()/1E9,1E9)</f>
        <v/>
      </c>
    </row>
    <row r="347">
      <c r="A347" s="16" t="n"/>
      <c r="B347" s="8">
        <f>IF($A347="","",BDP($A347,B$3))</f>
        <v/>
      </c>
      <c r="C347" s="8">
        <f>IF($A347="","",BDP($A347,C$3))</f>
        <v/>
      </c>
      <c r="D347" s="28">
        <f>IF($A347="","",BDP($A347,D$3))</f>
        <v/>
      </c>
      <c r="E347" s="29">
        <f>IF($A347="","",BDP($A347,E$3))</f>
        <v/>
      </c>
      <c r="F347" s="17">
        <f>IF($A347="","",BDP($A347,F$3))</f>
        <v/>
      </c>
      <c r="G347" s="8">
        <f>IF($A347="","",BDP($A347,G$3))</f>
        <v/>
      </c>
      <c r="H347" s="8">
        <f>IF($A347="","",BDP($A347,H$3))</f>
        <v/>
      </c>
      <c r="I347" s="8">
        <f>IF($A347="","",BDP($A347,I$3))</f>
        <v/>
      </c>
      <c r="J347" s="8">
        <f>IF($A347="","",BDP($A347,J$3))</f>
        <v/>
      </c>
      <c r="K347" s="8">
        <f>IF($A347="","",BDP($A347,K$3))</f>
        <v/>
      </c>
      <c r="L347" s="28">
        <f>IF($A347="","",BDP($A347,L$3))</f>
        <v/>
      </c>
      <c r="M347" s="28">
        <f>IF($A347="","",BDP($A347,M$3))</f>
        <v/>
      </c>
      <c r="N347" s="30">
        <f>IF($A347="","",BDP($A347,N$3))</f>
        <v/>
      </c>
      <c r="O347" s="31">
        <f>IF($A347="","",BDP($A347,O$3))</f>
        <v/>
      </c>
      <c r="P347" s="30">
        <f>IF($A347="","",BDH($A347,$N$3,'參數'!$B$5,'參數'!$B$5,"Days=A","Fill=P","Dates=H"))</f>
        <v/>
      </c>
      <c r="Q347" s="30">
        <f>IF($A347="","",BDH($A347,$N$3,'參數'!$B$6,'參數'!$B$6,"Days=A","Fill=P","Dates=H"))</f>
        <v/>
      </c>
      <c r="R347" s="30">
        <f>IF($A347="","",BDH($A347,$N$3,'參數'!$B$7,'參數'!$B$7,"Days=A","Fill=P","Dates=H"))</f>
        <v/>
      </c>
      <c r="S347" s="32">
        <f>IF($A347="","",IFERROR(INDEX('發行人'!$A$5:$A$44,MATCH(B347,'發行人'!$D$5:$D$44,0)),"未對應"))</f>
        <v/>
      </c>
      <c r="T347" s="24">
        <f>IF($A347="","",IFERROR(INDEX('發行人'!$G$5:$G$44,MATCH(B347,'發行人'!$D$5:$D$44,0))+0,""))</f>
        <v/>
      </c>
      <c r="U347" s="18">
        <f>IF(ISNUMBER(E347),YEARFRAC('參數'!$B$4,E347),"")</f>
        <v/>
      </c>
      <c r="V347" s="8">
        <f>IF(U347="","",IF(U347&lt;3,"1-3y",IF(U347&lt;5,"3-5y",IF(U347&lt;7,"5-7y",IF(U347&lt;10,"7-10y","10y+")))))</f>
        <v/>
      </c>
      <c r="W347" s="30">
        <f>IF($A347="","",IFERROR(INDEX('參數'!$B$24:$B$45,MATCH(G347,'參數'!$A$24:$A$45,0)),""))</f>
        <v/>
      </c>
      <c r="X347" s="8">
        <f>IF($A347="","",IFERROR(INDEX('參數'!$C$24:$C$45,MATCH(G347,'參數'!$A$24:$A$45,0)),""))</f>
        <v/>
      </c>
      <c r="Y347" s="30">
        <f>IF(AND(ISNUMBER(N347),ISNUMBER(O347),ISNUMBER(U347)),IF(AND(O347&gt;0,X347&lt;&gt;""),1,0),0)</f>
        <v/>
      </c>
      <c r="Z347" s="17">
        <f>IF(Y347=1,O347*N347,"")</f>
        <v/>
      </c>
      <c r="AA347" s="33">
        <f>IF(Y347=1,IF(ISNUMBER(Q347),N347-Q347,""),"")</f>
        <v/>
      </c>
      <c r="AB347" s="33">
        <f>IF(Y347=1,IF(AND(ISNUMBER(P347),ISNUMBER(R347)),R347*5/12-O347*(P347-R347),""),"")</f>
        <v/>
      </c>
      <c r="AC347" s="30">
        <f>IF(Y347=1,COUNTIFS($X$5:$X$404,X347,$V$5:$V$404,V347,$Y$5:$Y$404,1),"")</f>
        <v/>
      </c>
      <c r="AD347" s="30">
        <f>IF(Y347=1,IFERROR(IF(AC347&gt;='參數'!$B$9,INDEX('分群統計'!$G$13:$K$16,MATCH(X347,'分群統計'!$A$13:$A$16,0),MATCH(V347,'分群統計'!$G$12:$K$12,0)),INDEX('分群統計'!$I$5:$I$8,MATCH(X347,'分群統計'!$A$5:$A$8,0))),""),"")</f>
        <v/>
      </c>
      <c r="AE347" s="18">
        <f>IF(Y347=1,IFERROR(IF(AC347&gt;='參數'!$B$9,INDEX('分群統計'!$L$13:$P$16,MATCH(X347,'分群統計'!$A$13:$A$16,0),MATCH(V347,'分群統計'!$L$12:$P$12,0)),INDEX('分群統計'!$J$5:$J$8,MATCH(X347,'分群統計'!$A$5:$A$8,0))),""),"")</f>
        <v/>
      </c>
      <c r="AF347" s="31">
        <f>IF(ISNUMBER(AE347),IF(AE347&gt;0,MAX(-3,MIN(3,(N347-AD347)/AE347)),0),"")</f>
        <v/>
      </c>
      <c r="AG347" s="30">
        <f>IF(Y347=1,COUNTIFS($B$5:$B$404,B347,$Y$5:$Y$404,1),"")</f>
        <v/>
      </c>
      <c r="AH347" s="30">
        <f>IF(Y347=1,IFERROR(IF(ISNUMBER(INDEX('分群統計'!$G$20:$G$59,MATCH(B347,'分群統計'!$A$20:$A$59,0))),INDEX('分群統計'!$H$20:$H$59,MATCH(B347,'分群統計'!$A$20:$A$59,0))+INDEX('分群統計'!$G$20:$G$59,MATCH(B347,'分群統計'!$A$20:$A$59,0))*AU347,""),""),"")</f>
        <v/>
      </c>
      <c r="AI347" s="34">
        <f>IF(ISNUMBER(AH347),N347-AH347,"")</f>
        <v/>
      </c>
      <c r="AJ347" s="30">
        <f>IF(Y347=1,IFERROR(IF(ISNUMBER(INDEX('分群統計'!$G$5:$G$8,MATCH(X347,'分群統計'!$A$5:$A$8,0))),INDEX('分群統計'!$H$5:$H$8,MATCH(X347,'分群統計'!$A$5:$A$8,0))+INDEX('分群統計'!$G$5:$G$8,MATCH(X347,'分群統計'!$A$5:$A$8,0))*AU347,""),""),"")</f>
        <v/>
      </c>
      <c r="AK347" s="34">
        <f>IF(ISNUMBER(AJ347),N347-AJ347,"")</f>
        <v/>
      </c>
      <c r="AL347" s="21">
        <f>IF(ISNUMBER(AJ347),IF(AJ347&gt;0,AK347/AJ347,""),"")</f>
        <v/>
      </c>
      <c r="AM347" s="31">
        <f>IF(AY347&lt;&gt;1,"",IFERROR(IF(INDEX('分群統計'!$K$5:$K$8,MATCH(X347,'分群統計'!$A$5:$A$8,0))&lt;3,"",IF(INDEX('分群統計'!$M$5:$M$8,MATCH(X347,'分群統計'!$A$5:$A$8,0))&gt;0,MAX(-3,MIN(3,(AX347-INDEX('分群統計'!$L$5:$L$8,MATCH(X347,'分群統計'!$A$5:$A$8,0)))/INDEX('分群統計'!$M$5:$M$8,MATCH(X347,'分群統計'!$A$5:$A$8,0)))),0)),""))</f>
        <v/>
      </c>
      <c r="AN347" s="31">
        <f>IF(ISNUMBER(AB347),IF(Z347&gt;0,AB347/Z347*100,""),"")</f>
        <v/>
      </c>
      <c r="AO347" s="31">
        <f>IF(BA347&lt;&gt;1,"",IFERROR(IF(INDEX('分群統計'!$N$5:$N$8,MATCH(X347,'分群統計'!$A$5:$A$8,0))&lt;3,"",IF(INDEX('分群統計'!$P$5:$P$8,MATCH(X347,'分群統計'!$A$5:$A$8,0))&gt;0,MAX(-3,MIN(3,(AZ347-INDEX('分群統計'!$O$5:$O$8,MATCH(X347,'分群統計'!$A$5:$A$8,0)))/INDEX('分群統計'!$P$5:$P$8,MATCH(X347,'分群統計'!$A$5:$A$8,0)))),0)),""))</f>
        <v/>
      </c>
      <c r="AP347" s="31">
        <f>IF(BC347&lt;&gt;1,"",IFERROR(IF(INDEX('分群統計'!$Q$5:$Q$8,MATCH(X347,'分群統計'!$A$5:$A$8,0))&lt;3,"",IF(INDEX('分群統計'!$S$5:$S$8,MATCH(X347,'分群統計'!$A$5:$A$8,0))&gt;0,MAX(-3,MIN(3,(BB347-INDEX('分群統計'!$R$5:$R$8,MATCH(X347,'分群統計'!$A$5:$A$8,0)))/INDEX('分群統計'!$S$5:$S$8,MATCH(X347,'分群統計'!$A$5:$A$8,0)))),0)),""))</f>
        <v/>
      </c>
      <c r="AQ347" s="31">
        <f>IF(Y347=1,(IF(ISNUMBER(AF347),AF347,0)*'參數'!$B$13+IF(ISNUMBER(AM347),AM347,0)*'參數'!$B$14+IF(ISNUMBER(AO347),AO347,0)*'參數'!$B$15+IF(ISNUMBER(AP347),AP347,0)*'參數'!$B$16)/('參數'!$B$13+'參數'!$B$14+'參數'!$B$15+'參數'!$B$16),"")</f>
        <v/>
      </c>
      <c r="AR347" s="35">
        <f>IF(Y347=1,(SUMPRODUCT(($X$5:$X$404=X347)*($Y$5:$Y$404=1)*($BD$5:$BD$404&gt;BD347))+1)/COUNTIFS($X$5:$X$404,X347,$Y$5:$Y$404,1),"")</f>
        <v/>
      </c>
      <c r="AS347" s="8">
        <f>IF(ISNUMBER(AR347),IF(AR347&lt;='參數'!$B$18,"加碼候選",IF(AR347&gt;'參數'!$B$19,"減碼候選","")),"")</f>
        <v/>
      </c>
      <c r="AT347" s="7">
        <f>IF(Y347=1,N347,0)</f>
        <v/>
      </c>
      <c r="AU347" s="7">
        <f>IF(Y347=1,LN(O347),0)</f>
        <v/>
      </c>
      <c r="AV347" s="36">
        <f>IF(Y347=1,IF(ISNUMBER(F347),F347,0),0)</f>
        <v/>
      </c>
      <c r="AW347" s="7">
        <f>IF(Y347=1,Z347,0)</f>
        <v/>
      </c>
      <c r="AX347" s="7">
        <f>IF(Y347=1,IF(ISNUMBER(AL347),AL347,0),0)</f>
        <v/>
      </c>
      <c r="AY347" s="7">
        <f>IF(Y347=1,IF(ISNUMBER(AL347),1,0),0)</f>
        <v/>
      </c>
      <c r="AZ347" s="7">
        <f>IF(Y347=1,IF(ISNUMBER(AN347),AN347,0),0)</f>
        <v/>
      </c>
      <c r="BA347" s="7">
        <f>IF(Y347=1,IF(ISNUMBER(AN347),1,0),0)</f>
        <v/>
      </c>
      <c r="BB347" s="7">
        <f>IF(Y347=1,IF(ISNUMBER(T347),T347,0),0)</f>
        <v/>
      </c>
      <c r="BC347" s="7">
        <f>IF(Y347=1,IF(ISNUMBER(T347),1,0),0)</f>
        <v/>
      </c>
      <c r="BD347" s="7">
        <f>IF(Y347=1,AQ347+ROW()/1E9,-1E9)</f>
        <v/>
      </c>
      <c r="BE347" s="7">
        <f>IF(Y347=1,AQ347+ROW()/1E9,1E9)</f>
        <v/>
      </c>
    </row>
    <row r="348">
      <c r="A348" s="16" t="n"/>
      <c r="B348" s="8">
        <f>IF($A348="","",BDP($A348,B$3))</f>
        <v/>
      </c>
      <c r="C348" s="8">
        <f>IF($A348="","",BDP($A348,C$3))</f>
        <v/>
      </c>
      <c r="D348" s="28">
        <f>IF($A348="","",BDP($A348,D$3))</f>
        <v/>
      </c>
      <c r="E348" s="29">
        <f>IF($A348="","",BDP($A348,E$3))</f>
        <v/>
      </c>
      <c r="F348" s="17">
        <f>IF($A348="","",BDP($A348,F$3))</f>
        <v/>
      </c>
      <c r="G348" s="8">
        <f>IF($A348="","",BDP($A348,G$3))</f>
        <v/>
      </c>
      <c r="H348" s="8">
        <f>IF($A348="","",BDP($A348,H$3))</f>
        <v/>
      </c>
      <c r="I348" s="8">
        <f>IF($A348="","",BDP($A348,I$3))</f>
        <v/>
      </c>
      <c r="J348" s="8">
        <f>IF($A348="","",BDP($A348,J$3))</f>
        <v/>
      </c>
      <c r="K348" s="8">
        <f>IF($A348="","",BDP($A348,K$3))</f>
        <v/>
      </c>
      <c r="L348" s="28">
        <f>IF($A348="","",BDP($A348,L$3))</f>
        <v/>
      </c>
      <c r="M348" s="28">
        <f>IF($A348="","",BDP($A348,M$3))</f>
        <v/>
      </c>
      <c r="N348" s="30">
        <f>IF($A348="","",BDP($A348,N$3))</f>
        <v/>
      </c>
      <c r="O348" s="31">
        <f>IF($A348="","",BDP($A348,O$3))</f>
        <v/>
      </c>
      <c r="P348" s="30">
        <f>IF($A348="","",BDH($A348,$N$3,'參數'!$B$5,'參數'!$B$5,"Days=A","Fill=P","Dates=H"))</f>
        <v/>
      </c>
      <c r="Q348" s="30">
        <f>IF($A348="","",BDH($A348,$N$3,'參數'!$B$6,'參數'!$B$6,"Days=A","Fill=P","Dates=H"))</f>
        <v/>
      </c>
      <c r="R348" s="30">
        <f>IF($A348="","",BDH($A348,$N$3,'參數'!$B$7,'參數'!$B$7,"Days=A","Fill=P","Dates=H"))</f>
        <v/>
      </c>
      <c r="S348" s="32">
        <f>IF($A348="","",IFERROR(INDEX('發行人'!$A$5:$A$44,MATCH(B348,'發行人'!$D$5:$D$44,0)),"未對應"))</f>
        <v/>
      </c>
      <c r="T348" s="24">
        <f>IF($A348="","",IFERROR(INDEX('發行人'!$G$5:$G$44,MATCH(B348,'發行人'!$D$5:$D$44,0))+0,""))</f>
        <v/>
      </c>
      <c r="U348" s="18">
        <f>IF(ISNUMBER(E348),YEARFRAC('參數'!$B$4,E348),"")</f>
        <v/>
      </c>
      <c r="V348" s="8">
        <f>IF(U348="","",IF(U348&lt;3,"1-3y",IF(U348&lt;5,"3-5y",IF(U348&lt;7,"5-7y",IF(U348&lt;10,"7-10y","10y+")))))</f>
        <v/>
      </c>
      <c r="W348" s="30">
        <f>IF($A348="","",IFERROR(INDEX('參數'!$B$24:$B$45,MATCH(G348,'參數'!$A$24:$A$45,0)),""))</f>
        <v/>
      </c>
      <c r="X348" s="8">
        <f>IF($A348="","",IFERROR(INDEX('參數'!$C$24:$C$45,MATCH(G348,'參數'!$A$24:$A$45,0)),""))</f>
        <v/>
      </c>
      <c r="Y348" s="30">
        <f>IF(AND(ISNUMBER(N348),ISNUMBER(O348),ISNUMBER(U348)),IF(AND(O348&gt;0,X348&lt;&gt;""),1,0),0)</f>
        <v/>
      </c>
      <c r="Z348" s="17">
        <f>IF(Y348=1,O348*N348,"")</f>
        <v/>
      </c>
      <c r="AA348" s="33">
        <f>IF(Y348=1,IF(ISNUMBER(Q348),N348-Q348,""),"")</f>
        <v/>
      </c>
      <c r="AB348" s="33">
        <f>IF(Y348=1,IF(AND(ISNUMBER(P348),ISNUMBER(R348)),R348*5/12-O348*(P348-R348),""),"")</f>
        <v/>
      </c>
      <c r="AC348" s="30">
        <f>IF(Y348=1,COUNTIFS($X$5:$X$404,X348,$V$5:$V$404,V348,$Y$5:$Y$404,1),"")</f>
        <v/>
      </c>
      <c r="AD348" s="30">
        <f>IF(Y348=1,IFERROR(IF(AC348&gt;='參數'!$B$9,INDEX('分群統計'!$G$13:$K$16,MATCH(X348,'分群統計'!$A$13:$A$16,0),MATCH(V348,'分群統計'!$G$12:$K$12,0)),INDEX('分群統計'!$I$5:$I$8,MATCH(X348,'分群統計'!$A$5:$A$8,0))),""),"")</f>
        <v/>
      </c>
      <c r="AE348" s="18">
        <f>IF(Y348=1,IFERROR(IF(AC348&gt;='參數'!$B$9,INDEX('分群統計'!$L$13:$P$16,MATCH(X348,'分群統計'!$A$13:$A$16,0),MATCH(V348,'分群統計'!$L$12:$P$12,0)),INDEX('分群統計'!$J$5:$J$8,MATCH(X348,'分群統計'!$A$5:$A$8,0))),""),"")</f>
        <v/>
      </c>
      <c r="AF348" s="31">
        <f>IF(ISNUMBER(AE348),IF(AE348&gt;0,MAX(-3,MIN(3,(N348-AD348)/AE348)),0),"")</f>
        <v/>
      </c>
      <c r="AG348" s="30">
        <f>IF(Y348=1,COUNTIFS($B$5:$B$404,B348,$Y$5:$Y$404,1),"")</f>
        <v/>
      </c>
      <c r="AH348" s="30">
        <f>IF(Y348=1,IFERROR(IF(ISNUMBER(INDEX('分群統計'!$G$20:$G$59,MATCH(B348,'分群統計'!$A$20:$A$59,0))),INDEX('分群統計'!$H$20:$H$59,MATCH(B348,'分群統計'!$A$20:$A$59,0))+INDEX('分群統計'!$G$20:$G$59,MATCH(B348,'分群統計'!$A$20:$A$59,0))*AU348,""),""),"")</f>
        <v/>
      </c>
      <c r="AI348" s="34">
        <f>IF(ISNUMBER(AH348),N348-AH348,"")</f>
        <v/>
      </c>
      <c r="AJ348" s="30">
        <f>IF(Y348=1,IFERROR(IF(ISNUMBER(INDEX('分群統計'!$G$5:$G$8,MATCH(X348,'分群統計'!$A$5:$A$8,0))),INDEX('分群統計'!$H$5:$H$8,MATCH(X348,'分群統計'!$A$5:$A$8,0))+INDEX('分群統計'!$G$5:$G$8,MATCH(X348,'分群統計'!$A$5:$A$8,0))*AU348,""),""),"")</f>
        <v/>
      </c>
      <c r="AK348" s="34">
        <f>IF(ISNUMBER(AJ348),N348-AJ348,"")</f>
        <v/>
      </c>
      <c r="AL348" s="21">
        <f>IF(ISNUMBER(AJ348),IF(AJ348&gt;0,AK348/AJ348,""),"")</f>
        <v/>
      </c>
      <c r="AM348" s="31">
        <f>IF(AY348&lt;&gt;1,"",IFERROR(IF(INDEX('分群統計'!$K$5:$K$8,MATCH(X348,'分群統計'!$A$5:$A$8,0))&lt;3,"",IF(INDEX('分群統計'!$M$5:$M$8,MATCH(X348,'分群統計'!$A$5:$A$8,0))&gt;0,MAX(-3,MIN(3,(AX348-INDEX('分群統計'!$L$5:$L$8,MATCH(X348,'分群統計'!$A$5:$A$8,0)))/INDEX('分群統計'!$M$5:$M$8,MATCH(X348,'分群統計'!$A$5:$A$8,0)))),0)),""))</f>
        <v/>
      </c>
      <c r="AN348" s="31">
        <f>IF(ISNUMBER(AB348),IF(Z348&gt;0,AB348/Z348*100,""),"")</f>
        <v/>
      </c>
      <c r="AO348" s="31">
        <f>IF(BA348&lt;&gt;1,"",IFERROR(IF(INDEX('分群統計'!$N$5:$N$8,MATCH(X348,'分群統計'!$A$5:$A$8,0))&lt;3,"",IF(INDEX('分群統計'!$P$5:$P$8,MATCH(X348,'分群統計'!$A$5:$A$8,0))&gt;0,MAX(-3,MIN(3,(AZ348-INDEX('分群統計'!$O$5:$O$8,MATCH(X348,'分群統計'!$A$5:$A$8,0)))/INDEX('分群統計'!$P$5:$P$8,MATCH(X348,'分群統計'!$A$5:$A$8,0)))),0)),""))</f>
        <v/>
      </c>
      <c r="AP348" s="31">
        <f>IF(BC348&lt;&gt;1,"",IFERROR(IF(INDEX('分群統計'!$Q$5:$Q$8,MATCH(X348,'分群統計'!$A$5:$A$8,0))&lt;3,"",IF(INDEX('分群統計'!$S$5:$S$8,MATCH(X348,'分群統計'!$A$5:$A$8,0))&gt;0,MAX(-3,MIN(3,(BB348-INDEX('分群統計'!$R$5:$R$8,MATCH(X348,'分群統計'!$A$5:$A$8,0)))/INDEX('分群統計'!$S$5:$S$8,MATCH(X348,'分群統計'!$A$5:$A$8,0)))),0)),""))</f>
        <v/>
      </c>
      <c r="AQ348" s="31">
        <f>IF(Y348=1,(IF(ISNUMBER(AF348),AF348,0)*'參數'!$B$13+IF(ISNUMBER(AM348),AM348,0)*'參數'!$B$14+IF(ISNUMBER(AO348),AO348,0)*'參數'!$B$15+IF(ISNUMBER(AP348),AP348,0)*'參數'!$B$16)/('參數'!$B$13+'參數'!$B$14+'參數'!$B$15+'參數'!$B$16),"")</f>
        <v/>
      </c>
      <c r="AR348" s="35">
        <f>IF(Y348=1,(SUMPRODUCT(($X$5:$X$404=X348)*($Y$5:$Y$404=1)*($BD$5:$BD$404&gt;BD348))+1)/COUNTIFS($X$5:$X$404,X348,$Y$5:$Y$404,1),"")</f>
        <v/>
      </c>
      <c r="AS348" s="8">
        <f>IF(ISNUMBER(AR348),IF(AR348&lt;='參數'!$B$18,"加碼候選",IF(AR348&gt;'參數'!$B$19,"減碼候選","")),"")</f>
        <v/>
      </c>
      <c r="AT348" s="7">
        <f>IF(Y348=1,N348,0)</f>
        <v/>
      </c>
      <c r="AU348" s="7">
        <f>IF(Y348=1,LN(O348),0)</f>
        <v/>
      </c>
      <c r="AV348" s="36">
        <f>IF(Y348=1,IF(ISNUMBER(F348),F348,0),0)</f>
        <v/>
      </c>
      <c r="AW348" s="7">
        <f>IF(Y348=1,Z348,0)</f>
        <v/>
      </c>
      <c r="AX348" s="7">
        <f>IF(Y348=1,IF(ISNUMBER(AL348),AL348,0),0)</f>
        <v/>
      </c>
      <c r="AY348" s="7">
        <f>IF(Y348=1,IF(ISNUMBER(AL348),1,0),0)</f>
        <v/>
      </c>
      <c r="AZ348" s="7">
        <f>IF(Y348=1,IF(ISNUMBER(AN348),AN348,0),0)</f>
        <v/>
      </c>
      <c r="BA348" s="7">
        <f>IF(Y348=1,IF(ISNUMBER(AN348),1,0),0)</f>
        <v/>
      </c>
      <c r="BB348" s="7">
        <f>IF(Y348=1,IF(ISNUMBER(T348),T348,0),0)</f>
        <v/>
      </c>
      <c r="BC348" s="7">
        <f>IF(Y348=1,IF(ISNUMBER(T348),1,0),0)</f>
        <v/>
      </c>
      <c r="BD348" s="7">
        <f>IF(Y348=1,AQ348+ROW()/1E9,-1E9)</f>
        <v/>
      </c>
      <c r="BE348" s="7">
        <f>IF(Y348=1,AQ348+ROW()/1E9,1E9)</f>
        <v/>
      </c>
    </row>
    <row r="349">
      <c r="A349" s="16" t="n"/>
      <c r="B349" s="8">
        <f>IF($A349="","",BDP($A349,B$3))</f>
        <v/>
      </c>
      <c r="C349" s="8">
        <f>IF($A349="","",BDP($A349,C$3))</f>
        <v/>
      </c>
      <c r="D349" s="28">
        <f>IF($A349="","",BDP($A349,D$3))</f>
        <v/>
      </c>
      <c r="E349" s="29">
        <f>IF($A349="","",BDP($A349,E$3))</f>
        <v/>
      </c>
      <c r="F349" s="17">
        <f>IF($A349="","",BDP($A349,F$3))</f>
        <v/>
      </c>
      <c r="G349" s="8">
        <f>IF($A349="","",BDP($A349,G$3))</f>
        <v/>
      </c>
      <c r="H349" s="8">
        <f>IF($A349="","",BDP($A349,H$3))</f>
        <v/>
      </c>
      <c r="I349" s="8">
        <f>IF($A349="","",BDP($A349,I$3))</f>
        <v/>
      </c>
      <c r="J349" s="8">
        <f>IF($A349="","",BDP($A349,J$3))</f>
        <v/>
      </c>
      <c r="K349" s="8">
        <f>IF($A349="","",BDP($A349,K$3))</f>
        <v/>
      </c>
      <c r="L349" s="28">
        <f>IF($A349="","",BDP($A349,L$3))</f>
        <v/>
      </c>
      <c r="M349" s="28">
        <f>IF($A349="","",BDP($A349,M$3))</f>
        <v/>
      </c>
      <c r="N349" s="30">
        <f>IF($A349="","",BDP($A349,N$3))</f>
        <v/>
      </c>
      <c r="O349" s="31">
        <f>IF($A349="","",BDP($A349,O$3))</f>
        <v/>
      </c>
      <c r="P349" s="30">
        <f>IF($A349="","",BDH($A349,$N$3,'參數'!$B$5,'參數'!$B$5,"Days=A","Fill=P","Dates=H"))</f>
        <v/>
      </c>
      <c r="Q349" s="30">
        <f>IF($A349="","",BDH($A349,$N$3,'參數'!$B$6,'參數'!$B$6,"Days=A","Fill=P","Dates=H"))</f>
        <v/>
      </c>
      <c r="R349" s="30">
        <f>IF($A349="","",BDH($A349,$N$3,'參數'!$B$7,'參數'!$B$7,"Days=A","Fill=P","Dates=H"))</f>
        <v/>
      </c>
      <c r="S349" s="32">
        <f>IF($A349="","",IFERROR(INDEX('發行人'!$A$5:$A$44,MATCH(B349,'發行人'!$D$5:$D$44,0)),"未對應"))</f>
        <v/>
      </c>
      <c r="T349" s="24">
        <f>IF($A349="","",IFERROR(INDEX('發行人'!$G$5:$G$44,MATCH(B349,'發行人'!$D$5:$D$44,0))+0,""))</f>
        <v/>
      </c>
      <c r="U349" s="18">
        <f>IF(ISNUMBER(E349),YEARFRAC('參數'!$B$4,E349),"")</f>
        <v/>
      </c>
      <c r="V349" s="8">
        <f>IF(U349="","",IF(U349&lt;3,"1-3y",IF(U349&lt;5,"3-5y",IF(U349&lt;7,"5-7y",IF(U349&lt;10,"7-10y","10y+")))))</f>
        <v/>
      </c>
      <c r="W349" s="30">
        <f>IF($A349="","",IFERROR(INDEX('參數'!$B$24:$B$45,MATCH(G349,'參數'!$A$24:$A$45,0)),""))</f>
        <v/>
      </c>
      <c r="X349" s="8">
        <f>IF($A349="","",IFERROR(INDEX('參數'!$C$24:$C$45,MATCH(G349,'參數'!$A$24:$A$45,0)),""))</f>
        <v/>
      </c>
      <c r="Y349" s="30">
        <f>IF(AND(ISNUMBER(N349),ISNUMBER(O349),ISNUMBER(U349)),IF(AND(O349&gt;0,X349&lt;&gt;""),1,0),0)</f>
        <v/>
      </c>
      <c r="Z349" s="17">
        <f>IF(Y349=1,O349*N349,"")</f>
        <v/>
      </c>
      <c r="AA349" s="33">
        <f>IF(Y349=1,IF(ISNUMBER(Q349),N349-Q349,""),"")</f>
        <v/>
      </c>
      <c r="AB349" s="33">
        <f>IF(Y349=1,IF(AND(ISNUMBER(P349),ISNUMBER(R349)),R349*5/12-O349*(P349-R349),""),"")</f>
        <v/>
      </c>
      <c r="AC349" s="30">
        <f>IF(Y349=1,COUNTIFS($X$5:$X$404,X349,$V$5:$V$404,V349,$Y$5:$Y$404,1),"")</f>
        <v/>
      </c>
      <c r="AD349" s="30">
        <f>IF(Y349=1,IFERROR(IF(AC349&gt;='參數'!$B$9,INDEX('分群統計'!$G$13:$K$16,MATCH(X349,'分群統計'!$A$13:$A$16,0),MATCH(V349,'分群統計'!$G$12:$K$12,0)),INDEX('分群統計'!$I$5:$I$8,MATCH(X349,'分群統計'!$A$5:$A$8,0))),""),"")</f>
        <v/>
      </c>
      <c r="AE349" s="18">
        <f>IF(Y349=1,IFERROR(IF(AC349&gt;='參數'!$B$9,INDEX('分群統計'!$L$13:$P$16,MATCH(X349,'分群統計'!$A$13:$A$16,0),MATCH(V349,'分群統計'!$L$12:$P$12,0)),INDEX('分群統計'!$J$5:$J$8,MATCH(X349,'分群統計'!$A$5:$A$8,0))),""),"")</f>
        <v/>
      </c>
      <c r="AF349" s="31">
        <f>IF(ISNUMBER(AE349),IF(AE349&gt;0,MAX(-3,MIN(3,(N349-AD349)/AE349)),0),"")</f>
        <v/>
      </c>
      <c r="AG349" s="30">
        <f>IF(Y349=1,COUNTIFS($B$5:$B$404,B349,$Y$5:$Y$404,1),"")</f>
        <v/>
      </c>
      <c r="AH349" s="30">
        <f>IF(Y349=1,IFERROR(IF(ISNUMBER(INDEX('分群統計'!$G$20:$G$59,MATCH(B349,'分群統計'!$A$20:$A$59,0))),INDEX('分群統計'!$H$20:$H$59,MATCH(B349,'分群統計'!$A$20:$A$59,0))+INDEX('分群統計'!$G$20:$G$59,MATCH(B349,'分群統計'!$A$20:$A$59,0))*AU349,""),""),"")</f>
        <v/>
      </c>
      <c r="AI349" s="34">
        <f>IF(ISNUMBER(AH349),N349-AH349,"")</f>
        <v/>
      </c>
      <c r="AJ349" s="30">
        <f>IF(Y349=1,IFERROR(IF(ISNUMBER(INDEX('分群統計'!$G$5:$G$8,MATCH(X349,'分群統計'!$A$5:$A$8,0))),INDEX('分群統計'!$H$5:$H$8,MATCH(X349,'分群統計'!$A$5:$A$8,0))+INDEX('分群統計'!$G$5:$G$8,MATCH(X349,'分群統計'!$A$5:$A$8,0))*AU349,""),""),"")</f>
        <v/>
      </c>
      <c r="AK349" s="34">
        <f>IF(ISNUMBER(AJ349),N349-AJ349,"")</f>
        <v/>
      </c>
      <c r="AL349" s="21">
        <f>IF(ISNUMBER(AJ349),IF(AJ349&gt;0,AK349/AJ349,""),"")</f>
        <v/>
      </c>
      <c r="AM349" s="31">
        <f>IF(AY349&lt;&gt;1,"",IFERROR(IF(INDEX('分群統計'!$K$5:$K$8,MATCH(X349,'分群統計'!$A$5:$A$8,0))&lt;3,"",IF(INDEX('分群統計'!$M$5:$M$8,MATCH(X349,'分群統計'!$A$5:$A$8,0))&gt;0,MAX(-3,MIN(3,(AX349-INDEX('分群統計'!$L$5:$L$8,MATCH(X349,'分群統計'!$A$5:$A$8,0)))/INDEX('分群統計'!$M$5:$M$8,MATCH(X349,'分群統計'!$A$5:$A$8,0)))),0)),""))</f>
        <v/>
      </c>
      <c r="AN349" s="31">
        <f>IF(ISNUMBER(AB349),IF(Z349&gt;0,AB349/Z349*100,""),"")</f>
        <v/>
      </c>
      <c r="AO349" s="31">
        <f>IF(BA349&lt;&gt;1,"",IFERROR(IF(INDEX('分群統計'!$N$5:$N$8,MATCH(X349,'分群統計'!$A$5:$A$8,0))&lt;3,"",IF(INDEX('分群統計'!$P$5:$P$8,MATCH(X349,'分群統計'!$A$5:$A$8,0))&gt;0,MAX(-3,MIN(3,(AZ349-INDEX('分群統計'!$O$5:$O$8,MATCH(X349,'分群統計'!$A$5:$A$8,0)))/INDEX('分群統計'!$P$5:$P$8,MATCH(X349,'分群統計'!$A$5:$A$8,0)))),0)),""))</f>
        <v/>
      </c>
      <c r="AP349" s="31">
        <f>IF(BC349&lt;&gt;1,"",IFERROR(IF(INDEX('分群統計'!$Q$5:$Q$8,MATCH(X349,'分群統計'!$A$5:$A$8,0))&lt;3,"",IF(INDEX('分群統計'!$S$5:$S$8,MATCH(X349,'分群統計'!$A$5:$A$8,0))&gt;0,MAX(-3,MIN(3,(BB349-INDEX('分群統計'!$R$5:$R$8,MATCH(X349,'分群統計'!$A$5:$A$8,0)))/INDEX('分群統計'!$S$5:$S$8,MATCH(X349,'分群統計'!$A$5:$A$8,0)))),0)),""))</f>
        <v/>
      </c>
      <c r="AQ349" s="31">
        <f>IF(Y349=1,(IF(ISNUMBER(AF349),AF349,0)*'參數'!$B$13+IF(ISNUMBER(AM349),AM349,0)*'參數'!$B$14+IF(ISNUMBER(AO349),AO349,0)*'參數'!$B$15+IF(ISNUMBER(AP349),AP349,0)*'參數'!$B$16)/('參數'!$B$13+'參數'!$B$14+'參數'!$B$15+'參數'!$B$16),"")</f>
        <v/>
      </c>
      <c r="AR349" s="35">
        <f>IF(Y349=1,(SUMPRODUCT(($X$5:$X$404=X349)*($Y$5:$Y$404=1)*($BD$5:$BD$404&gt;BD349))+1)/COUNTIFS($X$5:$X$404,X349,$Y$5:$Y$404,1),"")</f>
        <v/>
      </c>
      <c r="AS349" s="8">
        <f>IF(ISNUMBER(AR349),IF(AR349&lt;='參數'!$B$18,"加碼候選",IF(AR349&gt;'參數'!$B$19,"減碼候選","")),"")</f>
        <v/>
      </c>
      <c r="AT349" s="7">
        <f>IF(Y349=1,N349,0)</f>
        <v/>
      </c>
      <c r="AU349" s="7">
        <f>IF(Y349=1,LN(O349),0)</f>
        <v/>
      </c>
      <c r="AV349" s="36">
        <f>IF(Y349=1,IF(ISNUMBER(F349),F349,0),0)</f>
        <v/>
      </c>
      <c r="AW349" s="7">
        <f>IF(Y349=1,Z349,0)</f>
        <v/>
      </c>
      <c r="AX349" s="7">
        <f>IF(Y349=1,IF(ISNUMBER(AL349),AL349,0),0)</f>
        <v/>
      </c>
      <c r="AY349" s="7">
        <f>IF(Y349=1,IF(ISNUMBER(AL349),1,0),0)</f>
        <v/>
      </c>
      <c r="AZ349" s="7">
        <f>IF(Y349=1,IF(ISNUMBER(AN349),AN349,0),0)</f>
        <v/>
      </c>
      <c r="BA349" s="7">
        <f>IF(Y349=1,IF(ISNUMBER(AN349),1,0),0)</f>
        <v/>
      </c>
      <c r="BB349" s="7">
        <f>IF(Y349=1,IF(ISNUMBER(T349),T349,0),0)</f>
        <v/>
      </c>
      <c r="BC349" s="7">
        <f>IF(Y349=1,IF(ISNUMBER(T349),1,0),0)</f>
        <v/>
      </c>
      <c r="BD349" s="7">
        <f>IF(Y349=1,AQ349+ROW()/1E9,-1E9)</f>
        <v/>
      </c>
      <c r="BE349" s="7">
        <f>IF(Y349=1,AQ349+ROW()/1E9,1E9)</f>
        <v/>
      </c>
    </row>
    <row r="350">
      <c r="A350" s="16" t="n"/>
      <c r="B350" s="8">
        <f>IF($A350="","",BDP($A350,B$3))</f>
        <v/>
      </c>
      <c r="C350" s="8">
        <f>IF($A350="","",BDP($A350,C$3))</f>
        <v/>
      </c>
      <c r="D350" s="28">
        <f>IF($A350="","",BDP($A350,D$3))</f>
        <v/>
      </c>
      <c r="E350" s="29">
        <f>IF($A350="","",BDP($A350,E$3))</f>
        <v/>
      </c>
      <c r="F350" s="17">
        <f>IF($A350="","",BDP($A350,F$3))</f>
        <v/>
      </c>
      <c r="G350" s="8">
        <f>IF($A350="","",BDP($A350,G$3))</f>
        <v/>
      </c>
      <c r="H350" s="8">
        <f>IF($A350="","",BDP($A350,H$3))</f>
        <v/>
      </c>
      <c r="I350" s="8">
        <f>IF($A350="","",BDP($A350,I$3))</f>
        <v/>
      </c>
      <c r="J350" s="8">
        <f>IF($A350="","",BDP($A350,J$3))</f>
        <v/>
      </c>
      <c r="K350" s="8">
        <f>IF($A350="","",BDP($A350,K$3))</f>
        <v/>
      </c>
      <c r="L350" s="28">
        <f>IF($A350="","",BDP($A350,L$3))</f>
        <v/>
      </c>
      <c r="M350" s="28">
        <f>IF($A350="","",BDP($A350,M$3))</f>
        <v/>
      </c>
      <c r="N350" s="30">
        <f>IF($A350="","",BDP($A350,N$3))</f>
        <v/>
      </c>
      <c r="O350" s="31">
        <f>IF($A350="","",BDP($A350,O$3))</f>
        <v/>
      </c>
      <c r="P350" s="30">
        <f>IF($A350="","",BDH($A350,$N$3,'參數'!$B$5,'參數'!$B$5,"Days=A","Fill=P","Dates=H"))</f>
        <v/>
      </c>
      <c r="Q350" s="30">
        <f>IF($A350="","",BDH($A350,$N$3,'參數'!$B$6,'參數'!$B$6,"Days=A","Fill=P","Dates=H"))</f>
        <v/>
      </c>
      <c r="R350" s="30">
        <f>IF($A350="","",BDH($A350,$N$3,'參數'!$B$7,'參數'!$B$7,"Days=A","Fill=P","Dates=H"))</f>
        <v/>
      </c>
      <c r="S350" s="32">
        <f>IF($A350="","",IFERROR(INDEX('發行人'!$A$5:$A$44,MATCH(B350,'發行人'!$D$5:$D$44,0)),"未對應"))</f>
        <v/>
      </c>
      <c r="T350" s="24">
        <f>IF($A350="","",IFERROR(INDEX('發行人'!$G$5:$G$44,MATCH(B350,'發行人'!$D$5:$D$44,0))+0,""))</f>
        <v/>
      </c>
      <c r="U350" s="18">
        <f>IF(ISNUMBER(E350),YEARFRAC('參數'!$B$4,E350),"")</f>
        <v/>
      </c>
      <c r="V350" s="8">
        <f>IF(U350="","",IF(U350&lt;3,"1-3y",IF(U350&lt;5,"3-5y",IF(U350&lt;7,"5-7y",IF(U350&lt;10,"7-10y","10y+")))))</f>
        <v/>
      </c>
      <c r="W350" s="30">
        <f>IF($A350="","",IFERROR(INDEX('參數'!$B$24:$B$45,MATCH(G350,'參數'!$A$24:$A$45,0)),""))</f>
        <v/>
      </c>
      <c r="X350" s="8">
        <f>IF($A350="","",IFERROR(INDEX('參數'!$C$24:$C$45,MATCH(G350,'參數'!$A$24:$A$45,0)),""))</f>
        <v/>
      </c>
      <c r="Y350" s="30">
        <f>IF(AND(ISNUMBER(N350),ISNUMBER(O350),ISNUMBER(U350)),IF(AND(O350&gt;0,X350&lt;&gt;""),1,0),0)</f>
        <v/>
      </c>
      <c r="Z350" s="17">
        <f>IF(Y350=1,O350*N350,"")</f>
        <v/>
      </c>
      <c r="AA350" s="33">
        <f>IF(Y350=1,IF(ISNUMBER(Q350),N350-Q350,""),"")</f>
        <v/>
      </c>
      <c r="AB350" s="33">
        <f>IF(Y350=1,IF(AND(ISNUMBER(P350),ISNUMBER(R350)),R350*5/12-O350*(P350-R350),""),"")</f>
        <v/>
      </c>
      <c r="AC350" s="30">
        <f>IF(Y350=1,COUNTIFS($X$5:$X$404,X350,$V$5:$V$404,V350,$Y$5:$Y$404,1),"")</f>
        <v/>
      </c>
      <c r="AD350" s="30">
        <f>IF(Y350=1,IFERROR(IF(AC350&gt;='參數'!$B$9,INDEX('分群統計'!$G$13:$K$16,MATCH(X350,'分群統計'!$A$13:$A$16,0),MATCH(V350,'分群統計'!$G$12:$K$12,0)),INDEX('分群統計'!$I$5:$I$8,MATCH(X350,'分群統計'!$A$5:$A$8,0))),""),"")</f>
        <v/>
      </c>
      <c r="AE350" s="18">
        <f>IF(Y350=1,IFERROR(IF(AC350&gt;='參數'!$B$9,INDEX('分群統計'!$L$13:$P$16,MATCH(X350,'分群統計'!$A$13:$A$16,0),MATCH(V350,'分群統計'!$L$12:$P$12,0)),INDEX('分群統計'!$J$5:$J$8,MATCH(X350,'分群統計'!$A$5:$A$8,0))),""),"")</f>
        <v/>
      </c>
      <c r="AF350" s="31">
        <f>IF(ISNUMBER(AE350),IF(AE350&gt;0,MAX(-3,MIN(3,(N350-AD350)/AE350)),0),"")</f>
        <v/>
      </c>
      <c r="AG350" s="30">
        <f>IF(Y350=1,COUNTIFS($B$5:$B$404,B350,$Y$5:$Y$404,1),"")</f>
        <v/>
      </c>
      <c r="AH350" s="30">
        <f>IF(Y350=1,IFERROR(IF(ISNUMBER(INDEX('分群統計'!$G$20:$G$59,MATCH(B350,'分群統計'!$A$20:$A$59,0))),INDEX('分群統計'!$H$20:$H$59,MATCH(B350,'分群統計'!$A$20:$A$59,0))+INDEX('分群統計'!$G$20:$G$59,MATCH(B350,'分群統計'!$A$20:$A$59,0))*AU350,""),""),"")</f>
        <v/>
      </c>
      <c r="AI350" s="34">
        <f>IF(ISNUMBER(AH350),N350-AH350,"")</f>
        <v/>
      </c>
      <c r="AJ350" s="30">
        <f>IF(Y350=1,IFERROR(IF(ISNUMBER(INDEX('分群統計'!$G$5:$G$8,MATCH(X350,'分群統計'!$A$5:$A$8,0))),INDEX('分群統計'!$H$5:$H$8,MATCH(X350,'分群統計'!$A$5:$A$8,0))+INDEX('分群統計'!$G$5:$G$8,MATCH(X350,'分群統計'!$A$5:$A$8,0))*AU350,""),""),"")</f>
        <v/>
      </c>
      <c r="AK350" s="34">
        <f>IF(ISNUMBER(AJ350),N350-AJ350,"")</f>
        <v/>
      </c>
      <c r="AL350" s="21">
        <f>IF(ISNUMBER(AJ350),IF(AJ350&gt;0,AK350/AJ350,""),"")</f>
        <v/>
      </c>
      <c r="AM350" s="31">
        <f>IF(AY350&lt;&gt;1,"",IFERROR(IF(INDEX('分群統計'!$K$5:$K$8,MATCH(X350,'分群統計'!$A$5:$A$8,0))&lt;3,"",IF(INDEX('分群統計'!$M$5:$M$8,MATCH(X350,'分群統計'!$A$5:$A$8,0))&gt;0,MAX(-3,MIN(3,(AX350-INDEX('分群統計'!$L$5:$L$8,MATCH(X350,'分群統計'!$A$5:$A$8,0)))/INDEX('分群統計'!$M$5:$M$8,MATCH(X350,'分群統計'!$A$5:$A$8,0)))),0)),""))</f>
        <v/>
      </c>
      <c r="AN350" s="31">
        <f>IF(ISNUMBER(AB350),IF(Z350&gt;0,AB350/Z350*100,""),"")</f>
        <v/>
      </c>
      <c r="AO350" s="31">
        <f>IF(BA350&lt;&gt;1,"",IFERROR(IF(INDEX('分群統計'!$N$5:$N$8,MATCH(X350,'分群統計'!$A$5:$A$8,0))&lt;3,"",IF(INDEX('分群統計'!$P$5:$P$8,MATCH(X350,'分群統計'!$A$5:$A$8,0))&gt;0,MAX(-3,MIN(3,(AZ350-INDEX('分群統計'!$O$5:$O$8,MATCH(X350,'分群統計'!$A$5:$A$8,0)))/INDEX('分群統計'!$P$5:$P$8,MATCH(X350,'分群統計'!$A$5:$A$8,0)))),0)),""))</f>
        <v/>
      </c>
      <c r="AP350" s="31">
        <f>IF(BC350&lt;&gt;1,"",IFERROR(IF(INDEX('分群統計'!$Q$5:$Q$8,MATCH(X350,'分群統計'!$A$5:$A$8,0))&lt;3,"",IF(INDEX('分群統計'!$S$5:$S$8,MATCH(X350,'分群統計'!$A$5:$A$8,0))&gt;0,MAX(-3,MIN(3,(BB350-INDEX('分群統計'!$R$5:$R$8,MATCH(X350,'分群統計'!$A$5:$A$8,0)))/INDEX('分群統計'!$S$5:$S$8,MATCH(X350,'分群統計'!$A$5:$A$8,0)))),0)),""))</f>
        <v/>
      </c>
      <c r="AQ350" s="31">
        <f>IF(Y350=1,(IF(ISNUMBER(AF350),AF350,0)*'參數'!$B$13+IF(ISNUMBER(AM350),AM350,0)*'參數'!$B$14+IF(ISNUMBER(AO350),AO350,0)*'參數'!$B$15+IF(ISNUMBER(AP350),AP350,0)*'參數'!$B$16)/('參數'!$B$13+'參數'!$B$14+'參數'!$B$15+'參數'!$B$16),"")</f>
        <v/>
      </c>
      <c r="AR350" s="35">
        <f>IF(Y350=1,(SUMPRODUCT(($X$5:$X$404=X350)*($Y$5:$Y$404=1)*($BD$5:$BD$404&gt;BD350))+1)/COUNTIFS($X$5:$X$404,X350,$Y$5:$Y$404,1),"")</f>
        <v/>
      </c>
      <c r="AS350" s="8">
        <f>IF(ISNUMBER(AR350),IF(AR350&lt;='參數'!$B$18,"加碼候選",IF(AR350&gt;'參數'!$B$19,"減碼候選","")),"")</f>
        <v/>
      </c>
      <c r="AT350" s="7">
        <f>IF(Y350=1,N350,0)</f>
        <v/>
      </c>
      <c r="AU350" s="7">
        <f>IF(Y350=1,LN(O350),0)</f>
        <v/>
      </c>
      <c r="AV350" s="36">
        <f>IF(Y350=1,IF(ISNUMBER(F350),F350,0),0)</f>
        <v/>
      </c>
      <c r="AW350" s="7">
        <f>IF(Y350=1,Z350,0)</f>
        <v/>
      </c>
      <c r="AX350" s="7">
        <f>IF(Y350=1,IF(ISNUMBER(AL350),AL350,0),0)</f>
        <v/>
      </c>
      <c r="AY350" s="7">
        <f>IF(Y350=1,IF(ISNUMBER(AL350),1,0),0)</f>
        <v/>
      </c>
      <c r="AZ350" s="7">
        <f>IF(Y350=1,IF(ISNUMBER(AN350),AN350,0),0)</f>
        <v/>
      </c>
      <c r="BA350" s="7">
        <f>IF(Y350=1,IF(ISNUMBER(AN350),1,0),0)</f>
        <v/>
      </c>
      <c r="BB350" s="7">
        <f>IF(Y350=1,IF(ISNUMBER(T350),T350,0),0)</f>
        <v/>
      </c>
      <c r="BC350" s="7">
        <f>IF(Y350=1,IF(ISNUMBER(T350),1,0),0)</f>
        <v/>
      </c>
      <c r="BD350" s="7">
        <f>IF(Y350=1,AQ350+ROW()/1E9,-1E9)</f>
        <v/>
      </c>
      <c r="BE350" s="7">
        <f>IF(Y350=1,AQ350+ROW()/1E9,1E9)</f>
        <v/>
      </c>
    </row>
    <row r="351">
      <c r="A351" s="16" t="n"/>
      <c r="B351" s="8">
        <f>IF($A351="","",BDP($A351,B$3))</f>
        <v/>
      </c>
      <c r="C351" s="8">
        <f>IF($A351="","",BDP($A351,C$3))</f>
        <v/>
      </c>
      <c r="D351" s="28">
        <f>IF($A351="","",BDP($A351,D$3))</f>
        <v/>
      </c>
      <c r="E351" s="29">
        <f>IF($A351="","",BDP($A351,E$3))</f>
        <v/>
      </c>
      <c r="F351" s="17">
        <f>IF($A351="","",BDP($A351,F$3))</f>
        <v/>
      </c>
      <c r="G351" s="8">
        <f>IF($A351="","",BDP($A351,G$3))</f>
        <v/>
      </c>
      <c r="H351" s="8">
        <f>IF($A351="","",BDP($A351,H$3))</f>
        <v/>
      </c>
      <c r="I351" s="8">
        <f>IF($A351="","",BDP($A351,I$3))</f>
        <v/>
      </c>
      <c r="J351" s="8">
        <f>IF($A351="","",BDP($A351,J$3))</f>
        <v/>
      </c>
      <c r="K351" s="8">
        <f>IF($A351="","",BDP($A351,K$3))</f>
        <v/>
      </c>
      <c r="L351" s="28">
        <f>IF($A351="","",BDP($A351,L$3))</f>
        <v/>
      </c>
      <c r="M351" s="28">
        <f>IF($A351="","",BDP($A351,M$3))</f>
        <v/>
      </c>
      <c r="N351" s="30">
        <f>IF($A351="","",BDP($A351,N$3))</f>
        <v/>
      </c>
      <c r="O351" s="31">
        <f>IF($A351="","",BDP($A351,O$3))</f>
        <v/>
      </c>
      <c r="P351" s="30">
        <f>IF($A351="","",BDH($A351,$N$3,'參數'!$B$5,'參數'!$B$5,"Days=A","Fill=P","Dates=H"))</f>
        <v/>
      </c>
      <c r="Q351" s="30">
        <f>IF($A351="","",BDH($A351,$N$3,'參數'!$B$6,'參數'!$B$6,"Days=A","Fill=P","Dates=H"))</f>
        <v/>
      </c>
      <c r="R351" s="30">
        <f>IF($A351="","",BDH($A351,$N$3,'參數'!$B$7,'參數'!$B$7,"Days=A","Fill=P","Dates=H"))</f>
        <v/>
      </c>
      <c r="S351" s="32">
        <f>IF($A351="","",IFERROR(INDEX('發行人'!$A$5:$A$44,MATCH(B351,'發行人'!$D$5:$D$44,0)),"未對應"))</f>
        <v/>
      </c>
      <c r="T351" s="24">
        <f>IF($A351="","",IFERROR(INDEX('發行人'!$G$5:$G$44,MATCH(B351,'發行人'!$D$5:$D$44,0))+0,""))</f>
        <v/>
      </c>
      <c r="U351" s="18">
        <f>IF(ISNUMBER(E351),YEARFRAC('參數'!$B$4,E351),"")</f>
        <v/>
      </c>
      <c r="V351" s="8">
        <f>IF(U351="","",IF(U351&lt;3,"1-3y",IF(U351&lt;5,"3-5y",IF(U351&lt;7,"5-7y",IF(U351&lt;10,"7-10y","10y+")))))</f>
        <v/>
      </c>
      <c r="W351" s="30">
        <f>IF($A351="","",IFERROR(INDEX('參數'!$B$24:$B$45,MATCH(G351,'參數'!$A$24:$A$45,0)),""))</f>
        <v/>
      </c>
      <c r="X351" s="8">
        <f>IF($A351="","",IFERROR(INDEX('參數'!$C$24:$C$45,MATCH(G351,'參數'!$A$24:$A$45,0)),""))</f>
        <v/>
      </c>
      <c r="Y351" s="30">
        <f>IF(AND(ISNUMBER(N351),ISNUMBER(O351),ISNUMBER(U351)),IF(AND(O351&gt;0,X351&lt;&gt;""),1,0),0)</f>
        <v/>
      </c>
      <c r="Z351" s="17">
        <f>IF(Y351=1,O351*N351,"")</f>
        <v/>
      </c>
      <c r="AA351" s="33">
        <f>IF(Y351=1,IF(ISNUMBER(Q351),N351-Q351,""),"")</f>
        <v/>
      </c>
      <c r="AB351" s="33">
        <f>IF(Y351=1,IF(AND(ISNUMBER(P351),ISNUMBER(R351)),R351*5/12-O351*(P351-R351),""),"")</f>
        <v/>
      </c>
      <c r="AC351" s="30">
        <f>IF(Y351=1,COUNTIFS($X$5:$X$404,X351,$V$5:$V$404,V351,$Y$5:$Y$404,1),"")</f>
        <v/>
      </c>
      <c r="AD351" s="30">
        <f>IF(Y351=1,IFERROR(IF(AC351&gt;='參數'!$B$9,INDEX('分群統計'!$G$13:$K$16,MATCH(X351,'分群統計'!$A$13:$A$16,0),MATCH(V351,'分群統計'!$G$12:$K$12,0)),INDEX('分群統計'!$I$5:$I$8,MATCH(X351,'分群統計'!$A$5:$A$8,0))),""),"")</f>
        <v/>
      </c>
      <c r="AE351" s="18">
        <f>IF(Y351=1,IFERROR(IF(AC351&gt;='參數'!$B$9,INDEX('分群統計'!$L$13:$P$16,MATCH(X351,'分群統計'!$A$13:$A$16,0),MATCH(V351,'分群統計'!$L$12:$P$12,0)),INDEX('分群統計'!$J$5:$J$8,MATCH(X351,'分群統計'!$A$5:$A$8,0))),""),"")</f>
        <v/>
      </c>
      <c r="AF351" s="31">
        <f>IF(ISNUMBER(AE351),IF(AE351&gt;0,MAX(-3,MIN(3,(N351-AD351)/AE351)),0),"")</f>
        <v/>
      </c>
      <c r="AG351" s="30">
        <f>IF(Y351=1,COUNTIFS($B$5:$B$404,B351,$Y$5:$Y$404,1),"")</f>
        <v/>
      </c>
      <c r="AH351" s="30">
        <f>IF(Y351=1,IFERROR(IF(ISNUMBER(INDEX('分群統計'!$G$20:$G$59,MATCH(B351,'分群統計'!$A$20:$A$59,0))),INDEX('分群統計'!$H$20:$H$59,MATCH(B351,'分群統計'!$A$20:$A$59,0))+INDEX('分群統計'!$G$20:$G$59,MATCH(B351,'分群統計'!$A$20:$A$59,0))*AU351,""),""),"")</f>
        <v/>
      </c>
      <c r="AI351" s="34">
        <f>IF(ISNUMBER(AH351),N351-AH351,"")</f>
        <v/>
      </c>
      <c r="AJ351" s="30">
        <f>IF(Y351=1,IFERROR(IF(ISNUMBER(INDEX('分群統計'!$G$5:$G$8,MATCH(X351,'分群統計'!$A$5:$A$8,0))),INDEX('分群統計'!$H$5:$H$8,MATCH(X351,'分群統計'!$A$5:$A$8,0))+INDEX('分群統計'!$G$5:$G$8,MATCH(X351,'分群統計'!$A$5:$A$8,0))*AU351,""),""),"")</f>
        <v/>
      </c>
      <c r="AK351" s="34">
        <f>IF(ISNUMBER(AJ351),N351-AJ351,"")</f>
        <v/>
      </c>
      <c r="AL351" s="21">
        <f>IF(ISNUMBER(AJ351),IF(AJ351&gt;0,AK351/AJ351,""),"")</f>
        <v/>
      </c>
      <c r="AM351" s="31">
        <f>IF(AY351&lt;&gt;1,"",IFERROR(IF(INDEX('分群統計'!$K$5:$K$8,MATCH(X351,'分群統計'!$A$5:$A$8,0))&lt;3,"",IF(INDEX('分群統計'!$M$5:$M$8,MATCH(X351,'分群統計'!$A$5:$A$8,0))&gt;0,MAX(-3,MIN(3,(AX351-INDEX('分群統計'!$L$5:$L$8,MATCH(X351,'分群統計'!$A$5:$A$8,0)))/INDEX('分群統計'!$M$5:$M$8,MATCH(X351,'分群統計'!$A$5:$A$8,0)))),0)),""))</f>
        <v/>
      </c>
      <c r="AN351" s="31">
        <f>IF(ISNUMBER(AB351),IF(Z351&gt;0,AB351/Z351*100,""),"")</f>
        <v/>
      </c>
      <c r="AO351" s="31">
        <f>IF(BA351&lt;&gt;1,"",IFERROR(IF(INDEX('分群統計'!$N$5:$N$8,MATCH(X351,'分群統計'!$A$5:$A$8,0))&lt;3,"",IF(INDEX('分群統計'!$P$5:$P$8,MATCH(X351,'分群統計'!$A$5:$A$8,0))&gt;0,MAX(-3,MIN(3,(AZ351-INDEX('分群統計'!$O$5:$O$8,MATCH(X351,'分群統計'!$A$5:$A$8,0)))/INDEX('分群統計'!$P$5:$P$8,MATCH(X351,'分群統計'!$A$5:$A$8,0)))),0)),""))</f>
        <v/>
      </c>
      <c r="AP351" s="31">
        <f>IF(BC351&lt;&gt;1,"",IFERROR(IF(INDEX('分群統計'!$Q$5:$Q$8,MATCH(X351,'分群統計'!$A$5:$A$8,0))&lt;3,"",IF(INDEX('分群統計'!$S$5:$S$8,MATCH(X351,'分群統計'!$A$5:$A$8,0))&gt;0,MAX(-3,MIN(3,(BB351-INDEX('分群統計'!$R$5:$R$8,MATCH(X351,'分群統計'!$A$5:$A$8,0)))/INDEX('分群統計'!$S$5:$S$8,MATCH(X351,'分群統計'!$A$5:$A$8,0)))),0)),""))</f>
        <v/>
      </c>
      <c r="AQ351" s="31">
        <f>IF(Y351=1,(IF(ISNUMBER(AF351),AF351,0)*'參數'!$B$13+IF(ISNUMBER(AM351),AM351,0)*'參數'!$B$14+IF(ISNUMBER(AO351),AO351,0)*'參數'!$B$15+IF(ISNUMBER(AP351),AP351,0)*'參數'!$B$16)/('參數'!$B$13+'參數'!$B$14+'參數'!$B$15+'參數'!$B$16),"")</f>
        <v/>
      </c>
      <c r="AR351" s="35">
        <f>IF(Y351=1,(SUMPRODUCT(($X$5:$X$404=X351)*($Y$5:$Y$404=1)*($BD$5:$BD$404&gt;BD351))+1)/COUNTIFS($X$5:$X$404,X351,$Y$5:$Y$404,1),"")</f>
        <v/>
      </c>
      <c r="AS351" s="8">
        <f>IF(ISNUMBER(AR351),IF(AR351&lt;='參數'!$B$18,"加碼候選",IF(AR351&gt;'參數'!$B$19,"減碼候選","")),"")</f>
        <v/>
      </c>
      <c r="AT351" s="7">
        <f>IF(Y351=1,N351,0)</f>
        <v/>
      </c>
      <c r="AU351" s="7">
        <f>IF(Y351=1,LN(O351),0)</f>
        <v/>
      </c>
      <c r="AV351" s="36">
        <f>IF(Y351=1,IF(ISNUMBER(F351),F351,0),0)</f>
        <v/>
      </c>
      <c r="AW351" s="7">
        <f>IF(Y351=1,Z351,0)</f>
        <v/>
      </c>
      <c r="AX351" s="7">
        <f>IF(Y351=1,IF(ISNUMBER(AL351),AL351,0),0)</f>
        <v/>
      </c>
      <c r="AY351" s="7">
        <f>IF(Y351=1,IF(ISNUMBER(AL351),1,0),0)</f>
        <v/>
      </c>
      <c r="AZ351" s="7">
        <f>IF(Y351=1,IF(ISNUMBER(AN351),AN351,0),0)</f>
        <v/>
      </c>
      <c r="BA351" s="7">
        <f>IF(Y351=1,IF(ISNUMBER(AN351),1,0),0)</f>
        <v/>
      </c>
      <c r="BB351" s="7">
        <f>IF(Y351=1,IF(ISNUMBER(T351),T351,0),0)</f>
        <v/>
      </c>
      <c r="BC351" s="7">
        <f>IF(Y351=1,IF(ISNUMBER(T351),1,0),0)</f>
        <v/>
      </c>
      <c r="BD351" s="7">
        <f>IF(Y351=1,AQ351+ROW()/1E9,-1E9)</f>
        <v/>
      </c>
      <c r="BE351" s="7">
        <f>IF(Y351=1,AQ351+ROW()/1E9,1E9)</f>
        <v/>
      </c>
    </row>
    <row r="352">
      <c r="A352" s="16" t="n"/>
      <c r="B352" s="8">
        <f>IF($A352="","",BDP($A352,B$3))</f>
        <v/>
      </c>
      <c r="C352" s="8">
        <f>IF($A352="","",BDP($A352,C$3))</f>
        <v/>
      </c>
      <c r="D352" s="28">
        <f>IF($A352="","",BDP($A352,D$3))</f>
        <v/>
      </c>
      <c r="E352" s="29">
        <f>IF($A352="","",BDP($A352,E$3))</f>
        <v/>
      </c>
      <c r="F352" s="17">
        <f>IF($A352="","",BDP($A352,F$3))</f>
        <v/>
      </c>
      <c r="G352" s="8">
        <f>IF($A352="","",BDP($A352,G$3))</f>
        <v/>
      </c>
      <c r="H352" s="8">
        <f>IF($A352="","",BDP($A352,H$3))</f>
        <v/>
      </c>
      <c r="I352" s="8">
        <f>IF($A352="","",BDP($A352,I$3))</f>
        <v/>
      </c>
      <c r="J352" s="8">
        <f>IF($A352="","",BDP($A352,J$3))</f>
        <v/>
      </c>
      <c r="K352" s="8">
        <f>IF($A352="","",BDP($A352,K$3))</f>
        <v/>
      </c>
      <c r="L352" s="28">
        <f>IF($A352="","",BDP($A352,L$3))</f>
        <v/>
      </c>
      <c r="M352" s="28">
        <f>IF($A352="","",BDP($A352,M$3))</f>
        <v/>
      </c>
      <c r="N352" s="30">
        <f>IF($A352="","",BDP($A352,N$3))</f>
        <v/>
      </c>
      <c r="O352" s="31">
        <f>IF($A352="","",BDP($A352,O$3))</f>
        <v/>
      </c>
      <c r="P352" s="30">
        <f>IF($A352="","",BDH($A352,$N$3,'參數'!$B$5,'參數'!$B$5,"Days=A","Fill=P","Dates=H"))</f>
        <v/>
      </c>
      <c r="Q352" s="30">
        <f>IF($A352="","",BDH($A352,$N$3,'參數'!$B$6,'參數'!$B$6,"Days=A","Fill=P","Dates=H"))</f>
        <v/>
      </c>
      <c r="R352" s="30">
        <f>IF($A352="","",BDH($A352,$N$3,'參數'!$B$7,'參數'!$B$7,"Days=A","Fill=P","Dates=H"))</f>
        <v/>
      </c>
      <c r="S352" s="32">
        <f>IF($A352="","",IFERROR(INDEX('發行人'!$A$5:$A$44,MATCH(B352,'發行人'!$D$5:$D$44,0)),"未對應"))</f>
        <v/>
      </c>
      <c r="T352" s="24">
        <f>IF($A352="","",IFERROR(INDEX('發行人'!$G$5:$G$44,MATCH(B352,'發行人'!$D$5:$D$44,0))+0,""))</f>
        <v/>
      </c>
      <c r="U352" s="18">
        <f>IF(ISNUMBER(E352),YEARFRAC('參數'!$B$4,E352),"")</f>
        <v/>
      </c>
      <c r="V352" s="8">
        <f>IF(U352="","",IF(U352&lt;3,"1-3y",IF(U352&lt;5,"3-5y",IF(U352&lt;7,"5-7y",IF(U352&lt;10,"7-10y","10y+")))))</f>
        <v/>
      </c>
      <c r="W352" s="30">
        <f>IF($A352="","",IFERROR(INDEX('參數'!$B$24:$B$45,MATCH(G352,'參數'!$A$24:$A$45,0)),""))</f>
        <v/>
      </c>
      <c r="X352" s="8">
        <f>IF($A352="","",IFERROR(INDEX('參數'!$C$24:$C$45,MATCH(G352,'參數'!$A$24:$A$45,0)),""))</f>
        <v/>
      </c>
      <c r="Y352" s="30">
        <f>IF(AND(ISNUMBER(N352),ISNUMBER(O352),ISNUMBER(U352)),IF(AND(O352&gt;0,X352&lt;&gt;""),1,0),0)</f>
        <v/>
      </c>
      <c r="Z352" s="17">
        <f>IF(Y352=1,O352*N352,"")</f>
        <v/>
      </c>
      <c r="AA352" s="33">
        <f>IF(Y352=1,IF(ISNUMBER(Q352),N352-Q352,""),"")</f>
        <v/>
      </c>
      <c r="AB352" s="33">
        <f>IF(Y352=1,IF(AND(ISNUMBER(P352),ISNUMBER(R352)),R352*5/12-O352*(P352-R352),""),"")</f>
        <v/>
      </c>
      <c r="AC352" s="30">
        <f>IF(Y352=1,COUNTIFS($X$5:$X$404,X352,$V$5:$V$404,V352,$Y$5:$Y$404,1),"")</f>
        <v/>
      </c>
      <c r="AD352" s="30">
        <f>IF(Y352=1,IFERROR(IF(AC352&gt;='參數'!$B$9,INDEX('分群統計'!$G$13:$K$16,MATCH(X352,'分群統計'!$A$13:$A$16,0),MATCH(V352,'分群統計'!$G$12:$K$12,0)),INDEX('分群統計'!$I$5:$I$8,MATCH(X352,'分群統計'!$A$5:$A$8,0))),""),"")</f>
        <v/>
      </c>
      <c r="AE352" s="18">
        <f>IF(Y352=1,IFERROR(IF(AC352&gt;='參數'!$B$9,INDEX('分群統計'!$L$13:$P$16,MATCH(X352,'分群統計'!$A$13:$A$16,0),MATCH(V352,'分群統計'!$L$12:$P$12,0)),INDEX('分群統計'!$J$5:$J$8,MATCH(X352,'分群統計'!$A$5:$A$8,0))),""),"")</f>
        <v/>
      </c>
      <c r="AF352" s="31">
        <f>IF(ISNUMBER(AE352),IF(AE352&gt;0,MAX(-3,MIN(3,(N352-AD352)/AE352)),0),"")</f>
        <v/>
      </c>
      <c r="AG352" s="30">
        <f>IF(Y352=1,COUNTIFS($B$5:$B$404,B352,$Y$5:$Y$404,1),"")</f>
        <v/>
      </c>
      <c r="AH352" s="30">
        <f>IF(Y352=1,IFERROR(IF(ISNUMBER(INDEX('分群統計'!$G$20:$G$59,MATCH(B352,'分群統計'!$A$20:$A$59,0))),INDEX('分群統計'!$H$20:$H$59,MATCH(B352,'分群統計'!$A$20:$A$59,0))+INDEX('分群統計'!$G$20:$G$59,MATCH(B352,'分群統計'!$A$20:$A$59,0))*AU352,""),""),"")</f>
        <v/>
      </c>
      <c r="AI352" s="34">
        <f>IF(ISNUMBER(AH352),N352-AH352,"")</f>
        <v/>
      </c>
      <c r="AJ352" s="30">
        <f>IF(Y352=1,IFERROR(IF(ISNUMBER(INDEX('分群統計'!$G$5:$G$8,MATCH(X352,'分群統計'!$A$5:$A$8,0))),INDEX('分群統計'!$H$5:$H$8,MATCH(X352,'分群統計'!$A$5:$A$8,0))+INDEX('分群統計'!$G$5:$G$8,MATCH(X352,'分群統計'!$A$5:$A$8,0))*AU352,""),""),"")</f>
        <v/>
      </c>
      <c r="AK352" s="34">
        <f>IF(ISNUMBER(AJ352),N352-AJ352,"")</f>
        <v/>
      </c>
      <c r="AL352" s="21">
        <f>IF(ISNUMBER(AJ352),IF(AJ352&gt;0,AK352/AJ352,""),"")</f>
        <v/>
      </c>
      <c r="AM352" s="31">
        <f>IF(AY352&lt;&gt;1,"",IFERROR(IF(INDEX('分群統計'!$K$5:$K$8,MATCH(X352,'分群統計'!$A$5:$A$8,0))&lt;3,"",IF(INDEX('分群統計'!$M$5:$M$8,MATCH(X352,'分群統計'!$A$5:$A$8,0))&gt;0,MAX(-3,MIN(3,(AX352-INDEX('分群統計'!$L$5:$L$8,MATCH(X352,'分群統計'!$A$5:$A$8,0)))/INDEX('分群統計'!$M$5:$M$8,MATCH(X352,'分群統計'!$A$5:$A$8,0)))),0)),""))</f>
        <v/>
      </c>
      <c r="AN352" s="31">
        <f>IF(ISNUMBER(AB352),IF(Z352&gt;0,AB352/Z352*100,""),"")</f>
        <v/>
      </c>
      <c r="AO352" s="31">
        <f>IF(BA352&lt;&gt;1,"",IFERROR(IF(INDEX('分群統計'!$N$5:$N$8,MATCH(X352,'分群統計'!$A$5:$A$8,0))&lt;3,"",IF(INDEX('分群統計'!$P$5:$P$8,MATCH(X352,'分群統計'!$A$5:$A$8,0))&gt;0,MAX(-3,MIN(3,(AZ352-INDEX('分群統計'!$O$5:$O$8,MATCH(X352,'分群統計'!$A$5:$A$8,0)))/INDEX('分群統計'!$P$5:$P$8,MATCH(X352,'分群統計'!$A$5:$A$8,0)))),0)),""))</f>
        <v/>
      </c>
      <c r="AP352" s="31">
        <f>IF(BC352&lt;&gt;1,"",IFERROR(IF(INDEX('分群統計'!$Q$5:$Q$8,MATCH(X352,'分群統計'!$A$5:$A$8,0))&lt;3,"",IF(INDEX('分群統計'!$S$5:$S$8,MATCH(X352,'分群統計'!$A$5:$A$8,0))&gt;0,MAX(-3,MIN(3,(BB352-INDEX('分群統計'!$R$5:$R$8,MATCH(X352,'分群統計'!$A$5:$A$8,0)))/INDEX('分群統計'!$S$5:$S$8,MATCH(X352,'分群統計'!$A$5:$A$8,0)))),0)),""))</f>
        <v/>
      </c>
      <c r="AQ352" s="31">
        <f>IF(Y352=1,(IF(ISNUMBER(AF352),AF352,0)*'參數'!$B$13+IF(ISNUMBER(AM352),AM352,0)*'參數'!$B$14+IF(ISNUMBER(AO352),AO352,0)*'參數'!$B$15+IF(ISNUMBER(AP352),AP352,0)*'參數'!$B$16)/('參數'!$B$13+'參數'!$B$14+'參數'!$B$15+'參數'!$B$16),"")</f>
        <v/>
      </c>
      <c r="AR352" s="35">
        <f>IF(Y352=1,(SUMPRODUCT(($X$5:$X$404=X352)*($Y$5:$Y$404=1)*($BD$5:$BD$404&gt;BD352))+1)/COUNTIFS($X$5:$X$404,X352,$Y$5:$Y$404,1),"")</f>
        <v/>
      </c>
      <c r="AS352" s="8">
        <f>IF(ISNUMBER(AR352),IF(AR352&lt;='參數'!$B$18,"加碼候選",IF(AR352&gt;'參數'!$B$19,"減碼候選","")),"")</f>
        <v/>
      </c>
      <c r="AT352" s="7">
        <f>IF(Y352=1,N352,0)</f>
        <v/>
      </c>
      <c r="AU352" s="7">
        <f>IF(Y352=1,LN(O352),0)</f>
        <v/>
      </c>
      <c r="AV352" s="36">
        <f>IF(Y352=1,IF(ISNUMBER(F352),F352,0),0)</f>
        <v/>
      </c>
      <c r="AW352" s="7">
        <f>IF(Y352=1,Z352,0)</f>
        <v/>
      </c>
      <c r="AX352" s="7">
        <f>IF(Y352=1,IF(ISNUMBER(AL352),AL352,0),0)</f>
        <v/>
      </c>
      <c r="AY352" s="7">
        <f>IF(Y352=1,IF(ISNUMBER(AL352),1,0),0)</f>
        <v/>
      </c>
      <c r="AZ352" s="7">
        <f>IF(Y352=1,IF(ISNUMBER(AN352),AN352,0),0)</f>
        <v/>
      </c>
      <c r="BA352" s="7">
        <f>IF(Y352=1,IF(ISNUMBER(AN352),1,0),0)</f>
        <v/>
      </c>
      <c r="BB352" s="7">
        <f>IF(Y352=1,IF(ISNUMBER(T352),T352,0),0)</f>
        <v/>
      </c>
      <c r="BC352" s="7">
        <f>IF(Y352=1,IF(ISNUMBER(T352),1,0),0)</f>
        <v/>
      </c>
      <c r="BD352" s="7">
        <f>IF(Y352=1,AQ352+ROW()/1E9,-1E9)</f>
        <v/>
      </c>
      <c r="BE352" s="7">
        <f>IF(Y352=1,AQ352+ROW()/1E9,1E9)</f>
        <v/>
      </c>
    </row>
    <row r="353">
      <c r="A353" s="16" t="n"/>
      <c r="B353" s="8">
        <f>IF($A353="","",BDP($A353,B$3))</f>
        <v/>
      </c>
      <c r="C353" s="8">
        <f>IF($A353="","",BDP($A353,C$3))</f>
        <v/>
      </c>
      <c r="D353" s="28">
        <f>IF($A353="","",BDP($A353,D$3))</f>
        <v/>
      </c>
      <c r="E353" s="29">
        <f>IF($A353="","",BDP($A353,E$3))</f>
        <v/>
      </c>
      <c r="F353" s="17">
        <f>IF($A353="","",BDP($A353,F$3))</f>
        <v/>
      </c>
      <c r="G353" s="8">
        <f>IF($A353="","",BDP($A353,G$3))</f>
        <v/>
      </c>
      <c r="H353" s="8">
        <f>IF($A353="","",BDP($A353,H$3))</f>
        <v/>
      </c>
      <c r="I353" s="8">
        <f>IF($A353="","",BDP($A353,I$3))</f>
        <v/>
      </c>
      <c r="J353" s="8">
        <f>IF($A353="","",BDP($A353,J$3))</f>
        <v/>
      </c>
      <c r="K353" s="8">
        <f>IF($A353="","",BDP($A353,K$3))</f>
        <v/>
      </c>
      <c r="L353" s="28">
        <f>IF($A353="","",BDP($A353,L$3))</f>
        <v/>
      </c>
      <c r="M353" s="28">
        <f>IF($A353="","",BDP($A353,M$3))</f>
        <v/>
      </c>
      <c r="N353" s="30">
        <f>IF($A353="","",BDP($A353,N$3))</f>
        <v/>
      </c>
      <c r="O353" s="31">
        <f>IF($A353="","",BDP($A353,O$3))</f>
        <v/>
      </c>
      <c r="P353" s="30">
        <f>IF($A353="","",BDH($A353,$N$3,'參數'!$B$5,'參數'!$B$5,"Days=A","Fill=P","Dates=H"))</f>
        <v/>
      </c>
      <c r="Q353" s="30">
        <f>IF($A353="","",BDH($A353,$N$3,'參數'!$B$6,'參數'!$B$6,"Days=A","Fill=P","Dates=H"))</f>
        <v/>
      </c>
      <c r="R353" s="30">
        <f>IF($A353="","",BDH($A353,$N$3,'參數'!$B$7,'參數'!$B$7,"Days=A","Fill=P","Dates=H"))</f>
        <v/>
      </c>
      <c r="S353" s="32">
        <f>IF($A353="","",IFERROR(INDEX('發行人'!$A$5:$A$44,MATCH(B353,'發行人'!$D$5:$D$44,0)),"未對應"))</f>
        <v/>
      </c>
      <c r="T353" s="24">
        <f>IF($A353="","",IFERROR(INDEX('發行人'!$G$5:$G$44,MATCH(B353,'發行人'!$D$5:$D$44,0))+0,""))</f>
        <v/>
      </c>
      <c r="U353" s="18">
        <f>IF(ISNUMBER(E353),YEARFRAC('參數'!$B$4,E353),"")</f>
        <v/>
      </c>
      <c r="V353" s="8">
        <f>IF(U353="","",IF(U353&lt;3,"1-3y",IF(U353&lt;5,"3-5y",IF(U353&lt;7,"5-7y",IF(U353&lt;10,"7-10y","10y+")))))</f>
        <v/>
      </c>
      <c r="W353" s="30">
        <f>IF($A353="","",IFERROR(INDEX('參數'!$B$24:$B$45,MATCH(G353,'參數'!$A$24:$A$45,0)),""))</f>
        <v/>
      </c>
      <c r="X353" s="8">
        <f>IF($A353="","",IFERROR(INDEX('參數'!$C$24:$C$45,MATCH(G353,'參數'!$A$24:$A$45,0)),""))</f>
        <v/>
      </c>
      <c r="Y353" s="30">
        <f>IF(AND(ISNUMBER(N353),ISNUMBER(O353),ISNUMBER(U353)),IF(AND(O353&gt;0,X353&lt;&gt;""),1,0),0)</f>
        <v/>
      </c>
      <c r="Z353" s="17">
        <f>IF(Y353=1,O353*N353,"")</f>
        <v/>
      </c>
      <c r="AA353" s="33">
        <f>IF(Y353=1,IF(ISNUMBER(Q353),N353-Q353,""),"")</f>
        <v/>
      </c>
      <c r="AB353" s="33">
        <f>IF(Y353=1,IF(AND(ISNUMBER(P353),ISNUMBER(R353)),R353*5/12-O353*(P353-R353),""),"")</f>
        <v/>
      </c>
      <c r="AC353" s="30">
        <f>IF(Y353=1,COUNTIFS($X$5:$X$404,X353,$V$5:$V$404,V353,$Y$5:$Y$404,1),"")</f>
        <v/>
      </c>
      <c r="AD353" s="30">
        <f>IF(Y353=1,IFERROR(IF(AC353&gt;='參數'!$B$9,INDEX('分群統計'!$G$13:$K$16,MATCH(X353,'分群統計'!$A$13:$A$16,0),MATCH(V353,'分群統計'!$G$12:$K$12,0)),INDEX('分群統計'!$I$5:$I$8,MATCH(X353,'分群統計'!$A$5:$A$8,0))),""),"")</f>
        <v/>
      </c>
      <c r="AE353" s="18">
        <f>IF(Y353=1,IFERROR(IF(AC353&gt;='參數'!$B$9,INDEX('分群統計'!$L$13:$P$16,MATCH(X353,'分群統計'!$A$13:$A$16,0),MATCH(V353,'分群統計'!$L$12:$P$12,0)),INDEX('分群統計'!$J$5:$J$8,MATCH(X353,'分群統計'!$A$5:$A$8,0))),""),"")</f>
        <v/>
      </c>
      <c r="AF353" s="31">
        <f>IF(ISNUMBER(AE353),IF(AE353&gt;0,MAX(-3,MIN(3,(N353-AD353)/AE353)),0),"")</f>
        <v/>
      </c>
      <c r="AG353" s="30">
        <f>IF(Y353=1,COUNTIFS($B$5:$B$404,B353,$Y$5:$Y$404,1),"")</f>
        <v/>
      </c>
      <c r="AH353" s="30">
        <f>IF(Y353=1,IFERROR(IF(ISNUMBER(INDEX('分群統計'!$G$20:$G$59,MATCH(B353,'分群統計'!$A$20:$A$59,0))),INDEX('分群統計'!$H$20:$H$59,MATCH(B353,'分群統計'!$A$20:$A$59,0))+INDEX('分群統計'!$G$20:$G$59,MATCH(B353,'分群統計'!$A$20:$A$59,0))*AU353,""),""),"")</f>
        <v/>
      </c>
      <c r="AI353" s="34">
        <f>IF(ISNUMBER(AH353),N353-AH353,"")</f>
        <v/>
      </c>
      <c r="AJ353" s="30">
        <f>IF(Y353=1,IFERROR(IF(ISNUMBER(INDEX('分群統計'!$G$5:$G$8,MATCH(X353,'分群統計'!$A$5:$A$8,0))),INDEX('分群統計'!$H$5:$H$8,MATCH(X353,'分群統計'!$A$5:$A$8,0))+INDEX('分群統計'!$G$5:$G$8,MATCH(X353,'分群統計'!$A$5:$A$8,0))*AU353,""),""),"")</f>
        <v/>
      </c>
      <c r="AK353" s="34">
        <f>IF(ISNUMBER(AJ353),N353-AJ353,"")</f>
        <v/>
      </c>
      <c r="AL353" s="21">
        <f>IF(ISNUMBER(AJ353),IF(AJ353&gt;0,AK353/AJ353,""),"")</f>
        <v/>
      </c>
      <c r="AM353" s="31">
        <f>IF(AY353&lt;&gt;1,"",IFERROR(IF(INDEX('分群統計'!$K$5:$K$8,MATCH(X353,'分群統計'!$A$5:$A$8,0))&lt;3,"",IF(INDEX('分群統計'!$M$5:$M$8,MATCH(X353,'分群統計'!$A$5:$A$8,0))&gt;0,MAX(-3,MIN(3,(AX353-INDEX('分群統計'!$L$5:$L$8,MATCH(X353,'分群統計'!$A$5:$A$8,0)))/INDEX('分群統計'!$M$5:$M$8,MATCH(X353,'分群統計'!$A$5:$A$8,0)))),0)),""))</f>
        <v/>
      </c>
      <c r="AN353" s="31">
        <f>IF(ISNUMBER(AB353),IF(Z353&gt;0,AB353/Z353*100,""),"")</f>
        <v/>
      </c>
      <c r="AO353" s="31">
        <f>IF(BA353&lt;&gt;1,"",IFERROR(IF(INDEX('分群統計'!$N$5:$N$8,MATCH(X353,'分群統計'!$A$5:$A$8,0))&lt;3,"",IF(INDEX('分群統計'!$P$5:$P$8,MATCH(X353,'分群統計'!$A$5:$A$8,0))&gt;0,MAX(-3,MIN(3,(AZ353-INDEX('分群統計'!$O$5:$O$8,MATCH(X353,'分群統計'!$A$5:$A$8,0)))/INDEX('分群統計'!$P$5:$P$8,MATCH(X353,'分群統計'!$A$5:$A$8,0)))),0)),""))</f>
        <v/>
      </c>
      <c r="AP353" s="31">
        <f>IF(BC353&lt;&gt;1,"",IFERROR(IF(INDEX('分群統計'!$Q$5:$Q$8,MATCH(X353,'分群統計'!$A$5:$A$8,0))&lt;3,"",IF(INDEX('分群統計'!$S$5:$S$8,MATCH(X353,'分群統計'!$A$5:$A$8,0))&gt;0,MAX(-3,MIN(3,(BB353-INDEX('分群統計'!$R$5:$R$8,MATCH(X353,'分群統計'!$A$5:$A$8,0)))/INDEX('分群統計'!$S$5:$S$8,MATCH(X353,'分群統計'!$A$5:$A$8,0)))),0)),""))</f>
        <v/>
      </c>
      <c r="AQ353" s="31">
        <f>IF(Y353=1,(IF(ISNUMBER(AF353),AF353,0)*'參數'!$B$13+IF(ISNUMBER(AM353),AM353,0)*'參數'!$B$14+IF(ISNUMBER(AO353),AO353,0)*'參數'!$B$15+IF(ISNUMBER(AP353),AP353,0)*'參數'!$B$16)/('參數'!$B$13+'參數'!$B$14+'參數'!$B$15+'參數'!$B$16),"")</f>
        <v/>
      </c>
      <c r="AR353" s="35">
        <f>IF(Y353=1,(SUMPRODUCT(($X$5:$X$404=X353)*($Y$5:$Y$404=1)*($BD$5:$BD$404&gt;BD353))+1)/COUNTIFS($X$5:$X$404,X353,$Y$5:$Y$404,1),"")</f>
        <v/>
      </c>
      <c r="AS353" s="8">
        <f>IF(ISNUMBER(AR353),IF(AR353&lt;='參數'!$B$18,"加碼候選",IF(AR353&gt;'參數'!$B$19,"減碼候選","")),"")</f>
        <v/>
      </c>
      <c r="AT353" s="7">
        <f>IF(Y353=1,N353,0)</f>
        <v/>
      </c>
      <c r="AU353" s="7">
        <f>IF(Y353=1,LN(O353),0)</f>
        <v/>
      </c>
      <c r="AV353" s="36">
        <f>IF(Y353=1,IF(ISNUMBER(F353),F353,0),0)</f>
        <v/>
      </c>
      <c r="AW353" s="7">
        <f>IF(Y353=1,Z353,0)</f>
        <v/>
      </c>
      <c r="AX353" s="7">
        <f>IF(Y353=1,IF(ISNUMBER(AL353),AL353,0),0)</f>
        <v/>
      </c>
      <c r="AY353" s="7">
        <f>IF(Y353=1,IF(ISNUMBER(AL353),1,0),0)</f>
        <v/>
      </c>
      <c r="AZ353" s="7">
        <f>IF(Y353=1,IF(ISNUMBER(AN353),AN353,0),0)</f>
        <v/>
      </c>
      <c r="BA353" s="7">
        <f>IF(Y353=1,IF(ISNUMBER(AN353),1,0),0)</f>
        <v/>
      </c>
      <c r="BB353" s="7">
        <f>IF(Y353=1,IF(ISNUMBER(T353),T353,0),0)</f>
        <v/>
      </c>
      <c r="BC353" s="7">
        <f>IF(Y353=1,IF(ISNUMBER(T353),1,0),0)</f>
        <v/>
      </c>
      <c r="BD353" s="7">
        <f>IF(Y353=1,AQ353+ROW()/1E9,-1E9)</f>
        <v/>
      </c>
      <c r="BE353" s="7">
        <f>IF(Y353=1,AQ353+ROW()/1E9,1E9)</f>
        <v/>
      </c>
    </row>
    <row r="354">
      <c r="A354" s="16" t="n"/>
      <c r="B354" s="8">
        <f>IF($A354="","",BDP($A354,B$3))</f>
        <v/>
      </c>
      <c r="C354" s="8">
        <f>IF($A354="","",BDP($A354,C$3))</f>
        <v/>
      </c>
      <c r="D354" s="28">
        <f>IF($A354="","",BDP($A354,D$3))</f>
        <v/>
      </c>
      <c r="E354" s="29">
        <f>IF($A354="","",BDP($A354,E$3))</f>
        <v/>
      </c>
      <c r="F354" s="17">
        <f>IF($A354="","",BDP($A354,F$3))</f>
        <v/>
      </c>
      <c r="G354" s="8">
        <f>IF($A354="","",BDP($A354,G$3))</f>
        <v/>
      </c>
      <c r="H354" s="8">
        <f>IF($A354="","",BDP($A354,H$3))</f>
        <v/>
      </c>
      <c r="I354" s="8">
        <f>IF($A354="","",BDP($A354,I$3))</f>
        <v/>
      </c>
      <c r="J354" s="8">
        <f>IF($A354="","",BDP($A354,J$3))</f>
        <v/>
      </c>
      <c r="K354" s="8">
        <f>IF($A354="","",BDP($A354,K$3))</f>
        <v/>
      </c>
      <c r="L354" s="28">
        <f>IF($A354="","",BDP($A354,L$3))</f>
        <v/>
      </c>
      <c r="M354" s="28">
        <f>IF($A354="","",BDP($A354,M$3))</f>
        <v/>
      </c>
      <c r="N354" s="30">
        <f>IF($A354="","",BDP($A354,N$3))</f>
        <v/>
      </c>
      <c r="O354" s="31">
        <f>IF($A354="","",BDP($A354,O$3))</f>
        <v/>
      </c>
      <c r="P354" s="30">
        <f>IF($A354="","",BDH($A354,$N$3,'參數'!$B$5,'參數'!$B$5,"Days=A","Fill=P","Dates=H"))</f>
        <v/>
      </c>
      <c r="Q354" s="30">
        <f>IF($A354="","",BDH($A354,$N$3,'參數'!$B$6,'參數'!$B$6,"Days=A","Fill=P","Dates=H"))</f>
        <v/>
      </c>
      <c r="R354" s="30">
        <f>IF($A354="","",BDH($A354,$N$3,'參數'!$B$7,'參數'!$B$7,"Days=A","Fill=P","Dates=H"))</f>
        <v/>
      </c>
      <c r="S354" s="32">
        <f>IF($A354="","",IFERROR(INDEX('發行人'!$A$5:$A$44,MATCH(B354,'發行人'!$D$5:$D$44,0)),"未對應"))</f>
        <v/>
      </c>
      <c r="T354" s="24">
        <f>IF($A354="","",IFERROR(INDEX('發行人'!$G$5:$G$44,MATCH(B354,'發行人'!$D$5:$D$44,0))+0,""))</f>
        <v/>
      </c>
      <c r="U354" s="18">
        <f>IF(ISNUMBER(E354),YEARFRAC('參數'!$B$4,E354),"")</f>
        <v/>
      </c>
      <c r="V354" s="8">
        <f>IF(U354="","",IF(U354&lt;3,"1-3y",IF(U354&lt;5,"3-5y",IF(U354&lt;7,"5-7y",IF(U354&lt;10,"7-10y","10y+")))))</f>
        <v/>
      </c>
      <c r="W354" s="30">
        <f>IF($A354="","",IFERROR(INDEX('參數'!$B$24:$B$45,MATCH(G354,'參數'!$A$24:$A$45,0)),""))</f>
        <v/>
      </c>
      <c r="X354" s="8">
        <f>IF($A354="","",IFERROR(INDEX('參數'!$C$24:$C$45,MATCH(G354,'參數'!$A$24:$A$45,0)),""))</f>
        <v/>
      </c>
      <c r="Y354" s="30">
        <f>IF(AND(ISNUMBER(N354),ISNUMBER(O354),ISNUMBER(U354)),IF(AND(O354&gt;0,X354&lt;&gt;""),1,0),0)</f>
        <v/>
      </c>
      <c r="Z354" s="17">
        <f>IF(Y354=1,O354*N354,"")</f>
        <v/>
      </c>
      <c r="AA354" s="33">
        <f>IF(Y354=1,IF(ISNUMBER(Q354),N354-Q354,""),"")</f>
        <v/>
      </c>
      <c r="AB354" s="33">
        <f>IF(Y354=1,IF(AND(ISNUMBER(P354),ISNUMBER(R354)),R354*5/12-O354*(P354-R354),""),"")</f>
        <v/>
      </c>
      <c r="AC354" s="30">
        <f>IF(Y354=1,COUNTIFS($X$5:$X$404,X354,$V$5:$V$404,V354,$Y$5:$Y$404,1),"")</f>
        <v/>
      </c>
      <c r="AD354" s="30">
        <f>IF(Y354=1,IFERROR(IF(AC354&gt;='參數'!$B$9,INDEX('分群統計'!$G$13:$K$16,MATCH(X354,'分群統計'!$A$13:$A$16,0),MATCH(V354,'分群統計'!$G$12:$K$12,0)),INDEX('分群統計'!$I$5:$I$8,MATCH(X354,'分群統計'!$A$5:$A$8,0))),""),"")</f>
        <v/>
      </c>
      <c r="AE354" s="18">
        <f>IF(Y354=1,IFERROR(IF(AC354&gt;='參數'!$B$9,INDEX('分群統計'!$L$13:$P$16,MATCH(X354,'分群統計'!$A$13:$A$16,0),MATCH(V354,'分群統計'!$L$12:$P$12,0)),INDEX('分群統計'!$J$5:$J$8,MATCH(X354,'分群統計'!$A$5:$A$8,0))),""),"")</f>
        <v/>
      </c>
      <c r="AF354" s="31">
        <f>IF(ISNUMBER(AE354),IF(AE354&gt;0,MAX(-3,MIN(3,(N354-AD354)/AE354)),0),"")</f>
        <v/>
      </c>
      <c r="AG354" s="30">
        <f>IF(Y354=1,COUNTIFS($B$5:$B$404,B354,$Y$5:$Y$404,1),"")</f>
        <v/>
      </c>
      <c r="AH354" s="30">
        <f>IF(Y354=1,IFERROR(IF(ISNUMBER(INDEX('分群統計'!$G$20:$G$59,MATCH(B354,'分群統計'!$A$20:$A$59,0))),INDEX('分群統計'!$H$20:$H$59,MATCH(B354,'分群統計'!$A$20:$A$59,0))+INDEX('分群統計'!$G$20:$G$59,MATCH(B354,'分群統計'!$A$20:$A$59,0))*AU354,""),""),"")</f>
        <v/>
      </c>
      <c r="AI354" s="34">
        <f>IF(ISNUMBER(AH354),N354-AH354,"")</f>
        <v/>
      </c>
      <c r="AJ354" s="30">
        <f>IF(Y354=1,IFERROR(IF(ISNUMBER(INDEX('分群統計'!$G$5:$G$8,MATCH(X354,'分群統計'!$A$5:$A$8,0))),INDEX('分群統計'!$H$5:$H$8,MATCH(X354,'分群統計'!$A$5:$A$8,0))+INDEX('分群統計'!$G$5:$G$8,MATCH(X354,'分群統計'!$A$5:$A$8,0))*AU354,""),""),"")</f>
        <v/>
      </c>
      <c r="AK354" s="34">
        <f>IF(ISNUMBER(AJ354),N354-AJ354,"")</f>
        <v/>
      </c>
      <c r="AL354" s="21">
        <f>IF(ISNUMBER(AJ354),IF(AJ354&gt;0,AK354/AJ354,""),"")</f>
        <v/>
      </c>
      <c r="AM354" s="31">
        <f>IF(AY354&lt;&gt;1,"",IFERROR(IF(INDEX('分群統計'!$K$5:$K$8,MATCH(X354,'分群統計'!$A$5:$A$8,0))&lt;3,"",IF(INDEX('分群統計'!$M$5:$M$8,MATCH(X354,'分群統計'!$A$5:$A$8,0))&gt;0,MAX(-3,MIN(3,(AX354-INDEX('分群統計'!$L$5:$L$8,MATCH(X354,'分群統計'!$A$5:$A$8,0)))/INDEX('分群統計'!$M$5:$M$8,MATCH(X354,'分群統計'!$A$5:$A$8,0)))),0)),""))</f>
        <v/>
      </c>
      <c r="AN354" s="31">
        <f>IF(ISNUMBER(AB354),IF(Z354&gt;0,AB354/Z354*100,""),"")</f>
        <v/>
      </c>
      <c r="AO354" s="31">
        <f>IF(BA354&lt;&gt;1,"",IFERROR(IF(INDEX('分群統計'!$N$5:$N$8,MATCH(X354,'分群統計'!$A$5:$A$8,0))&lt;3,"",IF(INDEX('分群統計'!$P$5:$P$8,MATCH(X354,'分群統計'!$A$5:$A$8,0))&gt;0,MAX(-3,MIN(3,(AZ354-INDEX('分群統計'!$O$5:$O$8,MATCH(X354,'分群統計'!$A$5:$A$8,0)))/INDEX('分群統計'!$P$5:$P$8,MATCH(X354,'分群統計'!$A$5:$A$8,0)))),0)),""))</f>
        <v/>
      </c>
      <c r="AP354" s="31">
        <f>IF(BC354&lt;&gt;1,"",IFERROR(IF(INDEX('分群統計'!$Q$5:$Q$8,MATCH(X354,'分群統計'!$A$5:$A$8,0))&lt;3,"",IF(INDEX('分群統計'!$S$5:$S$8,MATCH(X354,'分群統計'!$A$5:$A$8,0))&gt;0,MAX(-3,MIN(3,(BB354-INDEX('分群統計'!$R$5:$R$8,MATCH(X354,'分群統計'!$A$5:$A$8,0)))/INDEX('分群統計'!$S$5:$S$8,MATCH(X354,'分群統計'!$A$5:$A$8,0)))),0)),""))</f>
        <v/>
      </c>
      <c r="AQ354" s="31">
        <f>IF(Y354=1,(IF(ISNUMBER(AF354),AF354,0)*'參數'!$B$13+IF(ISNUMBER(AM354),AM354,0)*'參數'!$B$14+IF(ISNUMBER(AO354),AO354,0)*'參數'!$B$15+IF(ISNUMBER(AP354),AP354,0)*'參數'!$B$16)/('參數'!$B$13+'參數'!$B$14+'參數'!$B$15+'參數'!$B$16),"")</f>
        <v/>
      </c>
      <c r="AR354" s="35">
        <f>IF(Y354=1,(SUMPRODUCT(($X$5:$X$404=X354)*($Y$5:$Y$404=1)*($BD$5:$BD$404&gt;BD354))+1)/COUNTIFS($X$5:$X$404,X354,$Y$5:$Y$404,1),"")</f>
        <v/>
      </c>
      <c r="AS354" s="8">
        <f>IF(ISNUMBER(AR354),IF(AR354&lt;='參數'!$B$18,"加碼候選",IF(AR354&gt;'參數'!$B$19,"減碼候選","")),"")</f>
        <v/>
      </c>
      <c r="AT354" s="7">
        <f>IF(Y354=1,N354,0)</f>
        <v/>
      </c>
      <c r="AU354" s="7">
        <f>IF(Y354=1,LN(O354),0)</f>
        <v/>
      </c>
      <c r="AV354" s="36">
        <f>IF(Y354=1,IF(ISNUMBER(F354),F354,0),0)</f>
        <v/>
      </c>
      <c r="AW354" s="7">
        <f>IF(Y354=1,Z354,0)</f>
        <v/>
      </c>
      <c r="AX354" s="7">
        <f>IF(Y354=1,IF(ISNUMBER(AL354),AL354,0),0)</f>
        <v/>
      </c>
      <c r="AY354" s="7">
        <f>IF(Y354=1,IF(ISNUMBER(AL354),1,0),0)</f>
        <v/>
      </c>
      <c r="AZ354" s="7">
        <f>IF(Y354=1,IF(ISNUMBER(AN354),AN354,0),0)</f>
        <v/>
      </c>
      <c r="BA354" s="7">
        <f>IF(Y354=1,IF(ISNUMBER(AN354),1,0),0)</f>
        <v/>
      </c>
      <c r="BB354" s="7">
        <f>IF(Y354=1,IF(ISNUMBER(T354),T354,0),0)</f>
        <v/>
      </c>
      <c r="BC354" s="7">
        <f>IF(Y354=1,IF(ISNUMBER(T354),1,0),0)</f>
        <v/>
      </c>
      <c r="BD354" s="7">
        <f>IF(Y354=1,AQ354+ROW()/1E9,-1E9)</f>
        <v/>
      </c>
      <c r="BE354" s="7">
        <f>IF(Y354=1,AQ354+ROW()/1E9,1E9)</f>
        <v/>
      </c>
    </row>
    <row r="355">
      <c r="A355" s="16" t="n"/>
      <c r="B355" s="8">
        <f>IF($A355="","",BDP($A355,B$3))</f>
        <v/>
      </c>
      <c r="C355" s="8">
        <f>IF($A355="","",BDP($A355,C$3))</f>
        <v/>
      </c>
      <c r="D355" s="28">
        <f>IF($A355="","",BDP($A355,D$3))</f>
        <v/>
      </c>
      <c r="E355" s="29">
        <f>IF($A355="","",BDP($A355,E$3))</f>
        <v/>
      </c>
      <c r="F355" s="17">
        <f>IF($A355="","",BDP($A355,F$3))</f>
        <v/>
      </c>
      <c r="G355" s="8">
        <f>IF($A355="","",BDP($A355,G$3))</f>
        <v/>
      </c>
      <c r="H355" s="8">
        <f>IF($A355="","",BDP($A355,H$3))</f>
        <v/>
      </c>
      <c r="I355" s="8">
        <f>IF($A355="","",BDP($A355,I$3))</f>
        <v/>
      </c>
      <c r="J355" s="8">
        <f>IF($A355="","",BDP($A355,J$3))</f>
        <v/>
      </c>
      <c r="K355" s="8">
        <f>IF($A355="","",BDP($A355,K$3))</f>
        <v/>
      </c>
      <c r="L355" s="28">
        <f>IF($A355="","",BDP($A355,L$3))</f>
        <v/>
      </c>
      <c r="M355" s="28">
        <f>IF($A355="","",BDP($A355,M$3))</f>
        <v/>
      </c>
      <c r="N355" s="30">
        <f>IF($A355="","",BDP($A355,N$3))</f>
        <v/>
      </c>
      <c r="O355" s="31">
        <f>IF($A355="","",BDP($A355,O$3))</f>
        <v/>
      </c>
      <c r="P355" s="30">
        <f>IF($A355="","",BDH($A355,$N$3,'參數'!$B$5,'參數'!$B$5,"Days=A","Fill=P","Dates=H"))</f>
        <v/>
      </c>
      <c r="Q355" s="30">
        <f>IF($A355="","",BDH($A355,$N$3,'參數'!$B$6,'參數'!$B$6,"Days=A","Fill=P","Dates=H"))</f>
        <v/>
      </c>
      <c r="R355" s="30">
        <f>IF($A355="","",BDH($A355,$N$3,'參數'!$B$7,'參數'!$B$7,"Days=A","Fill=P","Dates=H"))</f>
        <v/>
      </c>
      <c r="S355" s="32">
        <f>IF($A355="","",IFERROR(INDEX('發行人'!$A$5:$A$44,MATCH(B355,'發行人'!$D$5:$D$44,0)),"未對應"))</f>
        <v/>
      </c>
      <c r="T355" s="24">
        <f>IF($A355="","",IFERROR(INDEX('發行人'!$G$5:$G$44,MATCH(B355,'發行人'!$D$5:$D$44,0))+0,""))</f>
        <v/>
      </c>
      <c r="U355" s="18">
        <f>IF(ISNUMBER(E355),YEARFRAC('參數'!$B$4,E355),"")</f>
        <v/>
      </c>
      <c r="V355" s="8">
        <f>IF(U355="","",IF(U355&lt;3,"1-3y",IF(U355&lt;5,"3-5y",IF(U355&lt;7,"5-7y",IF(U355&lt;10,"7-10y","10y+")))))</f>
        <v/>
      </c>
      <c r="W355" s="30">
        <f>IF($A355="","",IFERROR(INDEX('參數'!$B$24:$B$45,MATCH(G355,'參數'!$A$24:$A$45,0)),""))</f>
        <v/>
      </c>
      <c r="X355" s="8">
        <f>IF($A355="","",IFERROR(INDEX('參數'!$C$24:$C$45,MATCH(G355,'參數'!$A$24:$A$45,0)),""))</f>
        <v/>
      </c>
      <c r="Y355" s="30">
        <f>IF(AND(ISNUMBER(N355),ISNUMBER(O355),ISNUMBER(U355)),IF(AND(O355&gt;0,X355&lt;&gt;""),1,0),0)</f>
        <v/>
      </c>
      <c r="Z355" s="17">
        <f>IF(Y355=1,O355*N355,"")</f>
        <v/>
      </c>
      <c r="AA355" s="33">
        <f>IF(Y355=1,IF(ISNUMBER(Q355),N355-Q355,""),"")</f>
        <v/>
      </c>
      <c r="AB355" s="33">
        <f>IF(Y355=1,IF(AND(ISNUMBER(P355),ISNUMBER(R355)),R355*5/12-O355*(P355-R355),""),"")</f>
        <v/>
      </c>
      <c r="AC355" s="30">
        <f>IF(Y355=1,COUNTIFS($X$5:$X$404,X355,$V$5:$V$404,V355,$Y$5:$Y$404,1),"")</f>
        <v/>
      </c>
      <c r="AD355" s="30">
        <f>IF(Y355=1,IFERROR(IF(AC355&gt;='參數'!$B$9,INDEX('分群統計'!$G$13:$K$16,MATCH(X355,'分群統計'!$A$13:$A$16,0),MATCH(V355,'分群統計'!$G$12:$K$12,0)),INDEX('分群統計'!$I$5:$I$8,MATCH(X355,'分群統計'!$A$5:$A$8,0))),""),"")</f>
        <v/>
      </c>
      <c r="AE355" s="18">
        <f>IF(Y355=1,IFERROR(IF(AC355&gt;='參數'!$B$9,INDEX('分群統計'!$L$13:$P$16,MATCH(X355,'分群統計'!$A$13:$A$16,0),MATCH(V355,'分群統計'!$L$12:$P$12,0)),INDEX('分群統計'!$J$5:$J$8,MATCH(X355,'分群統計'!$A$5:$A$8,0))),""),"")</f>
        <v/>
      </c>
      <c r="AF355" s="31">
        <f>IF(ISNUMBER(AE355),IF(AE355&gt;0,MAX(-3,MIN(3,(N355-AD355)/AE355)),0),"")</f>
        <v/>
      </c>
      <c r="AG355" s="30">
        <f>IF(Y355=1,COUNTIFS($B$5:$B$404,B355,$Y$5:$Y$404,1),"")</f>
        <v/>
      </c>
      <c r="AH355" s="30">
        <f>IF(Y355=1,IFERROR(IF(ISNUMBER(INDEX('分群統計'!$G$20:$G$59,MATCH(B355,'分群統計'!$A$20:$A$59,0))),INDEX('分群統計'!$H$20:$H$59,MATCH(B355,'分群統計'!$A$20:$A$59,0))+INDEX('分群統計'!$G$20:$G$59,MATCH(B355,'分群統計'!$A$20:$A$59,0))*AU355,""),""),"")</f>
        <v/>
      </c>
      <c r="AI355" s="34">
        <f>IF(ISNUMBER(AH355),N355-AH355,"")</f>
        <v/>
      </c>
      <c r="AJ355" s="30">
        <f>IF(Y355=1,IFERROR(IF(ISNUMBER(INDEX('分群統計'!$G$5:$G$8,MATCH(X355,'分群統計'!$A$5:$A$8,0))),INDEX('分群統計'!$H$5:$H$8,MATCH(X355,'分群統計'!$A$5:$A$8,0))+INDEX('分群統計'!$G$5:$G$8,MATCH(X355,'分群統計'!$A$5:$A$8,0))*AU355,""),""),"")</f>
        <v/>
      </c>
      <c r="AK355" s="34">
        <f>IF(ISNUMBER(AJ355),N355-AJ355,"")</f>
        <v/>
      </c>
      <c r="AL355" s="21">
        <f>IF(ISNUMBER(AJ355),IF(AJ355&gt;0,AK355/AJ355,""),"")</f>
        <v/>
      </c>
      <c r="AM355" s="31">
        <f>IF(AY355&lt;&gt;1,"",IFERROR(IF(INDEX('分群統計'!$K$5:$K$8,MATCH(X355,'分群統計'!$A$5:$A$8,0))&lt;3,"",IF(INDEX('分群統計'!$M$5:$M$8,MATCH(X355,'分群統計'!$A$5:$A$8,0))&gt;0,MAX(-3,MIN(3,(AX355-INDEX('分群統計'!$L$5:$L$8,MATCH(X355,'分群統計'!$A$5:$A$8,0)))/INDEX('分群統計'!$M$5:$M$8,MATCH(X355,'分群統計'!$A$5:$A$8,0)))),0)),""))</f>
        <v/>
      </c>
      <c r="AN355" s="31">
        <f>IF(ISNUMBER(AB355),IF(Z355&gt;0,AB355/Z355*100,""),"")</f>
        <v/>
      </c>
      <c r="AO355" s="31">
        <f>IF(BA355&lt;&gt;1,"",IFERROR(IF(INDEX('分群統計'!$N$5:$N$8,MATCH(X355,'分群統計'!$A$5:$A$8,0))&lt;3,"",IF(INDEX('分群統計'!$P$5:$P$8,MATCH(X355,'分群統計'!$A$5:$A$8,0))&gt;0,MAX(-3,MIN(3,(AZ355-INDEX('分群統計'!$O$5:$O$8,MATCH(X355,'分群統計'!$A$5:$A$8,0)))/INDEX('分群統計'!$P$5:$P$8,MATCH(X355,'分群統計'!$A$5:$A$8,0)))),0)),""))</f>
        <v/>
      </c>
      <c r="AP355" s="31">
        <f>IF(BC355&lt;&gt;1,"",IFERROR(IF(INDEX('分群統計'!$Q$5:$Q$8,MATCH(X355,'分群統計'!$A$5:$A$8,0))&lt;3,"",IF(INDEX('分群統計'!$S$5:$S$8,MATCH(X355,'分群統計'!$A$5:$A$8,0))&gt;0,MAX(-3,MIN(3,(BB355-INDEX('分群統計'!$R$5:$R$8,MATCH(X355,'分群統計'!$A$5:$A$8,0)))/INDEX('分群統計'!$S$5:$S$8,MATCH(X355,'分群統計'!$A$5:$A$8,0)))),0)),""))</f>
        <v/>
      </c>
      <c r="AQ355" s="31">
        <f>IF(Y355=1,(IF(ISNUMBER(AF355),AF355,0)*'參數'!$B$13+IF(ISNUMBER(AM355),AM355,0)*'參數'!$B$14+IF(ISNUMBER(AO355),AO355,0)*'參數'!$B$15+IF(ISNUMBER(AP355),AP355,0)*'參數'!$B$16)/('參數'!$B$13+'參數'!$B$14+'參數'!$B$15+'參數'!$B$16),"")</f>
        <v/>
      </c>
      <c r="AR355" s="35">
        <f>IF(Y355=1,(SUMPRODUCT(($X$5:$X$404=X355)*($Y$5:$Y$404=1)*($BD$5:$BD$404&gt;BD355))+1)/COUNTIFS($X$5:$X$404,X355,$Y$5:$Y$404,1),"")</f>
        <v/>
      </c>
      <c r="AS355" s="8">
        <f>IF(ISNUMBER(AR355),IF(AR355&lt;='參數'!$B$18,"加碼候選",IF(AR355&gt;'參數'!$B$19,"減碼候選","")),"")</f>
        <v/>
      </c>
      <c r="AT355" s="7">
        <f>IF(Y355=1,N355,0)</f>
        <v/>
      </c>
      <c r="AU355" s="7">
        <f>IF(Y355=1,LN(O355),0)</f>
        <v/>
      </c>
      <c r="AV355" s="36">
        <f>IF(Y355=1,IF(ISNUMBER(F355),F355,0),0)</f>
        <v/>
      </c>
      <c r="AW355" s="7">
        <f>IF(Y355=1,Z355,0)</f>
        <v/>
      </c>
      <c r="AX355" s="7">
        <f>IF(Y355=1,IF(ISNUMBER(AL355),AL355,0),0)</f>
        <v/>
      </c>
      <c r="AY355" s="7">
        <f>IF(Y355=1,IF(ISNUMBER(AL355),1,0),0)</f>
        <v/>
      </c>
      <c r="AZ355" s="7">
        <f>IF(Y355=1,IF(ISNUMBER(AN355),AN355,0),0)</f>
        <v/>
      </c>
      <c r="BA355" s="7">
        <f>IF(Y355=1,IF(ISNUMBER(AN355),1,0),0)</f>
        <v/>
      </c>
      <c r="BB355" s="7">
        <f>IF(Y355=1,IF(ISNUMBER(T355),T355,0),0)</f>
        <v/>
      </c>
      <c r="BC355" s="7">
        <f>IF(Y355=1,IF(ISNUMBER(T355),1,0),0)</f>
        <v/>
      </c>
      <c r="BD355" s="7">
        <f>IF(Y355=1,AQ355+ROW()/1E9,-1E9)</f>
        <v/>
      </c>
      <c r="BE355" s="7">
        <f>IF(Y355=1,AQ355+ROW()/1E9,1E9)</f>
        <v/>
      </c>
    </row>
    <row r="356">
      <c r="A356" s="16" t="n"/>
      <c r="B356" s="8">
        <f>IF($A356="","",BDP($A356,B$3))</f>
        <v/>
      </c>
      <c r="C356" s="8">
        <f>IF($A356="","",BDP($A356,C$3))</f>
        <v/>
      </c>
      <c r="D356" s="28">
        <f>IF($A356="","",BDP($A356,D$3))</f>
        <v/>
      </c>
      <c r="E356" s="29">
        <f>IF($A356="","",BDP($A356,E$3))</f>
        <v/>
      </c>
      <c r="F356" s="17">
        <f>IF($A356="","",BDP($A356,F$3))</f>
        <v/>
      </c>
      <c r="G356" s="8">
        <f>IF($A356="","",BDP($A356,G$3))</f>
        <v/>
      </c>
      <c r="H356" s="8">
        <f>IF($A356="","",BDP($A356,H$3))</f>
        <v/>
      </c>
      <c r="I356" s="8">
        <f>IF($A356="","",BDP($A356,I$3))</f>
        <v/>
      </c>
      <c r="J356" s="8">
        <f>IF($A356="","",BDP($A356,J$3))</f>
        <v/>
      </c>
      <c r="K356" s="8">
        <f>IF($A356="","",BDP($A356,K$3))</f>
        <v/>
      </c>
      <c r="L356" s="28">
        <f>IF($A356="","",BDP($A356,L$3))</f>
        <v/>
      </c>
      <c r="M356" s="28">
        <f>IF($A356="","",BDP($A356,M$3))</f>
        <v/>
      </c>
      <c r="N356" s="30">
        <f>IF($A356="","",BDP($A356,N$3))</f>
        <v/>
      </c>
      <c r="O356" s="31">
        <f>IF($A356="","",BDP($A356,O$3))</f>
        <v/>
      </c>
      <c r="P356" s="30">
        <f>IF($A356="","",BDH($A356,$N$3,'參數'!$B$5,'參數'!$B$5,"Days=A","Fill=P","Dates=H"))</f>
        <v/>
      </c>
      <c r="Q356" s="30">
        <f>IF($A356="","",BDH($A356,$N$3,'參數'!$B$6,'參數'!$B$6,"Days=A","Fill=P","Dates=H"))</f>
        <v/>
      </c>
      <c r="R356" s="30">
        <f>IF($A356="","",BDH($A356,$N$3,'參數'!$B$7,'參數'!$B$7,"Days=A","Fill=P","Dates=H"))</f>
        <v/>
      </c>
      <c r="S356" s="32">
        <f>IF($A356="","",IFERROR(INDEX('發行人'!$A$5:$A$44,MATCH(B356,'發行人'!$D$5:$D$44,0)),"未對應"))</f>
        <v/>
      </c>
      <c r="T356" s="24">
        <f>IF($A356="","",IFERROR(INDEX('發行人'!$G$5:$G$44,MATCH(B356,'發行人'!$D$5:$D$44,0))+0,""))</f>
        <v/>
      </c>
      <c r="U356" s="18">
        <f>IF(ISNUMBER(E356),YEARFRAC('參數'!$B$4,E356),"")</f>
        <v/>
      </c>
      <c r="V356" s="8">
        <f>IF(U356="","",IF(U356&lt;3,"1-3y",IF(U356&lt;5,"3-5y",IF(U356&lt;7,"5-7y",IF(U356&lt;10,"7-10y","10y+")))))</f>
        <v/>
      </c>
      <c r="W356" s="30">
        <f>IF($A356="","",IFERROR(INDEX('參數'!$B$24:$B$45,MATCH(G356,'參數'!$A$24:$A$45,0)),""))</f>
        <v/>
      </c>
      <c r="X356" s="8">
        <f>IF($A356="","",IFERROR(INDEX('參數'!$C$24:$C$45,MATCH(G356,'參數'!$A$24:$A$45,0)),""))</f>
        <v/>
      </c>
      <c r="Y356" s="30">
        <f>IF(AND(ISNUMBER(N356),ISNUMBER(O356),ISNUMBER(U356)),IF(AND(O356&gt;0,X356&lt;&gt;""),1,0),0)</f>
        <v/>
      </c>
      <c r="Z356" s="17">
        <f>IF(Y356=1,O356*N356,"")</f>
        <v/>
      </c>
      <c r="AA356" s="33">
        <f>IF(Y356=1,IF(ISNUMBER(Q356),N356-Q356,""),"")</f>
        <v/>
      </c>
      <c r="AB356" s="33">
        <f>IF(Y356=1,IF(AND(ISNUMBER(P356),ISNUMBER(R356)),R356*5/12-O356*(P356-R356),""),"")</f>
        <v/>
      </c>
      <c r="AC356" s="30">
        <f>IF(Y356=1,COUNTIFS($X$5:$X$404,X356,$V$5:$V$404,V356,$Y$5:$Y$404,1),"")</f>
        <v/>
      </c>
      <c r="AD356" s="30">
        <f>IF(Y356=1,IFERROR(IF(AC356&gt;='參數'!$B$9,INDEX('分群統計'!$G$13:$K$16,MATCH(X356,'分群統計'!$A$13:$A$16,0),MATCH(V356,'分群統計'!$G$12:$K$12,0)),INDEX('分群統計'!$I$5:$I$8,MATCH(X356,'分群統計'!$A$5:$A$8,0))),""),"")</f>
        <v/>
      </c>
      <c r="AE356" s="18">
        <f>IF(Y356=1,IFERROR(IF(AC356&gt;='參數'!$B$9,INDEX('分群統計'!$L$13:$P$16,MATCH(X356,'分群統計'!$A$13:$A$16,0),MATCH(V356,'分群統計'!$L$12:$P$12,0)),INDEX('分群統計'!$J$5:$J$8,MATCH(X356,'分群統計'!$A$5:$A$8,0))),""),"")</f>
        <v/>
      </c>
      <c r="AF356" s="31">
        <f>IF(ISNUMBER(AE356),IF(AE356&gt;0,MAX(-3,MIN(3,(N356-AD356)/AE356)),0),"")</f>
        <v/>
      </c>
      <c r="AG356" s="30">
        <f>IF(Y356=1,COUNTIFS($B$5:$B$404,B356,$Y$5:$Y$404,1),"")</f>
        <v/>
      </c>
      <c r="AH356" s="30">
        <f>IF(Y356=1,IFERROR(IF(ISNUMBER(INDEX('分群統計'!$G$20:$G$59,MATCH(B356,'分群統計'!$A$20:$A$59,0))),INDEX('分群統計'!$H$20:$H$59,MATCH(B356,'分群統計'!$A$20:$A$59,0))+INDEX('分群統計'!$G$20:$G$59,MATCH(B356,'分群統計'!$A$20:$A$59,0))*AU356,""),""),"")</f>
        <v/>
      </c>
      <c r="AI356" s="34">
        <f>IF(ISNUMBER(AH356),N356-AH356,"")</f>
        <v/>
      </c>
      <c r="AJ356" s="30">
        <f>IF(Y356=1,IFERROR(IF(ISNUMBER(INDEX('分群統計'!$G$5:$G$8,MATCH(X356,'分群統計'!$A$5:$A$8,0))),INDEX('分群統計'!$H$5:$H$8,MATCH(X356,'分群統計'!$A$5:$A$8,0))+INDEX('分群統計'!$G$5:$G$8,MATCH(X356,'分群統計'!$A$5:$A$8,0))*AU356,""),""),"")</f>
        <v/>
      </c>
      <c r="AK356" s="34">
        <f>IF(ISNUMBER(AJ356),N356-AJ356,"")</f>
        <v/>
      </c>
      <c r="AL356" s="21">
        <f>IF(ISNUMBER(AJ356),IF(AJ356&gt;0,AK356/AJ356,""),"")</f>
        <v/>
      </c>
      <c r="AM356" s="31">
        <f>IF(AY356&lt;&gt;1,"",IFERROR(IF(INDEX('分群統計'!$K$5:$K$8,MATCH(X356,'分群統計'!$A$5:$A$8,0))&lt;3,"",IF(INDEX('分群統計'!$M$5:$M$8,MATCH(X356,'分群統計'!$A$5:$A$8,0))&gt;0,MAX(-3,MIN(3,(AX356-INDEX('分群統計'!$L$5:$L$8,MATCH(X356,'分群統計'!$A$5:$A$8,0)))/INDEX('分群統計'!$M$5:$M$8,MATCH(X356,'分群統計'!$A$5:$A$8,0)))),0)),""))</f>
        <v/>
      </c>
      <c r="AN356" s="31">
        <f>IF(ISNUMBER(AB356),IF(Z356&gt;0,AB356/Z356*100,""),"")</f>
        <v/>
      </c>
      <c r="AO356" s="31">
        <f>IF(BA356&lt;&gt;1,"",IFERROR(IF(INDEX('分群統計'!$N$5:$N$8,MATCH(X356,'分群統計'!$A$5:$A$8,0))&lt;3,"",IF(INDEX('分群統計'!$P$5:$P$8,MATCH(X356,'分群統計'!$A$5:$A$8,0))&gt;0,MAX(-3,MIN(3,(AZ356-INDEX('分群統計'!$O$5:$O$8,MATCH(X356,'分群統計'!$A$5:$A$8,0)))/INDEX('分群統計'!$P$5:$P$8,MATCH(X356,'分群統計'!$A$5:$A$8,0)))),0)),""))</f>
        <v/>
      </c>
      <c r="AP356" s="31">
        <f>IF(BC356&lt;&gt;1,"",IFERROR(IF(INDEX('分群統計'!$Q$5:$Q$8,MATCH(X356,'分群統計'!$A$5:$A$8,0))&lt;3,"",IF(INDEX('分群統計'!$S$5:$S$8,MATCH(X356,'分群統計'!$A$5:$A$8,0))&gt;0,MAX(-3,MIN(3,(BB356-INDEX('分群統計'!$R$5:$R$8,MATCH(X356,'分群統計'!$A$5:$A$8,0)))/INDEX('分群統計'!$S$5:$S$8,MATCH(X356,'分群統計'!$A$5:$A$8,0)))),0)),""))</f>
        <v/>
      </c>
      <c r="AQ356" s="31">
        <f>IF(Y356=1,(IF(ISNUMBER(AF356),AF356,0)*'參數'!$B$13+IF(ISNUMBER(AM356),AM356,0)*'參數'!$B$14+IF(ISNUMBER(AO356),AO356,0)*'參數'!$B$15+IF(ISNUMBER(AP356),AP356,0)*'參數'!$B$16)/('參數'!$B$13+'參數'!$B$14+'參數'!$B$15+'參數'!$B$16),"")</f>
        <v/>
      </c>
      <c r="AR356" s="35">
        <f>IF(Y356=1,(SUMPRODUCT(($X$5:$X$404=X356)*($Y$5:$Y$404=1)*($BD$5:$BD$404&gt;BD356))+1)/COUNTIFS($X$5:$X$404,X356,$Y$5:$Y$404,1),"")</f>
        <v/>
      </c>
      <c r="AS356" s="8">
        <f>IF(ISNUMBER(AR356),IF(AR356&lt;='參數'!$B$18,"加碼候選",IF(AR356&gt;'參數'!$B$19,"減碼候選","")),"")</f>
        <v/>
      </c>
      <c r="AT356" s="7">
        <f>IF(Y356=1,N356,0)</f>
        <v/>
      </c>
      <c r="AU356" s="7">
        <f>IF(Y356=1,LN(O356),0)</f>
        <v/>
      </c>
      <c r="AV356" s="36">
        <f>IF(Y356=1,IF(ISNUMBER(F356),F356,0),0)</f>
        <v/>
      </c>
      <c r="AW356" s="7">
        <f>IF(Y356=1,Z356,0)</f>
        <v/>
      </c>
      <c r="AX356" s="7">
        <f>IF(Y356=1,IF(ISNUMBER(AL356),AL356,0),0)</f>
        <v/>
      </c>
      <c r="AY356" s="7">
        <f>IF(Y356=1,IF(ISNUMBER(AL356),1,0),0)</f>
        <v/>
      </c>
      <c r="AZ356" s="7">
        <f>IF(Y356=1,IF(ISNUMBER(AN356),AN356,0),0)</f>
        <v/>
      </c>
      <c r="BA356" s="7">
        <f>IF(Y356=1,IF(ISNUMBER(AN356),1,0),0)</f>
        <v/>
      </c>
      <c r="BB356" s="7">
        <f>IF(Y356=1,IF(ISNUMBER(T356),T356,0),0)</f>
        <v/>
      </c>
      <c r="BC356" s="7">
        <f>IF(Y356=1,IF(ISNUMBER(T356),1,0),0)</f>
        <v/>
      </c>
      <c r="BD356" s="7">
        <f>IF(Y356=1,AQ356+ROW()/1E9,-1E9)</f>
        <v/>
      </c>
      <c r="BE356" s="7">
        <f>IF(Y356=1,AQ356+ROW()/1E9,1E9)</f>
        <v/>
      </c>
    </row>
    <row r="357">
      <c r="A357" s="16" t="n"/>
      <c r="B357" s="8">
        <f>IF($A357="","",BDP($A357,B$3))</f>
        <v/>
      </c>
      <c r="C357" s="8">
        <f>IF($A357="","",BDP($A357,C$3))</f>
        <v/>
      </c>
      <c r="D357" s="28">
        <f>IF($A357="","",BDP($A357,D$3))</f>
        <v/>
      </c>
      <c r="E357" s="29">
        <f>IF($A357="","",BDP($A357,E$3))</f>
        <v/>
      </c>
      <c r="F357" s="17">
        <f>IF($A357="","",BDP($A357,F$3))</f>
        <v/>
      </c>
      <c r="G357" s="8">
        <f>IF($A357="","",BDP($A357,G$3))</f>
        <v/>
      </c>
      <c r="H357" s="8">
        <f>IF($A357="","",BDP($A357,H$3))</f>
        <v/>
      </c>
      <c r="I357" s="8">
        <f>IF($A357="","",BDP($A357,I$3))</f>
        <v/>
      </c>
      <c r="J357" s="8">
        <f>IF($A357="","",BDP($A357,J$3))</f>
        <v/>
      </c>
      <c r="K357" s="8">
        <f>IF($A357="","",BDP($A357,K$3))</f>
        <v/>
      </c>
      <c r="L357" s="28">
        <f>IF($A357="","",BDP($A357,L$3))</f>
        <v/>
      </c>
      <c r="M357" s="28">
        <f>IF($A357="","",BDP($A357,M$3))</f>
        <v/>
      </c>
      <c r="N357" s="30">
        <f>IF($A357="","",BDP($A357,N$3))</f>
        <v/>
      </c>
      <c r="O357" s="31">
        <f>IF($A357="","",BDP($A357,O$3))</f>
        <v/>
      </c>
      <c r="P357" s="30">
        <f>IF($A357="","",BDH($A357,$N$3,'參數'!$B$5,'參數'!$B$5,"Days=A","Fill=P","Dates=H"))</f>
        <v/>
      </c>
      <c r="Q357" s="30">
        <f>IF($A357="","",BDH($A357,$N$3,'參數'!$B$6,'參數'!$B$6,"Days=A","Fill=P","Dates=H"))</f>
        <v/>
      </c>
      <c r="R357" s="30">
        <f>IF($A357="","",BDH($A357,$N$3,'參數'!$B$7,'參數'!$B$7,"Days=A","Fill=P","Dates=H"))</f>
        <v/>
      </c>
      <c r="S357" s="32">
        <f>IF($A357="","",IFERROR(INDEX('發行人'!$A$5:$A$44,MATCH(B357,'發行人'!$D$5:$D$44,0)),"未對應"))</f>
        <v/>
      </c>
      <c r="T357" s="24">
        <f>IF($A357="","",IFERROR(INDEX('發行人'!$G$5:$G$44,MATCH(B357,'發行人'!$D$5:$D$44,0))+0,""))</f>
        <v/>
      </c>
      <c r="U357" s="18">
        <f>IF(ISNUMBER(E357),YEARFRAC('參數'!$B$4,E357),"")</f>
        <v/>
      </c>
      <c r="V357" s="8">
        <f>IF(U357="","",IF(U357&lt;3,"1-3y",IF(U357&lt;5,"3-5y",IF(U357&lt;7,"5-7y",IF(U357&lt;10,"7-10y","10y+")))))</f>
        <v/>
      </c>
      <c r="W357" s="30">
        <f>IF($A357="","",IFERROR(INDEX('參數'!$B$24:$B$45,MATCH(G357,'參數'!$A$24:$A$45,0)),""))</f>
        <v/>
      </c>
      <c r="X357" s="8">
        <f>IF($A357="","",IFERROR(INDEX('參數'!$C$24:$C$45,MATCH(G357,'參數'!$A$24:$A$45,0)),""))</f>
        <v/>
      </c>
      <c r="Y357" s="30">
        <f>IF(AND(ISNUMBER(N357),ISNUMBER(O357),ISNUMBER(U357)),IF(AND(O357&gt;0,X357&lt;&gt;""),1,0),0)</f>
        <v/>
      </c>
      <c r="Z357" s="17">
        <f>IF(Y357=1,O357*N357,"")</f>
        <v/>
      </c>
      <c r="AA357" s="33">
        <f>IF(Y357=1,IF(ISNUMBER(Q357),N357-Q357,""),"")</f>
        <v/>
      </c>
      <c r="AB357" s="33">
        <f>IF(Y357=1,IF(AND(ISNUMBER(P357),ISNUMBER(R357)),R357*5/12-O357*(P357-R357),""),"")</f>
        <v/>
      </c>
      <c r="AC357" s="30">
        <f>IF(Y357=1,COUNTIFS($X$5:$X$404,X357,$V$5:$V$404,V357,$Y$5:$Y$404,1),"")</f>
        <v/>
      </c>
      <c r="AD357" s="30">
        <f>IF(Y357=1,IFERROR(IF(AC357&gt;='參數'!$B$9,INDEX('分群統計'!$G$13:$K$16,MATCH(X357,'分群統計'!$A$13:$A$16,0),MATCH(V357,'分群統計'!$G$12:$K$12,0)),INDEX('分群統計'!$I$5:$I$8,MATCH(X357,'分群統計'!$A$5:$A$8,0))),""),"")</f>
        <v/>
      </c>
      <c r="AE357" s="18">
        <f>IF(Y357=1,IFERROR(IF(AC357&gt;='參數'!$B$9,INDEX('分群統計'!$L$13:$P$16,MATCH(X357,'分群統計'!$A$13:$A$16,0),MATCH(V357,'分群統計'!$L$12:$P$12,0)),INDEX('分群統計'!$J$5:$J$8,MATCH(X357,'分群統計'!$A$5:$A$8,0))),""),"")</f>
        <v/>
      </c>
      <c r="AF357" s="31">
        <f>IF(ISNUMBER(AE357),IF(AE357&gt;0,MAX(-3,MIN(3,(N357-AD357)/AE357)),0),"")</f>
        <v/>
      </c>
      <c r="AG357" s="30">
        <f>IF(Y357=1,COUNTIFS($B$5:$B$404,B357,$Y$5:$Y$404,1),"")</f>
        <v/>
      </c>
      <c r="AH357" s="30">
        <f>IF(Y357=1,IFERROR(IF(ISNUMBER(INDEX('分群統計'!$G$20:$G$59,MATCH(B357,'分群統計'!$A$20:$A$59,0))),INDEX('分群統計'!$H$20:$H$59,MATCH(B357,'分群統計'!$A$20:$A$59,0))+INDEX('分群統計'!$G$20:$G$59,MATCH(B357,'分群統計'!$A$20:$A$59,0))*AU357,""),""),"")</f>
        <v/>
      </c>
      <c r="AI357" s="34">
        <f>IF(ISNUMBER(AH357),N357-AH357,"")</f>
        <v/>
      </c>
      <c r="AJ357" s="30">
        <f>IF(Y357=1,IFERROR(IF(ISNUMBER(INDEX('分群統計'!$G$5:$G$8,MATCH(X357,'分群統計'!$A$5:$A$8,0))),INDEX('分群統計'!$H$5:$H$8,MATCH(X357,'分群統計'!$A$5:$A$8,0))+INDEX('分群統計'!$G$5:$G$8,MATCH(X357,'分群統計'!$A$5:$A$8,0))*AU357,""),""),"")</f>
        <v/>
      </c>
      <c r="AK357" s="34">
        <f>IF(ISNUMBER(AJ357),N357-AJ357,"")</f>
        <v/>
      </c>
      <c r="AL357" s="21">
        <f>IF(ISNUMBER(AJ357),IF(AJ357&gt;0,AK357/AJ357,""),"")</f>
        <v/>
      </c>
      <c r="AM357" s="31">
        <f>IF(AY357&lt;&gt;1,"",IFERROR(IF(INDEX('分群統計'!$K$5:$K$8,MATCH(X357,'分群統計'!$A$5:$A$8,0))&lt;3,"",IF(INDEX('分群統計'!$M$5:$M$8,MATCH(X357,'分群統計'!$A$5:$A$8,0))&gt;0,MAX(-3,MIN(3,(AX357-INDEX('分群統計'!$L$5:$L$8,MATCH(X357,'分群統計'!$A$5:$A$8,0)))/INDEX('分群統計'!$M$5:$M$8,MATCH(X357,'分群統計'!$A$5:$A$8,0)))),0)),""))</f>
        <v/>
      </c>
      <c r="AN357" s="31">
        <f>IF(ISNUMBER(AB357),IF(Z357&gt;0,AB357/Z357*100,""),"")</f>
        <v/>
      </c>
      <c r="AO357" s="31">
        <f>IF(BA357&lt;&gt;1,"",IFERROR(IF(INDEX('分群統計'!$N$5:$N$8,MATCH(X357,'分群統計'!$A$5:$A$8,0))&lt;3,"",IF(INDEX('分群統計'!$P$5:$P$8,MATCH(X357,'分群統計'!$A$5:$A$8,0))&gt;0,MAX(-3,MIN(3,(AZ357-INDEX('分群統計'!$O$5:$O$8,MATCH(X357,'分群統計'!$A$5:$A$8,0)))/INDEX('分群統計'!$P$5:$P$8,MATCH(X357,'分群統計'!$A$5:$A$8,0)))),0)),""))</f>
        <v/>
      </c>
      <c r="AP357" s="31">
        <f>IF(BC357&lt;&gt;1,"",IFERROR(IF(INDEX('分群統計'!$Q$5:$Q$8,MATCH(X357,'分群統計'!$A$5:$A$8,0))&lt;3,"",IF(INDEX('分群統計'!$S$5:$S$8,MATCH(X357,'分群統計'!$A$5:$A$8,0))&gt;0,MAX(-3,MIN(3,(BB357-INDEX('分群統計'!$R$5:$R$8,MATCH(X357,'分群統計'!$A$5:$A$8,0)))/INDEX('分群統計'!$S$5:$S$8,MATCH(X357,'分群統計'!$A$5:$A$8,0)))),0)),""))</f>
        <v/>
      </c>
      <c r="AQ357" s="31">
        <f>IF(Y357=1,(IF(ISNUMBER(AF357),AF357,0)*'參數'!$B$13+IF(ISNUMBER(AM357),AM357,0)*'參數'!$B$14+IF(ISNUMBER(AO357),AO357,0)*'參數'!$B$15+IF(ISNUMBER(AP357),AP357,0)*'參數'!$B$16)/('參數'!$B$13+'參數'!$B$14+'參數'!$B$15+'參數'!$B$16),"")</f>
        <v/>
      </c>
      <c r="AR357" s="35">
        <f>IF(Y357=1,(SUMPRODUCT(($X$5:$X$404=X357)*($Y$5:$Y$404=1)*($BD$5:$BD$404&gt;BD357))+1)/COUNTIFS($X$5:$X$404,X357,$Y$5:$Y$404,1),"")</f>
        <v/>
      </c>
      <c r="AS357" s="8">
        <f>IF(ISNUMBER(AR357),IF(AR357&lt;='參數'!$B$18,"加碼候選",IF(AR357&gt;'參數'!$B$19,"減碼候選","")),"")</f>
        <v/>
      </c>
      <c r="AT357" s="7">
        <f>IF(Y357=1,N357,0)</f>
        <v/>
      </c>
      <c r="AU357" s="7">
        <f>IF(Y357=1,LN(O357),0)</f>
        <v/>
      </c>
      <c r="AV357" s="36">
        <f>IF(Y357=1,IF(ISNUMBER(F357),F357,0),0)</f>
        <v/>
      </c>
      <c r="AW357" s="7">
        <f>IF(Y357=1,Z357,0)</f>
        <v/>
      </c>
      <c r="AX357" s="7">
        <f>IF(Y357=1,IF(ISNUMBER(AL357),AL357,0),0)</f>
        <v/>
      </c>
      <c r="AY357" s="7">
        <f>IF(Y357=1,IF(ISNUMBER(AL357),1,0),0)</f>
        <v/>
      </c>
      <c r="AZ357" s="7">
        <f>IF(Y357=1,IF(ISNUMBER(AN357),AN357,0),0)</f>
        <v/>
      </c>
      <c r="BA357" s="7">
        <f>IF(Y357=1,IF(ISNUMBER(AN357),1,0),0)</f>
        <v/>
      </c>
      <c r="BB357" s="7">
        <f>IF(Y357=1,IF(ISNUMBER(T357),T357,0),0)</f>
        <v/>
      </c>
      <c r="BC357" s="7">
        <f>IF(Y357=1,IF(ISNUMBER(T357),1,0),0)</f>
        <v/>
      </c>
      <c r="BD357" s="7">
        <f>IF(Y357=1,AQ357+ROW()/1E9,-1E9)</f>
        <v/>
      </c>
      <c r="BE357" s="7">
        <f>IF(Y357=1,AQ357+ROW()/1E9,1E9)</f>
        <v/>
      </c>
    </row>
    <row r="358">
      <c r="A358" s="16" t="n"/>
      <c r="B358" s="8">
        <f>IF($A358="","",BDP($A358,B$3))</f>
        <v/>
      </c>
      <c r="C358" s="8">
        <f>IF($A358="","",BDP($A358,C$3))</f>
        <v/>
      </c>
      <c r="D358" s="28">
        <f>IF($A358="","",BDP($A358,D$3))</f>
        <v/>
      </c>
      <c r="E358" s="29">
        <f>IF($A358="","",BDP($A358,E$3))</f>
        <v/>
      </c>
      <c r="F358" s="17">
        <f>IF($A358="","",BDP($A358,F$3))</f>
        <v/>
      </c>
      <c r="G358" s="8">
        <f>IF($A358="","",BDP($A358,G$3))</f>
        <v/>
      </c>
      <c r="H358" s="8">
        <f>IF($A358="","",BDP($A358,H$3))</f>
        <v/>
      </c>
      <c r="I358" s="8">
        <f>IF($A358="","",BDP($A358,I$3))</f>
        <v/>
      </c>
      <c r="J358" s="8">
        <f>IF($A358="","",BDP($A358,J$3))</f>
        <v/>
      </c>
      <c r="K358" s="8">
        <f>IF($A358="","",BDP($A358,K$3))</f>
        <v/>
      </c>
      <c r="L358" s="28">
        <f>IF($A358="","",BDP($A358,L$3))</f>
        <v/>
      </c>
      <c r="M358" s="28">
        <f>IF($A358="","",BDP($A358,M$3))</f>
        <v/>
      </c>
      <c r="N358" s="30">
        <f>IF($A358="","",BDP($A358,N$3))</f>
        <v/>
      </c>
      <c r="O358" s="31">
        <f>IF($A358="","",BDP($A358,O$3))</f>
        <v/>
      </c>
      <c r="P358" s="30">
        <f>IF($A358="","",BDH($A358,$N$3,'參數'!$B$5,'參數'!$B$5,"Days=A","Fill=P","Dates=H"))</f>
        <v/>
      </c>
      <c r="Q358" s="30">
        <f>IF($A358="","",BDH($A358,$N$3,'參數'!$B$6,'參數'!$B$6,"Days=A","Fill=P","Dates=H"))</f>
        <v/>
      </c>
      <c r="R358" s="30">
        <f>IF($A358="","",BDH($A358,$N$3,'參數'!$B$7,'參數'!$B$7,"Days=A","Fill=P","Dates=H"))</f>
        <v/>
      </c>
      <c r="S358" s="32">
        <f>IF($A358="","",IFERROR(INDEX('發行人'!$A$5:$A$44,MATCH(B358,'發行人'!$D$5:$D$44,0)),"未對應"))</f>
        <v/>
      </c>
      <c r="T358" s="24">
        <f>IF($A358="","",IFERROR(INDEX('發行人'!$G$5:$G$44,MATCH(B358,'發行人'!$D$5:$D$44,0))+0,""))</f>
        <v/>
      </c>
      <c r="U358" s="18">
        <f>IF(ISNUMBER(E358),YEARFRAC('參數'!$B$4,E358),"")</f>
        <v/>
      </c>
      <c r="V358" s="8">
        <f>IF(U358="","",IF(U358&lt;3,"1-3y",IF(U358&lt;5,"3-5y",IF(U358&lt;7,"5-7y",IF(U358&lt;10,"7-10y","10y+")))))</f>
        <v/>
      </c>
      <c r="W358" s="30">
        <f>IF($A358="","",IFERROR(INDEX('參數'!$B$24:$B$45,MATCH(G358,'參數'!$A$24:$A$45,0)),""))</f>
        <v/>
      </c>
      <c r="X358" s="8">
        <f>IF($A358="","",IFERROR(INDEX('參數'!$C$24:$C$45,MATCH(G358,'參數'!$A$24:$A$45,0)),""))</f>
        <v/>
      </c>
      <c r="Y358" s="30">
        <f>IF(AND(ISNUMBER(N358),ISNUMBER(O358),ISNUMBER(U358)),IF(AND(O358&gt;0,X358&lt;&gt;""),1,0),0)</f>
        <v/>
      </c>
      <c r="Z358" s="17">
        <f>IF(Y358=1,O358*N358,"")</f>
        <v/>
      </c>
      <c r="AA358" s="33">
        <f>IF(Y358=1,IF(ISNUMBER(Q358),N358-Q358,""),"")</f>
        <v/>
      </c>
      <c r="AB358" s="33">
        <f>IF(Y358=1,IF(AND(ISNUMBER(P358),ISNUMBER(R358)),R358*5/12-O358*(P358-R358),""),"")</f>
        <v/>
      </c>
      <c r="AC358" s="30">
        <f>IF(Y358=1,COUNTIFS($X$5:$X$404,X358,$V$5:$V$404,V358,$Y$5:$Y$404,1),"")</f>
        <v/>
      </c>
      <c r="AD358" s="30">
        <f>IF(Y358=1,IFERROR(IF(AC358&gt;='參數'!$B$9,INDEX('分群統計'!$G$13:$K$16,MATCH(X358,'分群統計'!$A$13:$A$16,0),MATCH(V358,'分群統計'!$G$12:$K$12,0)),INDEX('分群統計'!$I$5:$I$8,MATCH(X358,'分群統計'!$A$5:$A$8,0))),""),"")</f>
        <v/>
      </c>
      <c r="AE358" s="18">
        <f>IF(Y358=1,IFERROR(IF(AC358&gt;='參數'!$B$9,INDEX('分群統計'!$L$13:$P$16,MATCH(X358,'分群統計'!$A$13:$A$16,0),MATCH(V358,'分群統計'!$L$12:$P$12,0)),INDEX('分群統計'!$J$5:$J$8,MATCH(X358,'分群統計'!$A$5:$A$8,0))),""),"")</f>
        <v/>
      </c>
      <c r="AF358" s="31">
        <f>IF(ISNUMBER(AE358),IF(AE358&gt;0,MAX(-3,MIN(3,(N358-AD358)/AE358)),0),"")</f>
        <v/>
      </c>
      <c r="AG358" s="30">
        <f>IF(Y358=1,COUNTIFS($B$5:$B$404,B358,$Y$5:$Y$404,1),"")</f>
        <v/>
      </c>
      <c r="AH358" s="30">
        <f>IF(Y358=1,IFERROR(IF(ISNUMBER(INDEX('分群統計'!$G$20:$G$59,MATCH(B358,'分群統計'!$A$20:$A$59,0))),INDEX('分群統計'!$H$20:$H$59,MATCH(B358,'分群統計'!$A$20:$A$59,0))+INDEX('分群統計'!$G$20:$G$59,MATCH(B358,'分群統計'!$A$20:$A$59,0))*AU358,""),""),"")</f>
        <v/>
      </c>
      <c r="AI358" s="34">
        <f>IF(ISNUMBER(AH358),N358-AH358,"")</f>
        <v/>
      </c>
      <c r="AJ358" s="30">
        <f>IF(Y358=1,IFERROR(IF(ISNUMBER(INDEX('分群統計'!$G$5:$G$8,MATCH(X358,'分群統計'!$A$5:$A$8,0))),INDEX('分群統計'!$H$5:$H$8,MATCH(X358,'分群統計'!$A$5:$A$8,0))+INDEX('分群統計'!$G$5:$G$8,MATCH(X358,'分群統計'!$A$5:$A$8,0))*AU358,""),""),"")</f>
        <v/>
      </c>
      <c r="AK358" s="34">
        <f>IF(ISNUMBER(AJ358),N358-AJ358,"")</f>
        <v/>
      </c>
      <c r="AL358" s="21">
        <f>IF(ISNUMBER(AJ358),IF(AJ358&gt;0,AK358/AJ358,""),"")</f>
        <v/>
      </c>
      <c r="AM358" s="31">
        <f>IF(AY358&lt;&gt;1,"",IFERROR(IF(INDEX('分群統計'!$K$5:$K$8,MATCH(X358,'分群統計'!$A$5:$A$8,0))&lt;3,"",IF(INDEX('分群統計'!$M$5:$M$8,MATCH(X358,'分群統計'!$A$5:$A$8,0))&gt;0,MAX(-3,MIN(3,(AX358-INDEX('分群統計'!$L$5:$L$8,MATCH(X358,'分群統計'!$A$5:$A$8,0)))/INDEX('分群統計'!$M$5:$M$8,MATCH(X358,'分群統計'!$A$5:$A$8,0)))),0)),""))</f>
        <v/>
      </c>
      <c r="AN358" s="31">
        <f>IF(ISNUMBER(AB358),IF(Z358&gt;0,AB358/Z358*100,""),"")</f>
        <v/>
      </c>
      <c r="AO358" s="31">
        <f>IF(BA358&lt;&gt;1,"",IFERROR(IF(INDEX('分群統計'!$N$5:$N$8,MATCH(X358,'分群統計'!$A$5:$A$8,0))&lt;3,"",IF(INDEX('分群統計'!$P$5:$P$8,MATCH(X358,'分群統計'!$A$5:$A$8,0))&gt;0,MAX(-3,MIN(3,(AZ358-INDEX('分群統計'!$O$5:$O$8,MATCH(X358,'分群統計'!$A$5:$A$8,0)))/INDEX('分群統計'!$P$5:$P$8,MATCH(X358,'分群統計'!$A$5:$A$8,0)))),0)),""))</f>
        <v/>
      </c>
      <c r="AP358" s="31">
        <f>IF(BC358&lt;&gt;1,"",IFERROR(IF(INDEX('分群統計'!$Q$5:$Q$8,MATCH(X358,'分群統計'!$A$5:$A$8,0))&lt;3,"",IF(INDEX('分群統計'!$S$5:$S$8,MATCH(X358,'分群統計'!$A$5:$A$8,0))&gt;0,MAX(-3,MIN(3,(BB358-INDEX('分群統計'!$R$5:$R$8,MATCH(X358,'分群統計'!$A$5:$A$8,0)))/INDEX('分群統計'!$S$5:$S$8,MATCH(X358,'分群統計'!$A$5:$A$8,0)))),0)),""))</f>
        <v/>
      </c>
      <c r="AQ358" s="31">
        <f>IF(Y358=1,(IF(ISNUMBER(AF358),AF358,0)*'參數'!$B$13+IF(ISNUMBER(AM358),AM358,0)*'參數'!$B$14+IF(ISNUMBER(AO358),AO358,0)*'參數'!$B$15+IF(ISNUMBER(AP358),AP358,0)*'參數'!$B$16)/('參數'!$B$13+'參數'!$B$14+'參數'!$B$15+'參數'!$B$16),"")</f>
        <v/>
      </c>
      <c r="AR358" s="35">
        <f>IF(Y358=1,(SUMPRODUCT(($X$5:$X$404=X358)*($Y$5:$Y$404=1)*($BD$5:$BD$404&gt;BD358))+1)/COUNTIFS($X$5:$X$404,X358,$Y$5:$Y$404,1),"")</f>
        <v/>
      </c>
      <c r="AS358" s="8">
        <f>IF(ISNUMBER(AR358),IF(AR358&lt;='參數'!$B$18,"加碼候選",IF(AR358&gt;'參數'!$B$19,"減碼候選","")),"")</f>
        <v/>
      </c>
      <c r="AT358" s="7">
        <f>IF(Y358=1,N358,0)</f>
        <v/>
      </c>
      <c r="AU358" s="7">
        <f>IF(Y358=1,LN(O358),0)</f>
        <v/>
      </c>
      <c r="AV358" s="36">
        <f>IF(Y358=1,IF(ISNUMBER(F358),F358,0),0)</f>
        <v/>
      </c>
      <c r="AW358" s="7">
        <f>IF(Y358=1,Z358,0)</f>
        <v/>
      </c>
      <c r="AX358" s="7">
        <f>IF(Y358=1,IF(ISNUMBER(AL358),AL358,0),0)</f>
        <v/>
      </c>
      <c r="AY358" s="7">
        <f>IF(Y358=1,IF(ISNUMBER(AL358),1,0),0)</f>
        <v/>
      </c>
      <c r="AZ358" s="7">
        <f>IF(Y358=1,IF(ISNUMBER(AN358),AN358,0),0)</f>
        <v/>
      </c>
      <c r="BA358" s="7">
        <f>IF(Y358=1,IF(ISNUMBER(AN358),1,0),0)</f>
        <v/>
      </c>
      <c r="BB358" s="7">
        <f>IF(Y358=1,IF(ISNUMBER(T358),T358,0),0)</f>
        <v/>
      </c>
      <c r="BC358" s="7">
        <f>IF(Y358=1,IF(ISNUMBER(T358),1,0),0)</f>
        <v/>
      </c>
      <c r="BD358" s="7">
        <f>IF(Y358=1,AQ358+ROW()/1E9,-1E9)</f>
        <v/>
      </c>
      <c r="BE358" s="7">
        <f>IF(Y358=1,AQ358+ROW()/1E9,1E9)</f>
        <v/>
      </c>
    </row>
    <row r="359">
      <c r="A359" s="16" t="n"/>
      <c r="B359" s="8">
        <f>IF($A359="","",BDP($A359,B$3))</f>
        <v/>
      </c>
      <c r="C359" s="8">
        <f>IF($A359="","",BDP($A359,C$3))</f>
        <v/>
      </c>
      <c r="D359" s="28">
        <f>IF($A359="","",BDP($A359,D$3))</f>
        <v/>
      </c>
      <c r="E359" s="29">
        <f>IF($A359="","",BDP($A359,E$3))</f>
        <v/>
      </c>
      <c r="F359" s="17">
        <f>IF($A359="","",BDP($A359,F$3))</f>
        <v/>
      </c>
      <c r="G359" s="8">
        <f>IF($A359="","",BDP($A359,G$3))</f>
        <v/>
      </c>
      <c r="H359" s="8">
        <f>IF($A359="","",BDP($A359,H$3))</f>
        <v/>
      </c>
      <c r="I359" s="8">
        <f>IF($A359="","",BDP($A359,I$3))</f>
        <v/>
      </c>
      <c r="J359" s="8">
        <f>IF($A359="","",BDP($A359,J$3))</f>
        <v/>
      </c>
      <c r="K359" s="8">
        <f>IF($A359="","",BDP($A359,K$3))</f>
        <v/>
      </c>
      <c r="L359" s="28">
        <f>IF($A359="","",BDP($A359,L$3))</f>
        <v/>
      </c>
      <c r="M359" s="28">
        <f>IF($A359="","",BDP($A359,M$3))</f>
        <v/>
      </c>
      <c r="N359" s="30">
        <f>IF($A359="","",BDP($A359,N$3))</f>
        <v/>
      </c>
      <c r="O359" s="31">
        <f>IF($A359="","",BDP($A359,O$3))</f>
        <v/>
      </c>
      <c r="P359" s="30">
        <f>IF($A359="","",BDH($A359,$N$3,'參數'!$B$5,'參數'!$B$5,"Days=A","Fill=P","Dates=H"))</f>
        <v/>
      </c>
      <c r="Q359" s="30">
        <f>IF($A359="","",BDH($A359,$N$3,'參數'!$B$6,'參數'!$B$6,"Days=A","Fill=P","Dates=H"))</f>
        <v/>
      </c>
      <c r="R359" s="30">
        <f>IF($A359="","",BDH($A359,$N$3,'參數'!$B$7,'參數'!$B$7,"Days=A","Fill=P","Dates=H"))</f>
        <v/>
      </c>
      <c r="S359" s="32">
        <f>IF($A359="","",IFERROR(INDEX('發行人'!$A$5:$A$44,MATCH(B359,'發行人'!$D$5:$D$44,0)),"未對應"))</f>
        <v/>
      </c>
      <c r="T359" s="24">
        <f>IF($A359="","",IFERROR(INDEX('發行人'!$G$5:$G$44,MATCH(B359,'發行人'!$D$5:$D$44,0))+0,""))</f>
        <v/>
      </c>
      <c r="U359" s="18">
        <f>IF(ISNUMBER(E359),YEARFRAC('參數'!$B$4,E359),"")</f>
        <v/>
      </c>
      <c r="V359" s="8">
        <f>IF(U359="","",IF(U359&lt;3,"1-3y",IF(U359&lt;5,"3-5y",IF(U359&lt;7,"5-7y",IF(U359&lt;10,"7-10y","10y+")))))</f>
        <v/>
      </c>
      <c r="W359" s="30">
        <f>IF($A359="","",IFERROR(INDEX('參數'!$B$24:$B$45,MATCH(G359,'參數'!$A$24:$A$45,0)),""))</f>
        <v/>
      </c>
      <c r="X359" s="8">
        <f>IF($A359="","",IFERROR(INDEX('參數'!$C$24:$C$45,MATCH(G359,'參數'!$A$24:$A$45,0)),""))</f>
        <v/>
      </c>
      <c r="Y359" s="30">
        <f>IF(AND(ISNUMBER(N359),ISNUMBER(O359),ISNUMBER(U359)),IF(AND(O359&gt;0,X359&lt;&gt;""),1,0),0)</f>
        <v/>
      </c>
      <c r="Z359" s="17">
        <f>IF(Y359=1,O359*N359,"")</f>
        <v/>
      </c>
      <c r="AA359" s="33">
        <f>IF(Y359=1,IF(ISNUMBER(Q359),N359-Q359,""),"")</f>
        <v/>
      </c>
      <c r="AB359" s="33">
        <f>IF(Y359=1,IF(AND(ISNUMBER(P359),ISNUMBER(R359)),R359*5/12-O359*(P359-R359),""),"")</f>
        <v/>
      </c>
      <c r="AC359" s="30">
        <f>IF(Y359=1,COUNTIFS($X$5:$X$404,X359,$V$5:$V$404,V359,$Y$5:$Y$404,1),"")</f>
        <v/>
      </c>
      <c r="AD359" s="30">
        <f>IF(Y359=1,IFERROR(IF(AC359&gt;='參數'!$B$9,INDEX('分群統計'!$G$13:$K$16,MATCH(X359,'分群統計'!$A$13:$A$16,0),MATCH(V359,'分群統計'!$G$12:$K$12,0)),INDEX('分群統計'!$I$5:$I$8,MATCH(X359,'分群統計'!$A$5:$A$8,0))),""),"")</f>
        <v/>
      </c>
      <c r="AE359" s="18">
        <f>IF(Y359=1,IFERROR(IF(AC359&gt;='參數'!$B$9,INDEX('分群統計'!$L$13:$P$16,MATCH(X359,'分群統計'!$A$13:$A$16,0),MATCH(V359,'分群統計'!$L$12:$P$12,0)),INDEX('分群統計'!$J$5:$J$8,MATCH(X359,'分群統計'!$A$5:$A$8,0))),""),"")</f>
        <v/>
      </c>
      <c r="AF359" s="31">
        <f>IF(ISNUMBER(AE359),IF(AE359&gt;0,MAX(-3,MIN(3,(N359-AD359)/AE359)),0),"")</f>
        <v/>
      </c>
      <c r="AG359" s="30">
        <f>IF(Y359=1,COUNTIFS($B$5:$B$404,B359,$Y$5:$Y$404,1),"")</f>
        <v/>
      </c>
      <c r="AH359" s="30">
        <f>IF(Y359=1,IFERROR(IF(ISNUMBER(INDEX('分群統計'!$G$20:$G$59,MATCH(B359,'分群統計'!$A$20:$A$59,0))),INDEX('分群統計'!$H$20:$H$59,MATCH(B359,'分群統計'!$A$20:$A$59,0))+INDEX('分群統計'!$G$20:$G$59,MATCH(B359,'分群統計'!$A$20:$A$59,0))*AU359,""),""),"")</f>
        <v/>
      </c>
      <c r="AI359" s="34">
        <f>IF(ISNUMBER(AH359),N359-AH359,"")</f>
        <v/>
      </c>
      <c r="AJ359" s="30">
        <f>IF(Y359=1,IFERROR(IF(ISNUMBER(INDEX('分群統計'!$G$5:$G$8,MATCH(X359,'分群統計'!$A$5:$A$8,0))),INDEX('分群統計'!$H$5:$H$8,MATCH(X359,'分群統計'!$A$5:$A$8,0))+INDEX('分群統計'!$G$5:$G$8,MATCH(X359,'分群統計'!$A$5:$A$8,0))*AU359,""),""),"")</f>
        <v/>
      </c>
      <c r="AK359" s="34">
        <f>IF(ISNUMBER(AJ359),N359-AJ359,"")</f>
        <v/>
      </c>
      <c r="AL359" s="21">
        <f>IF(ISNUMBER(AJ359),IF(AJ359&gt;0,AK359/AJ359,""),"")</f>
        <v/>
      </c>
      <c r="AM359" s="31">
        <f>IF(AY359&lt;&gt;1,"",IFERROR(IF(INDEX('分群統計'!$K$5:$K$8,MATCH(X359,'分群統計'!$A$5:$A$8,0))&lt;3,"",IF(INDEX('分群統計'!$M$5:$M$8,MATCH(X359,'分群統計'!$A$5:$A$8,0))&gt;0,MAX(-3,MIN(3,(AX359-INDEX('分群統計'!$L$5:$L$8,MATCH(X359,'分群統計'!$A$5:$A$8,0)))/INDEX('分群統計'!$M$5:$M$8,MATCH(X359,'分群統計'!$A$5:$A$8,0)))),0)),""))</f>
        <v/>
      </c>
      <c r="AN359" s="31">
        <f>IF(ISNUMBER(AB359),IF(Z359&gt;0,AB359/Z359*100,""),"")</f>
        <v/>
      </c>
      <c r="AO359" s="31">
        <f>IF(BA359&lt;&gt;1,"",IFERROR(IF(INDEX('分群統計'!$N$5:$N$8,MATCH(X359,'分群統計'!$A$5:$A$8,0))&lt;3,"",IF(INDEX('分群統計'!$P$5:$P$8,MATCH(X359,'分群統計'!$A$5:$A$8,0))&gt;0,MAX(-3,MIN(3,(AZ359-INDEX('分群統計'!$O$5:$O$8,MATCH(X359,'分群統計'!$A$5:$A$8,0)))/INDEX('分群統計'!$P$5:$P$8,MATCH(X359,'分群統計'!$A$5:$A$8,0)))),0)),""))</f>
        <v/>
      </c>
      <c r="AP359" s="31">
        <f>IF(BC359&lt;&gt;1,"",IFERROR(IF(INDEX('分群統計'!$Q$5:$Q$8,MATCH(X359,'分群統計'!$A$5:$A$8,0))&lt;3,"",IF(INDEX('分群統計'!$S$5:$S$8,MATCH(X359,'分群統計'!$A$5:$A$8,0))&gt;0,MAX(-3,MIN(3,(BB359-INDEX('分群統計'!$R$5:$R$8,MATCH(X359,'分群統計'!$A$5:$A$8,0)))/INDEX('分群統計'!$S$5:$S$8,MATCH(X359,'分群統計'!$A$5:$A$8,0)))),0)),""))</f>
        <v/>
      </c>
      <c r="AQ359" s="31">
        <f>IF(Y359=1,(IF(ISNUMBER(AF359),AF359,0)*'參數'!$B$13+IF(ISNUMBER(AM359),AM359,0)*'參數'!$B$14+IF(ISNUMBER(AO359),AO359,0)*'參數'!$B$15+IF(ISNUMBER(AP359),AP359,0)*'參數'!$B$16)/('參數'!$B$13+'參數'!$B$14+'參數'!$B$15+'參數'!$B$16),"")</f>
        <v/>
      </c>
      <c r="AR359" s="35">
        <f>IF(Y359=1,(SUMPRODUCT(($X$5:$X$404=X359)*($Y$5:$Y$404=1)*($BD$5:$BD$404&gt;BD359))+1)/COUNTIFS($X$5:$X$404,X359,$Y$5:$Y$404,1),"")</f>
        <v/>
      </c>
      <c r="AS359" s="8">
        <f>IF(ISNUMBER(AR359),IF(AR359&lt;='參數'!$B$18,"加碼候選",IF(AR359&gt;'參數'!$B$19,"減碼候選","")),"")</f>
        <v/>
      </c>
      <c r="AT359" s="7">
        <f>IF(Y359=1,N359,0)</f>
        <v/>
      </c>
      <c r="AU359" s="7">
        <f>IF(Y359=1,LN(O359),0)</f>
        <v/>
      </c>
      <c r="AV359" s="36">
        <f>IF(Y359=1,IF(ISNUMBER(F359),F359,0),0)</f>
        <v/>
      </c>
      <c r="AW359" s="7">
        <f>IF(Y359=1,Z359,0)</f>
        <v/>
      </c>
      <c r="AX359" s="7">
        <f>IF(Y359=1,IF(ISNUMBER(AL359),AL359,0),0)</f>
        <v/>
      </c>
      <c r="AY359" s="7">
        <f>IF(Y359=1,IF(ISNUMBER(AL359),1,0),0)</f>
        <v/>
      </c>
      <c r="AZ359" s="7">
        <f>IF(Y359=1,IF(ISNUMBER(AN359),AN359,0),0)</f>
        <v/>
      </c>
      <c r="BA359" s="7">
        <f>IF(Y359=1,IF(ISNUMBER(AN359),1,0),0)</f>
        <v/>
      </c>
      <c r="BB359" s="7">
        <f>IF(Y359=1,IF(ISNUMBER(T359),T359,0),0)</f>
        <v/>
      </c>
      <c r="BC359" s="7">
        <f>IF(Y359=1,IF(ISNUMBER(T359),1,0),0)</f>
        <v/>
      </c>
      <c r="BD359" s="7">
        <f>IF(Y359=1,AQ359+ROW()/1E9,-1E9)</f>
        <v/>
      </c>
      <c r="BE359" s="7">
        <f>IF(Y359=1,AQ359+ROW()/1E9,1E9)</f>
        <v/>
      </c>
    </row>
    <row r="360">
      <c r="A360" s="16" t="n"/>
      <c r="B360" s="8">
        <f>IF($A360="","",BDP($A360,B$3))</f>
        <v/>
      </c>
      <c r="C360" s="8">
        <f>IF($A360="","",BDP($A360,C$3))</f>
        <v/>
      </c>
      <c r="D360" s="28">
        <f>IF($A360="","",BDP($A360,D$3))</f>
        <v/>
      </c>
      <c r="E360" s="29">
        <f>IF($A360="","",BDP($A360,E$3))</f>
        <v/>
      </c>
      <c r="F360" s="17">
        <f>IF($A360="","",BDP($A360,F$3))</f>
        <v/>
      </c>
      <c r="G360" s="8">
        <f>IF($A360="","",BDP($A360,G$3))</f>
        <v/>
      </c>
      <c r="H360" s="8">
        <f>IF($A360="","",BDP($A360,H$3))</f>
        <v/>
      </c>
      <c r="I360" s="8">
        <f>IF($A360="","",BDP($A360,I$3))</f>
        <v/>
      </c>
      <c r="J360" s="8">
        <f>IF($A360="","",BDP($A360,J$3))</f>
        <v/>
      </c>
      <c r="K360" s="8">
        <f>IF($A360="","",BDP($A360,K$3))</f>
        <v/>
      </c>
      <c r="L360" s="28">
        <f>IF($A360="","",BDP($A360,L$3))</f>
        <v/>
      </c>
      <c r="M360" s="28">
        <f>IF($A360="","",BDP($A360,M$3))</f>
        <v/>
      </c>
      <c r="N360" s="30">
        <f>IF($A360="","",BDP($A360,N$3))</f>
        <v/>
      </c>
      <c r="O360" s="31">
        <f>IF($A360="","",BDP($A360,O$3))</f>
        <v/>
      </c>
      <c r="P360" s="30">
        <f>IF($A360="","",BDH($A360,$N$3,'參數'!$B$5,'參數'!$B$5,"Days=A","Fill=P","Dates=H"))</f>
        <v/>
      </c>
      <c r="Q360" s="30">
        <f>IF($A360="","",BDH($A360,$N$3,'參數'!$B$6,'參數'!$B$6,"Days=A","Fill=P","Dates=H"))</f>
        <v/>
      </c>
      <c r="R360" s="30">
        <f>IF($A360="","",BDH($A360,$N$3,'參數'!$B$7,'參數'!$B$7,"Days=A","Fill=P","Dates=H"))</f>
        <v/>
      </c>
      <c r="S360" s="32">
        <f>IF($A360="","",IFERROR(INDEX('發行人'!$A$5:$A$44,MATCH(B360,'發行人'!$D$5:$D$44,0)),"未對應"))</f>
        <v/>
      </c>
      <c r="T360" s="24">
        <f>IF($A360="","",IFERROR(INDEX('發行人'!$G$5:$G$44,MATCH(B360,'發行人'!$D$5:$D$44,0))+0,""))</f>
        <v/>
      </c>
      <c r="U360" s="18">
        <f>IF(ISNUMBER(E360),YEARFRAC('參數'!$B$4,E360),"")</f>
        <v/>
      </c>
      <c r="V360" s="8">
        <f>IF(U360="","",IF(U360&lt;3,"1-3y",IF(U360&lt;5,"3-5y",IF(U360&lt;7,"5-7y",IF(U360&lt;10,"7-10y","10y+")))))</f>
        <v/>
      </c>
      <c r="W360" s="30">
        <f>IF($A360="","",IFERROR(INDEX('參數'!$B$24:$B$45,MATCH(G360,'參數'!$A$24:$A$45,0)),""))</f>
        <v/>
      </c>
      <c r="X360" s="8">
        <f>IF($A360="","",IFERROR(INDEX('參數'!$C$24:$C$45,MATCH(G360,'參數'!$A$24:$A$45,0)),""))</f>
        <v/>
      </c>
      <c r="Y360" s="30">
        <f>IF(AND(ISNUMBER(N360),ISNUMBER(O360),ISNUMBER(U360)),IF(AND(O360&gt;0,X360&lt;&gt;""),1,0),0)</f>
        <v/>
      </c>
      <c r="Z360" s="17">
        <f>IF(Y360=1,O360*N360,"")</f>
        <v/>
      </c>
      <c r="AA360" s="33">
        <f>IF(Y360=1,IF(ISNUMBER(Q360),N360-Q360,""),"")</f>
        <v/>
      </c>
      <c r="AB360" s="33">
        <f>IF(Y360=1,IF(AND(ISNUMBER(P360),ISNUMBER(R360)),R360*5/12-O360*(P360-R360),""),"")</f>
        <v/>
      </c>
      <c r="AC360" s="30">
        <f>IF(Y360=1,COUNTIFS($X$5:$X$404,X360,$V$5:$V$404,V360,$Y$5:$Y$404,1),"")</f>
        <v/>
      </c>
      <c r="AD360" s="30">
        <f>IF(Y360=1,IFERROR(IF(AC360&gt;='參數'!$B$9,INDEX('分群統計'!$G$13:$K$16,MATCH(X360,'分群統計'!$A$13:$A$16,0),MATCH(V360,'分群統計'!$G$12:$K$12,0)),INDEX('分群統計'!$I$5:$I$8,MATCH(X360,'分群統計'!$A$5:$A$8,0))),""),"")</f>
        <v/>
      </c>
      <c r="AE360" s="18">
        <f>IF(Y360=1,IFERROR(IF(AC360&gt;='參數'!$B$9,INDEX('分群統計'!$L$13:$P$16,MATCH(X360,'分群統計'!$A$13:$A$16,0),MATCH(V360,'分群統計'!$L$12:$P$12,0)),INDEX('分群統計'!$J$5:$J$8,MATCH(X360,'分群統計'!$A$5:$A$8,0))),""),"")</f>
        <v/>
      </c>
      <c r="AF360" s="31">
        <f>IF(ISNUMBER(AE360),IF(AE360&gt;0,MAX(-3,MIN(3,(N360-AD360)/AE360)),0),"")</f>
        <v/>
      </c>
      <c r="AG360" s="30">
        <f>IF(Y360=1,COUNTIFS($B$5:$B$404,B360,$Y$5:$Y$404,1),"")</f>
        <v/>
      </c>
      <c r="AH360" s="30">
        <f>IF(Y360=1,IFERROR(IF(ISNUMBER(INDEX('分群統計'!$G$20:$G$59,MATCH(B360,'分群統計'!$A$20:$A$59,0))),INDEX('分群統計'!$H$20:$H$59,MATCH(B360,'分群統計'!$A$20:$A$59,0))+INDEX('分群統計'!$G$20:$G$59,MATCH(B360,'分群統計'!$A$20:$A$59,0))*AU360,""),""),"")</f>
        <v/>
      </c>
      <c r="AI360" s="34">
        <f>IF(ISNUMBER(AH360),N360-AH360,"")</f>
        <v/>
      </c>
      <c r="AJ360" s="30">
        <f>IF(Y360=1,IFERROR(IF(ISNUMBER(INDEX('分群統計'!$G$5:$G$8,MATCH(X360,'分群統計'!$A$5:$A$8,0))),INDEX('分群統計'!$H$5:$H$8,MATCH(X360,'分群統計'!$A$5:$A$8,0))+INDEX('分群統計'!$G$5:$G$8,MATCH(X360,'分群統計'!$A$5:$A$8,0))*AU360,""),""),"")</f>
        <v/>
      </c>
      <c r="AK360" s="34">
        <f>IF(ISNUMBER(AJ360),N360-AJ360,"")</f>
        <v/>
      </c>
      <c r="AL360" s="21">
        <f>IF(ISNUMBER(AJ360),IF(AJ360&gt;0,AK360/AJ360,""),"")</f>
        <v/>
      </c>
      <c r="AM360" s="31">
        <f>IF(AY360&lt;&gt;1,"",IFERROR(IF(INDEX('分群統計'!$K$5:$K$8,MATCH(X360,'分群統計'!$A$5:$A$8,0))&lt;3,"",IF(INDEX('分群統計'!$M$5:$M$8,MATCH(X360,'分群統計'!$A$5:$A$8,0))&gt;0,MAX(-3,MIN(3,(AX360-INDEX('分群統計'!$L$5:$L$8,MATCH(X360,'分群統計'!$A$5:$A$8,0)))/INDEX('分群統計'!$M$5:$M$8,MATCH(X360,'分群統計'!$A$5:$A$8,0)))),0)),""))</f>
        <v/>
      </c>
      <c r="AN360" s="31">
        <f>IF(ISNUMBER(AB360),IF(Z360&gt;0,AB360/Z360*100,""),"")</f>
        <v/>
      </c>
      <c r="AO360" s="31">
        <f>IF(BA360&lt;&gt;1,"",IFERROR(IF(INDEX('分群統計'!$N$5:$N$8,MATCH(X360,'分群統計'!$A$5:$A$8,0))&lt;3,"",IF(INDEX('分群統計'!$P$5:$P$8,MATCH(X360,'分群統計'!$A$5:$A$8,0))&gt;0,MAX(-3,MIN(3,(AZ360-INDEX('分群統計'!$O$5:$O$8,MATCH(X360,'分群統計'!$A$5:$A$8,0)))/INDEX('分群統計'!$P$5:$P$8,MATCH(X360,'分群統計'!$A$5:$A$8,0)))),0)),""))</f>
        <v/>
      </c>
      <c r="AP360" s="31">
        <f>IF(BC360&lt;&gt;1,"",IFERROR(IF(INDEX('分群統計'!$Q$5:$Q$8,MATCH(X360,'分群統計'!$A$5:$A$8,0))&lt;3,"",IF(INDEX('分群統計'!$S$5:$S$8,MATCH(X360,'分群統計'!$A$5:$A$8,0))&gt;0,MAX(-3,MIN(3,(BB360-INDEX('分群統計'!$R$5:$R$8,MATCH(X360,'分群統計'!$A$5:$A$8,0)))/INDEX('分群統計'!$S$5:$S$8,MATCH(X360,'分群統計'!$A$5:$A$8,0)))),0)),""))</f>
        <v/>
      </c>
      <c r="AQ360" s="31">
        <f>IF(Y360=1,(IF(ISNUMBER(AF360),AF360,0)*'參數'!$B$13+IF(ISNUMBER(AM360),AM360,0)*'參數'!$B$14+IF(ISNUMBER(AO360),AO360,0)*'參數'!$B$15+IF(ISNUMBER(AP360),AP360,0)*'參數'!$B$16)/('參數'!$B$13+'參數'!$B$14+'參數'!$B$15+'參數'!$B$16),"")</f>
        <v/>
      </c>
      <c r="AR360" s="35">
        <f>IF(Y360=1,(SUMPRODUCT(($X$5:$X$404=X360)*($Y$5:$Y$404=1)*($BD$5:$BD$404&gt;BD360))+1)/COUNTIFS($X$5:$X$404,X360,$Y$5:$Y$404,1),"")</f>
        <v/>
      </c>
      <c r="AS360" s="8">
        <f>IF(ISNUMBER(AR360),IF(AR360&lt;='參數'!$B$18,"加碼候選",IF(AR360&gt;'參數'!$B$19,"減碼候選","")),"")</f>
        <v/>
      </c>
      <c r="AT360" s="7">
        <f>IF(Y360=1,N360,0)</f>
        <v/>
      </c>
      <c r="AU360" s="7">
        <f>IF(Y360=1,LN(O360),0)</f>
        <v/>
      </c>
      <c r="AV360" s="36">
        <f>IF(Y360=1,IF(ISNUMBER(F360),F360,0),0)</f>
        <v/>
      </c>
      <c r="AW360" s="7">
        <f>IF(Y360=1,Z360,0)</f>
        <v/>
      </c>
      <c r="AX360" s="7">
        <f>IF(Y360=1,IF(ISNUMBER(AL360),AL360,0),0)</f>
        <v/>
      </c>
      <c r="AY360" s="7">
        <f>IF(Y360=1,IF(ISNUMBER(AL360),1,0),0)</f>
        <v/>
      </c>
      <c r="AZ360" s="7">
        <f>IF(Y360=1,IF(ISNUMBER(AN360),AN360,0),0)</f>
        <v/>
      </c>
      <c r="BA360" s="7">
        <f>IF(Y360=1,IF(ISNUMBER(AN360),1,0),0)</f>
        <v/>
      </c>
      <c r="BB360" s="7">
        <f>IF(Y360=1,IF(ISNUMBER(T360),T360,0),0)</f>
        <v/>
      </c>
      <c r="BC360" s="7">
        <f>IF(Y360=1,IF(ISNUMBER(T360),1,0),0)</f>
        <v/>
      </c>
      <c r="BD360" s="7">
        <f>IF(Y360=1,AQ360+ROW()/1E9,-1E9)</f>
        <v/>
      </c>
      <c r="BE360" s="7">
        <f>IF(Y360=1,AQ360+ROW()/1E9,1E9)</f>
        <v/>
      </c>
    </row>
    <row r="361">
      <c r="A361" s="16" t="n"/>
      <c r="B361" s="8">
        <f>IF($A361="","",BDP($A361,B$3))</f>
        <v/>
      </c>
      <c r="C361" s="8">
        <f>IF($A361="","",BDP($A361,C$3))</f>
        <v/>
      </c>
      <c r="D361" s="28">
        <f>IF($A361="","",BDP($A361,D$3))</f>
        <v/>
      </c>
      <c r="E361" s="29">
        <f>IF($A361="","",BDP($A361,E$3))</f>
        <v/>
      </c>
      <c r="F361" s="17">
        <f>IF($A361="","",BDP($A361,F$3))</f>
        <v/>
      </c>
      <c r="G361" s="8">
        <f>IF($A361="","",BDP($A361,G$3))</f>
        <v/>
      </c>
      <c r="H361" s="8">
        <f>IF($A361="","",BDP($A361,H$3))</f>
        <v/>
      </c>
      <c r="I361" s="8">
        <f>IF($A361="","",BDP($A361,I$3))</f>
        <v/>
      </c>
      <c r="J361" s="8">
        <f>IF($A361="","",BDP($A361,J$3))</f>
        <v/>
      </c>
      <c r="K361" s="8">
        <f>IF($A361="","",BDP($A361,K$3))</f>
        <v/>
      </c>
      <c r="L361" s="28">
        <f>IF($A361="","",BDP($A361,L$3))</f>
        <v/>
      </c>
      <c r="M361" s="28">
        <f>IF($A361="","",BDP($A361,M$3))</f>
        <v/>
      </c>
      <c r="N361" s="30">
        <f>IF($A361="","",BDP($A361,N$3))</f>
        <v/>
      </c>
      <c r="O361" s="31">
        <f>IF($A361="","",BDP($A361,O$3))</f>
        <v/>
      </c>
      <c r="P361" s="30">
        <f>IF($A361="","",BDH($A361,$N$3,'參數'!$B$5,'參數'!$B$5,"Days=A","Fill=P","Dates=H"))</f>
        <v/>
      </c>
      <c r="Q361" s="30">
        <f>IF($A361="","",BDH($A361,$N$3,'參數'!$B$6,'參數'!$B$6,"Days=A","Fill=P","Dates=H"))</f>
        <v/>
      </c>
      <c r="R361" s="30">
        <f>IF($A361="","",BDH($A361,$N$3,'參數'!$B$7,'參數'!$B$7,"Days=A","Fill=P","Dates=H"))</f>
        <v/>
      </c>
      <c r="S361" s="32">
        <f>IF($A361="","",IFERROR(INDEX('發行人'!$A$5:$A$44,MATCH(B361,'發行人'!$D$5:$D$44,0)),"未對應"))</f>
        <v/>
      </c>
      <c r="T361" s="24">
        <f>IF($A361="","",IFERROR(INDEX('發行人'!$G$5:$G$44,MATCH(B361,'發行人'!$D$5:$D$44,0))+0,""))</f>
        <v/>
      </c>
      <c r="U361" s="18">
        <f>IF(ISNUMBER(E361),YEARFRAC('參數'!$B$4,E361),"")</f>
        <v/>
      </c>
      <c r="V361" s="8">
        <f>IF(U361="","",IF(U361&lt;3,"1-3y",IF(U361&lt;5,"3-5y",IF(U361&lt;7,"5-7y",IF(U361&lt;10,"7-10y","10y+")))))</f>
        <v/>
      </c>
      <c r="W361" s="30">
        <f>IF($A361="","",IFERROR(INDEX('參數'!$B$24:$B$45,MATCH(G361,'參數'!$A$24:$A$45,0)),""))</f>
        <v/>
      </c>
      <c r="X361" s="8">
        <f>IF($A361="","",IFERROR(INDEX('參數'!$C$24:$C$45,MATCH(G361,'參數'!$A$24:$A$45,0)),""))</f>
        <v/>
      </c>
      <c r="Y361" s="30">
        <f>IF(AND(ISNUMBER(N361),ISNUMBER(O361),ISNUMBER(U361)),IF(AND(O361&gt;0,X361&lt;&gt;""),1,0),0)</f>
        <v/>
      </c>
      <c r="Z361" s="17">
        <f>IF(Y361=1,O361*N361,"")</f>
        <v/>
      </c>
      <c r="AA361" s="33">
        <f>IF(Y361=1,IF(ISNUMBER(Q361),N361-Q361,""),"")</f>
        <v/>
      </c>
      <c r="AB361" s="33">
        <f>IF(Y361=1,IF(AND(ISNUMBER(P361),ISNUMBER(R361)),R361*5/12-O361*(P361-R361),""),"")</f>
        <v/>
      </c>
      <c r="AC361" s="30">
        <f>IF(Y361=1,COUNTIFS($X$5:$X$404,X361,$V$5:$V$404,V361,$Y$5:$Y$404,1),"")</f>
        <v/>
      </c>
      <c r="AD361" s="30">
        <f>IF(Y361=1,IFERROR(IF(AC361&gt;='參數'!$B$9,INDEX('分群統計'!$G$13:$K$16,MATCH(X361,'分群統計'!$A$13:$A$16,0),MATCH(V361,'分群統計'!$G$12:$K$12,0)),INDEX('分群統計'!$I$5:$I$8,MATCH(X361,'分群統計'!$A$5:$A$8,0))),""),"")</f>
        <v/>
      </c>
      <c r="AE361" s="18">
        <f>IF(Y361=1,IFERROR(IF(AC361&gt;='參數'!$B$9,INDEX('分群統計'!$L$13:$P$16,MATCH(X361,'分群統計'!$A$13:$A$16,0),MATCH(V361,'分群統計'!$L$12:$P$12,0)),INDEX('分群統計'!$J$5:$J$8,MATCH(X361,'分群統計'!$A$5:$A$8,0))),""),"")</f>
        <v/>
      </c>
      <c r="AF361" s="31">
        <f>IF(ISNUMBER(AE361),IF(AE361&gt;0,MAX(-3,MIN(3,(N361-AD361)/AE361)),0),"")</f>
        <v/>
      </c>
      <c r="AG361" s="30">
        <f>IF(Y361=1,COUNTIFS($B$5:$B$404,B361,$Y$5:$Y$404,1),"")</f>
        <v/>
      </c>
      <c r="AH361" s="30">
        <f>IF(Y361=1,IFERROR(IF(ISNUMBER(INDEX('分群統計'!$G$20:$G$59,MATCH(B361,'分群統計'!$A$20:$A$59,0))),INDEX('分群統計'!$H$20:$H$59,MATCH(B361,'分群統計'!$A$20:$A$59,0))+INDEX('分群統計'!$G$20:$G$59,MATCH(B361,'分群統計'!$A$20:$A$59,0))*AU361,""),""),"")</f>
        <v/>
      </c>
      <c r="AI361" s="34">
        <f>IF(ISNUMBER(AH361),N361-AH361,"")</f>
        <v/>
      </c>
      <c r="AJ361" s="30">
        <f>IF(Y361=1,IFERROR(IF(ISNUMBER(INDEX('分群統計'!$G$5:$G$8,MATCH(X361,'分群統計'!$A$5:$A$8,0))),INDEX('分群統計'!$H$5:$H$8,MATCH(X361,'分群統計'!$A$5:$A$8,0))+INDEX('分群統計'!$G$5:$G$8,MATCH(X361,'分群統計'!$A$5:$A$8,0))*AU361,""),""),"")</f>
        <v/>
      </c>
      <c r="AK361" s="34">
        <f>IF(ISNUMBER(AJ361),N361-AJ361,"")</f>
        <v/>
      </c>
      <c r="AL361" s="21">
        <f>IF(ISNUMBER(AJ361),IF(AJ361&gt;0,AK361/AJ361,""),"")</f>
        <v/>
      </c>
      <c r="AM361" s="31">
        <f>IF(AY361&lt;&gt;1,"",IFERROR(IF(INDEX('分群統計'!$K$5:$K$8,MATCH(X361,'分群統計'!$A$5:$A$8,0))&lt;3,"",IF(INDEX('分群統計'!$M$5:$M$8,MATCH(X361,'分群統計'!$A$5:$A$8,0))&gt;0,MAX(-3,MIN(3,(AX361-INDEX('分群統計'!$L$5:$L$8,MATCH(X361,'分群統計'!$A$5:$A$8,0)))/INDEX('分群統計'!$M$5:$M$8,MATCH(X361,'分群統計'!$A$5:$A$8,0)))),0)),""))</f>
        <v/>
      </c>
      <c r="AN361" s="31">
        <f>IF(ISNUMBER(AB361),IF(Z361&gt;0,AB361/Z361*100,""),"")</f>
        <v/>
      </c>
      <c r="AO361" s="31">
        <f>IF(BA361&lt;&gt;1,"",IFERROR(IF(INDEX('分群統計'!$N$5:$N$8,MATCH(X361,'分群統計'!$A$5:$A$8,0))&lt;3,"",IF(INDEX('分群統計'!$P$5:$P$8,MATCH(X361,'分群統計'!$A$5:$A$8,0))&gt;0,MAX(-3,MIN(3,(AZ361-INDEX('分群統計'!$O$5:$O$8,MATCH(X361,'分群統計'!$A$5:$A$8,0)))/INDEX('分群統計'!$P$5:$P$8,MATCH(X361,'分群統計'!$A$5:$A$8,0)))),0)),""))</f>
        <v/>
      </c>
      <c r="AP361" s="31">
        <f>IF(BC361&lt;&gt;1,"",IFERROR(IF(INDEX('分群統計'!$Q$5:$Q$8,MATCH(X361,'分群統計'!$A$5:$A$8,0))&lt;3,"",IF(INDEX('分群統計'!$S$5:$S$8,MATCH(X361,'分群統計'!$A$5:$A$8,0))&gt;0,MAX(-3,MIN(3,(BB361-INDEX('分群統計'!$R$5:$R$8,MATCH(X361,'分群統計'!$A$5:$A$8,0)))/INDEX('分群統計'!$S$5:$S$8,MATCH(X361,'分群統計'!$A$5:$A$8,0)))),0)),""))</f>
        <v/>
      </c>
      <c r="AQ361" s="31">
        <f>IF(Y361=1,(IF(ISNUMBER(AF361),AF361,0)*'參數'!$B$13+IF(ISNUMBER(AM361),AM361,0)*'參數'!$B$14+IF(ISNUMBER(AO361),AO361,0)*'參數'!$B$15+IF(ISNUMBER(AP361),AP361,0)*'參數'!$B$16)/('參數'!$B$13+'參數'!$B$14+'參數'!$B$15+'參數'!$B$16),"")</f>
        <v/>
      </c>
      <c r="AR361" s="35">
        <f>IF(Y361=1,(SUMPRODUCT(($X$5:$X$404=X361)*($Y$5:$Y$404=1)*($BD$5:$BD$404&gt;BD361))+1)/COUNTIFS($X$5:$X$404,X361,$Y$5:$Y$404,1),"")</f>
        <v/>
      </c>
      <c r="AS361" s="8">
        <f>IF(ISNUMBER(AR361),IF(AR361&lt;='參數'!$B$18,"加碼候選",IF(AR361&gt;'參數'!$B$19,"減碼候選","")),"")</f>
        <v/>
      </c>
      <c r="AT361" s="7">
        <f>IF(Y361=1,N361,0)</f>
        <v/>
      </c>
      <c r="AU361" s="7">
        <f>IF(Y361=1,LN(O361),0)</f>
        <v/>
      </c>
      <c r="AV361" s="36">
        <f>IF(Y361=1,IF(ISNUMBER(F361),F361,0),0)</f>
        <v/>
      </c>
      <c r="AW361" s="7">
        <f>IF(Y361=1,Z361,0)</f>
        <v/>
      </c>
      <c r="AX361" s="7">
        <f>IF(Y361=1,IF(ISNUMBER(AL361),AL361,0),0)</f>
        <v/>
      </c>
      <c r="AY361" s="7">
        <f>IF(Y361=1,IF(ISNUMBER(AL361),1,0),0)</f>
        <v/>
      </c>
      <c r="AZ361" s="7">
        <f>IF(Y361=1,IF(ISNUMBER(AN361),AN361,0),0)</f>
        <v/>
      </c>
      <c r="BA361" s="7">
        <f>IF(Y361=1,IF(ISNUMBER(AN361),1,0),0)</f>
        <v/>
      </c>
      <c r="BB361" s="7">
        <f>IF(Y361=1,IF(ISNUMBER(T361),T361,0),0)</f>
        <v/>
      </c>
      <c r="BC361" s="7">
        <f>IF(Y361=1,IF(ISNUMBER(T361),1,0),0)</f>
        <v/>
      </c>
      <c r="BD361" s="7">
        <f>IF(Y361=1,AQ361+ROW()/1E9,-1E9)</f>
        <v/>
      </c>
      <c r="BE361" s="7">
        <f>IF(Y361=1,AQ361+ROW()/1E9,1E9)</f>
        <v/>
      </c>
    </row>
    <row r="362">
      <c r="A362" s="16" t="n"/>
      <c r="B362" s="8">
        <f>IF($A362="","",BDP($A362,B$3))</f>
        <v/>
      </c>
      <c r="C362" s="8">
        <f>IF($A362="","",BDP($A362,C$3))</f>
        <v/>
      </c>
      <c r="D362" s="28">
        <f>IF($A362="","",BDP($A362,D$3))</f>
        <v/>
      </c>
      <c r="E362" s="29">
        <f>IF($A362="","",BDP($A362,E$3))</f>
        <v/>
      </c>
      <c r="F362" s="17">
        <f>IF($A362="","",BDP($A362,F$3))</f>
        <v/>
      </c>
      <c r="G362" s="8">
        <f>IF($A362="","",BDP($A362,G$3))</f>
        <v/>
      </c>
      <c r="H362" s="8">
        <f>IF($A362="","",BDP($A362,H$3))</f>
        <v/>
      </c>
      <c r="I362" s="8">
        <f>IF($A362="","",BDP($A362,I$3))</f>
        <v/>
      </c>
      <c r="J362" s="8">
        <f>IF($A362="","",BDP($A362,J$3))</f>
        <v/>
      </c>
      <c r="K362" s="8">
        <f>IF($A362="","",BDP($A362,K$3))</f>
        <v/>
      </c>
      <c r="L362" s="28">
        <f>IF($A362="","",BDP($A362,L$3))</f>
        <v/>
      </c>
      <c r="M362" s="28">
        <f>IF($A362="","",BDP($A362,M$3))</f>
        <v/>
      </c>
      <c r="N362" s="30">
        <f>IF($A362="","",BDP($A362,N$3))</f>
        <v/>
      </c>
      <c r="O362" s="31">
        <f>IF($A362="","",BDP($A362,O$3))</f>
        <v/>
      </c>
      <c r="P362" s="30">
        <f>IF($A362="","",BDH($A362,$N$3,'參數'!$B$5,'參數'!$B$5,"Days=A","Fill=P","Dates=H"))</f>
        <v/>
      </c>
      <c r="Q362" s="30">
        <f>IF($A362="","",BDH($A362,$N$3,'參數'!$B$6,'參數'!$B$6,"Days=A","Fill=P","Dates=H"))</f>
        <v/>
      </c>
      <c r="R362" s="30">
        <f>IF($A362="","",BDH($A362,$N$3,'參數'!$B$7,'參數'!$B$7,"Days=A","Fill=P","Dates=H"))</f>
        <v/>
      </c>
      <c r="S362" s="32">
        <f>IF($A362="","",IFERROR(INDEX('發行人'!$A$5:$A$44,MATCH(B362,'發行人'!$D$5:$D$44,0)),"未對應"))</f>
        <v/>
      </c>
      <c r="T362" s="24">
        <f>IF($A362="","",IFERROR(INDEX('發行人'!$G$5:$G$44,MATCH(B362,'發行人'!$D$5:$D$44,0))+0,""))</f>
        <v/>
      </c>
      <c r="U362" s="18">
        <f>IF(ISNUMBER(E362),YEARFRAC('參數'!$B$4,E362),"")</f>
        <v/>
      </c>
      <c r="V362" s="8">
        <f>IF(U362="","",IF(U362&lt;3,"1-3y",IF(U362&lt;5,"3-5y",IF(U362&lt;7,"5-7y",IF(U362&lt;10,"7-10y","10y+")))))</f>
        <v/>
      </c>
      <c r="W362" s="30">
        <f>IF($A362="","",IFERROR(INDEX('參數'!$B$24:$B$45,MATCH(G362,'參數'!$A$24:$A$45,0)),""))</f>
        <v/>
      </c>
      <c r="X362" s="8">
        <f>IF($A362="","",IFERROR(INDEX('參數'!$C$24:$C$45,MATCH(G362,'參數'!$A$24:$A$45,0)),""))</f>
        <v/>
      </c>
      <c r="Y362" s="30">
        <f>IF(AND(ISNUMBER(N362),ISNUMBER(O362),ISNUMBER(U362)),IF(AND(O362&gt;0,X362&lt;&gt;""),1,0),0)</f>
        <v/>
      </c>
      <c r="Z362" s="17">
        <f>IF(Y362=1,O362*N362,"")</f>
        <v/>
      </c>
      <c r="AA362" s="33">
        <f>IF(Y362=1,IF(ISNUMBER(Q362),N362-Q362,""),"")</f>
        <v/>
      </c>
      <c r="AB362" s="33">
        <f>IF(Y362=1,IF(AND(ISNUMBER(P362),ISNUMBER(R362)),R362*5/12-O362*(P362-R362),""),"")</f>
        <v/>
      </c>
      <c r="AC362" s="30">
        <f>IF(Y362=1,COUNTIFS($X$5:$X$404,X362,$V$5:$V$404,V362,$Y$5:$Y$404,1),"")</f>
        <v/>
      </c>
      <c r="AD362" s="30">
        <f>IF(Y362=1,IFERROR(IF(AC362&gt;='參數'!$B$9,INDEX('分群統計'!$G$13:$K$16,MATCH(X362,'分群統計'!$A$13:$A$16,0),MATCH(V362,'分群統計'!$G$12:$K$12,0)),INDEX('分群統計'!$I$5:$I$8,MATCH(X362,'分群統計'!$A$5:$A$8,0))),""),"")</f>
        <v/>
      </c>
      <c r="AE362" s="18">
        <f>IF(Y362=1,IFERROR(IF(AC362&gt;='參數'!$B$9,INDEX('分群統計'!$L$13:$P$16,MATCH(X362,'分群統計'!$A$13:$A$16,0),MATCH(V362,'分群統計'!$L$12:$P$12,0)),INDEX('分群統計'!$J$5:$J$8,MATCH(X362,'分群統計'!$A$5:$A$8,0))),""),"")</f>
        <v/>
      </c>
      <c r="AF362" s="31">
        <f>IF(ISNUMBER(AE362),IF(AE362&gt;0,MAX(-3,MIN(3,(N362-AD362)/AE362)),0),"")</f>
        <v/>
      </c>
      <c r="AG362" s="30">
        <f>IF(Y362=1,COUNTIFS($B$5:$B$404,B362,$Y$5:$Y$404,1),"")</f>
        <v/>
      </c>
      <c r="AH362" s="30">
        <f>IF(Y362=1,IFERROR(IF(ISNUMBER(INDEX('分群統計'!$G$20:$G$59,MATCH(B362,'分群統計'!$A$20:$A$59,0))),INDEX('分群統計'!$H$20:$H$59,MATCH(B362,'分群統計'!$A$20:$A$59,0))+INDEX('分群統計'!$G$20:$G$59,MATCH(B362,'分群統計'!$A$20:$A$59,0))*AU362,""),""),"")</f>
        <v/>
      </c>
      <c r="AI362" s="34">
        <f>IF(ISNUMBER(AH362),N362-AH362,"")</f>
        <v/>
      </c>
      <c r="AJ362" s="30">
        <f>IF(Y362=1,IFERROR(IF(ISNUMBER(INDEX('分群統計'!$G$5:$G$8,MATCH(X362,'分群統計'!$A$5:$A$8,0))),INDEX('分群統計'!$H$5:$H$8,MATCH(X362,'分群統計'!$A$5:$A$8,0))+INDEX('分群統計'!$G$5:$G$8,MATCH(X362,'分群統計'!$A$5:$A$8,0))*AU362,""),""),"")</f>
        <v/>
      </c>
      <c r="AK362" s="34">
        <f>IF(ISNUMBER(AJ362),N362-AJ362,"")</f>
        <v/>
      </c>
      <c r="AL362" s="21">
        <f>IF(ISNUMBER(AJ362),IF(AJ362&gt;0,AK362/AJ362,""),"")</f>
        <v/>
      </c>
      <c r="AM362" s="31">
        <f>IF(AY362&lt;&gt;1,"",IFERROR(IF(INDEX('分群統計'!$K$5:$K$8,MATCH(X362,'分群統計'!$A$5:$A$8,0))&lt;3,"",IF(INDEX('分群統計'!$M$5:$M$8,MATCH(X362,'分群統計'!$A$5:$A$8,0))&gt;0,MAX(-3,MIN(3,(AX362-INDEX('分群統計'!$L$5:$L$8,MATCH(X362,'分群統計'!$A$5:$A$8,0)))/INDEX('分群統計'!$M$5:$M$8,MATCH(X362,'分群統計'!$A$5:$A$8,0)))),0)),""))</f>
        <v/>
      </c>
      <c r="AN362" s="31">
        <f>IF(ISNUMBER(AB362),IF(Z362&gt;0,AB362/Z362*100,""),"")</f>
        <v/>
      </c>
      <c r="AO362" s="31">
        <f>IF(BA362&lt;&gt;1,"",IFERROR(IF(INDEX('分群統計'!$N$5:$N$8,MATCH(X362,'分群統計'!$A$5:$A$8,0))&lt;3,"",IF(INDEX('分群統計'!$P$5:$P$8,MATCH(X362,'分群統計'!$A$5:$A$8,0))&gt;0,MAX(-3,MIN(3,(AZ362-INDEX('分群統計'!$O$5:$O$8,MATCH(X362,'分群統計'!$A$5:$A$8,0)))/INDEX('分群統計'!$P$5:$P$8,MATCH(X362,'分群統計'!$A$5:$A$8,0)))),0)),""))</f>
        <v/>
      </c>
      <c r="AP362" s="31">
        <f>IF(BC362&lt;&gt;1,"",IFERROR(IF(INDEX('分群統計'!$Q$5:$Q$8,MATCH(X362,'分群統計'!$A$5:$A$8,0))&lt;3,"",IF(INDEX('分群統計'!$S$5:$S$8,MATCH(X362,'分群統計'!$A$5:$A$8,0))&gt;0,MAX(-3,MIN(3,(BB362-INDEX('分群統計'!$R$5:$R$8,MATCH(X362,'分群統計'!$A$5:$A$8,0)))/INDEX('分群統計'!$S$5:$S$8,MATCH(X362,'分群統計'!$A$5:$A$8,0)))),0)),""))</f>
        <v/>
      </c>
      <c r="AQ362" s="31">
        <f>IF(Y362=1,(IF(ISNUMBER(AF362),AF362,0)*'參數'!$B$13+IF(ISNUMBER(AM362),AM362,0)*'參數'!$B$14+IF(ISNUMBER(AO362),AO362,0)*'參數'!$B$15+IF(ISNUMBER(AP362),AP362,0)*'參數'!$B$16)/('參數'!$B$13+'參數'!$B$14+'參數'!$B$15+'參數'!$B$16),"")</f>
        <v/>
      </c>
      <c r="AR362" s="35">
        <f>IF(Y362=1,(SUMPRODUCT(($X$5:$X$404=X362)*($Y$5:$Y$404=1)*($BD$5:$BD$404&gt;BD362))+1)/COUNTIFS($X$5:$X$404,X362,$Y$5:$Y$404,1),"")</f>
        <v/>
      </c>
      <c r="AS362" s="8">
        <f>IF(ISNUMBER(AR362),IF(AR362&lt;='參數'!$B$18,"加碼候選",IF(AR362&gt;'參數'!$B$19,"減碼候選","")),"")</f>
        <v/>
      </c>
      <c r="AT362" s="7">
        <f>IF(Y362=1,N362,0)</f>
        <v/>
      </c>
      <c r="AU362" s="7">
        <f>IF(Y362=1,LN(O362),0)</f>
        <v/>
      </c>
      <c r="AV362" s="36">
        <f>IF(Y362=1,IF(ISNUMBER(F362),F362,0),0)</f>
        <v/>
      </c>
      <c r="AW362" s="7">
        <f>IF(Y362=1,Z362,0)</f>
        <v/>
      </c>
      <c r="AX362" s="7">
        <f>IF(Y362=1,IF(ISNUMBER(AL362),AL362,0),0)</f>
        <v/>
      </c>
      <c r="AY362" s="7">
        <f>IF(Y362=1,IF(ISNUMBER(AL362),1,0),0)</f>
        <v/>
      </c>
      <c r="AZ362" s="7">
        <f>IF(Y362=1,IF(ISNUMBER(AN362),AN362,0),0)</f>
        <v/>
      </c>
      <c r="BA362" s="7">
        <f>IF(Y362=1,IF(ISNUMBER(AN362),1,0),0)</f>
        <v/>
      </c>
      <c r="BB362" s="7">
        <f>IF(Y362=1,IF(ISNUMBER(T362),T362,0),0)</f>
        <v/>
      </c>
      <c r="BC362" s="7">
        <f>IF(Y362=1,IF(ISNUMBER(T362),1,0),0)</f>
        <v/>
      </c>
      <c r="BD362" s="7">
        <f>IF(Y362=1,AQ362+ROW()/1E9,-1E9)</f>
        <v/>
      </c>
      <c r="BE362" s="7">
        <f>IF(Y362=1,AQ362+ROW()/1E9,1E9)</f>
        <v/>
      </c>
    </row>
    <row r="363">
      <c r="A363" s="16" t="n"/>
      <c r="B363" s="8">
        <f>IF($A363="","",BDP($A363,B$3))</f>
        <v/>
      </c>
      <c r="C363" s="8">
        <f>IF($A363="","",BDP($A363,C$3))</f>
        <v/>
      </c>
      <c r="D363" s="28">
        <f>IF($A363="","",BDP($A363,D$3))</f>
        <v/>
      </c>
      <c r="E363" s="29">
        <f>IF($A363="","",BDP($A363,E$3))</f>
        <v/>
      </c>
      <c r="F363" s="17">
        <f>IF($A363="","",BDP($A363,F$3))</f>
        <v/>
      </c>
      <c r="G363" s="8">
        <f>IF($A363="","",BDP($A363,G$3))</f>
        <v/>
      </c>
      <c r="H363" s="8">
        <f>IF($A363="","",BDP($A363,H$3))</f>
        <v/>
      </c>
      <c r="I363" s="8">
        <f>IF($A363="","",BDP($A363,I$3))</f>
        <v/>
      </c>
      <c r="J363" s="8">
        <f>IF($A363="","",BDP($A363,J$3))</f>
        <v/>
      </c>
      <c r="K363" s="8">
        <f>IF($A363="","",BDP($A363,K$3))</f>
        <v/>
      </c>
      <c r="L363" s="28">
        <f>IF($A363="","",BDP($A363,L$3))</f>
        <v/>
      </c>
      <c r="M363" s="28">
        <f>IF($A363="","",BDP($A363,M$3))</f>
        <v/>
      </c>
      <c r="N363" s="30">
        <f>IF($A363="","",BDP($A363,N$3))</f>
        <v/>
      </c>
      <c r="O363" s="31">
        <f>IF($A363="","",BDP($A363,O$3))</f>
        <v/>
      </c>
      <c r="P363" s="30">
        <f>IF($A363="","",BDH($A363,$N$3,'參數'!$B$5,'參數'!$B$5,"Days=A","Fill=P","Dates=H"))</f>
        <v/>
      </c>
      <c r="Q363" s="30">
        <f>IF($A363="","",BDH($A363,$N$3,'參數'!$B$6,'參數'!$B$6,"Days=A","Fill=P","Dates=H"))</f>
        <v/>
      </c>
      <c r="R363" s="30">
        <f>IF($A363="","",BDH($A363,$N$3,'參數'!$B$7,'參數'!$B$7,"Days=A","Fill=P","Dates=H"))</f>
        <v/>
      </c>
      <c r="S363" s="32">
        <f>IF($A363="","",IFERROR(INDEX('發行人'!$A$5:$A$44,MATCH(B363,'發行人'!$D$5:$D$44,0)),"未對應"))</f>
        <v/>
      </c>
      <c r="T363" s="24">
        <f>IF($A363="","",IFERROR(INDEX('發行人'!$G$5:$G$44,MATCH(B363,'發行人'!$D$5:$D$44,0))+0,""))</f>
        <v/>
      </c>
      <c r="U363" s="18">
        <f>IF(ISNUMBER(E363),YEARFRAC('參數'!$B$4,E363),"")</f>
        <v/>
      </c>
      <c r="V363" s="8">
        <f>IF(U363="","",IF(U363&lt;3,"1-3y",IF(U363&lt;5,"3-5y",IF(U363&lt;7,"5-7y",IF(U363&lt;10,"7-10y","10y+")))))</f>
        <v/>
      </c>
      <c r="W363" s="30">
        <f>IF($A363="","",IFERROR(INDEX('參數'!$B$24:$B$45,MATCH(G363,'參數'!$A$24:$A$45,0)),""))</f>
        <v/>
      </c>
      <c r="X363" s="8">
        <f>IF($A363="","",IFERROR(INDEX('參數'!$C$24:$C$45,MATCH(G363,'參數'!$A$24:$A$45,0)),""))</f>
        <v/>
      </c>
      <c r="Y363" s="30">
        <f>IF(AND(ISNUMBER(N363),ISNUMBER(O363),ISNUMBER(U363)),IF(AND(O363&gt;0,X363&lt;&gt;""),1,0),0)</f>
        <v/>
      </c>
      <c r="Z363" s="17">
        <f>IF(Y363=1,O363*N363,"")</f>
        <v/>
      </c>
      <c r="AA363" s="33">
        <f>IF(Y363=1,IF(ISNUMBER(Q363),N363-Q363,""),"")</f>
        <v/>
      </c>
      <c r="AB363" s="33">
        <f>IF(Y363=1,IF(AND(ISNUMBER(P363),ISNUMBER(R363)),R363*5/12-O363*(P363-R363),""),"")</f>
        <v/>
      </c>
      <c r="AC363" s="30">
        <f>IF(Y363=1,COUNTIFS($X$5:$X$404,X363,$V$5:$V$404,V363,$Y$5:$Y$404,1),"")</f>
        <v/>
      </c>
      <c r="AD363" s="30">
        <f>IF(Y363=1,IFERROR(IF(AC363&gt;='參數'!$B$9,INDEX('分群統計'!$G$13:$K$16,MATCH(X363,'分群統計'!$A$13:$A$16,0),MATCH(V363,'分群統計'!$G$12:$K$12,0)),INDEX('分群統計'!$I$5:$I$8,MATCH(X363,'分群統計'!$A$5:$A$8,0))),""),"")</f>
        <v/>
      </c>
      <c r="AE363" s="18">
        <f>IF(Y363=1,IFERROR(IF(AC363&gt;='參數'!$B$9,INDEX('分群統計'!$L$13:$P$16,MATCH(X363,'分群統計'!$A$13:$A$16,0),MATCH(V363,'分群統計'!$L$12:$P$12,0)),INDEX('分群統計'!$J$5:$J$8,MATCH(X363,'分群統計'!$A$5:$A$8,0))),""),"")</f>
        <v/>
      </c>
      <c r="AF363" s="31">
        <f>IF(ISNUMBER(AE363),IF(AE363&gt;0,MAX(-3,MIN(3,(N363-AD363)/AE363)),0),"")</f>
        <v/>
      </c>
      <c r="AG363" s="30">
        <f>IF(Y363=1,COUNTIFS($B$5:$B$404,B363,$Y$5:$Y$404,1),"")</f>
        <v/>
      </c>
      <c r="AH363" s="30">
        <f>IF(Y363=1,IFERROR(IF(ISNUMBER(INDEX('分群統計'!$G$20:$G$59,MATCH(B363,'分群統計'!$A$20:$A$59,0))),INDEX('分群統計'!$H$20:$H$59,MATCH(B363,'分群統計'!$A$20:$A$59,0))+INDEX('分群統計'!$G$20:$G$59,MATCH(B363,'分群統計'!$A$20:$A$59,0))*AU363,""),""),"")</f>
        <v/>
      </c>
      <c r="AI363" s="34">
        <f>IF(ISNUMBER(AH363),N363-AH363,"")</f>
        <v/>
      </c>
      <c r="AJ363" s="30">
        <f>IF(Y363=1,IFERROR(IF(ISNUMBER(INDEX('分群統計'!$G$5:$G$8,MATCH(X363,'分群統計'!$A$5:$A$8,0))),INDEX('分群統計'!$H$5:$H$8,MATCH(X363,'分群統計'!$A$5:$A$8,0))+INDEX('分群統計'!$G$5:$G$8,MATCH(X363,'分群統計'!$A$5:$A$8,0))*AU363,""),""),"")</f>
        <v/>
      </c>
      <c r="AK363" s="34">
        <f>IF(ISNUMBER(AJ363),N363-AJ363,"")</f>
        <v/>
      </c>
      <c r="AL363" s="21">
        <f>IF(ISNUMBER(AJ363),IF(AJ363&gt;0,AK363/AJ363,""),"")</f>
        <v/>
      </c>
      <c r="AM363" s="31">
        <f>IF(AY363&lt;&gt;1,"",IFERROR(IF(INDEX('分群統計'!$K$5:$K$8,MATCH(X363,'分群統計'!$A$5:$A$8,0))&lt;3,"",IF(INDEX('分群統計'!$M$5:$M$8,MATCH(X363,'分群統計'!$A$5:$A$8,0))&gt;0,MAX(-3,MIN(3,(AX363-INDEX('分群統計'!$L$5:$L$8,MATCH(X363,'分群統計'!$A$5:$A$8,0)))/INDEX('分群統計'!$M$5:$M$8,MATCH(X363,'分群統計'!$A$5:$A$8,0)))),0)),""))</f>
        <v/>
      </c>
      <c r="AN363" s="31">
        <f>IF(ISNUMBER(AB363),IF(Z363&gt;0,AB363/Z363*100,""),"")</f>
        <v/>
      </c>
      <c r="AO363" s="31">
        <f>IF(BA363&lt;&gt;1,"",IFERROR(IF(INDEX('分群統計'!$N$5:$N$8,MATCH(X363,'分群統計'!$A$5:$A$8,0))&lt;3,"",IF(INDEX('分群統計'!$P$5:$P$8,MATCH(X363,'分群統計'!$A$5:$A$8,0))&gt;0,MAX(-3,MIN(3,(AZ363-INDEX('分群統計'!$O$5:$O$8,MATCH(X363,'分群統計'!$A$5:$A$8,0)))/INDEX('分群統計'!$P$5:$P$8,MATCH(X363,'分群統計'!$A$5:$A$8,0)))),0)),""))</f>
        <v/>
      </c>
      <c r="AP363" s="31">
        <f>IF(BC363&lt;&gt;1,"",IFERROR(IF(INDEX('分群統計'!$Q$5:$Q$8,MATCH(X363,'分群統計'!$A$5:$A$8,0))&lt;3,"",IF(INDEX('分群統計'!$S$5:$S$8,MATCH(X363,'分群統計'!$A$5:$A$8,0))&gt;0,MAX(-3,MIN(3,(BB363-INDEX('分群統計'!$R$5:$R$8,MATCH(X363,'分群統計'!$A$5:$A$8,0)))/INDEX('分群統計'!$S$5:$S$8,MATCH(X363,'分群統計'!$A$5:$A$8,0)))),0)),""))</f>
        <v/>
      </c>
      <c r="AQ363" s="31">
        <f>IF(Y363=1,(IF(ISNUMBER(AF363),AF363,0)*'參數'!$B$13+IF(ISNUMBER(AM363),AM363,0)*'參數'!$B$14+IF(ISNUMBER(AO363),AO363,0)*'參數'!$B$15+IF(ISNUMBER(AP363),AP363,0)*'參數'!$B$16)/('參數'!$B$13+'參數'!$B$14+'參數'!$B$15+'參數'!$B$16),"")</f>
        <v/>
      </c>
      <c r="AR363" s="35">
        <f>IF(Y363=1,(SUMPRODUCT(($X$5:$X$404=X363)*($Y$5:$Y$404=1)*($BD$5:$BD$404&gt;BD363))+1)/COUNTIFS($X$5:$X$404,X363,$Y$5:$Y$404,1),"")</f>
        <v/>
      </c>
      <c r="AS363" s="8">
        <f>IF(ISNUMBER(AR363),IF(AR363&lt;='參數'!$B$18,"加碼候選",IF(AR363&gt;'參數'!$B$19,"減碼候選","")),"")</f>
        <v/>
      </c>
      <c r="AT363" s="7">
        <f>IF(Y363=1,N363,0)</f>
        <v/>
      </c>
      <c r="AU363" s="7">
        <f>IF(Y363=1,LN(O363),0)</f>
        <v/>
      </c>
      <c r="AV363" s="36">
        <f>IF(Y363=1,IF(ISNUMBER(F363),F363,0),0)</f>
        <v/>
      </c>
      <c r="AW363" s="7">
        <f>IF(Y363=1,Z363,0)</f>
        <v/>
      </c>
      <c r="AX363" s="7">
        <f>IF(Y363=1,IF(ISNUMBER(AL363),AL363,0),0)</f>
        <v/>
      </c>
      <c r="AY363" s="7">
        <f>IF(Y363=1,IF(ISNUMBER(AL363),1,0),0)</f>
        <v/>
      </c>
      <c r="AZ363" s="7">
        <f>IF(Y363=1,IF(ISNUMBER(AN363),AN363,0),0)</f>
        <v/>
      </c>
      <c r="BA363" s="7">
        <f>IF(Y363=1,IF(ISNUMBER(AN363),1,0),0)</f>
        <v/>
      </c>
      <c r="BB363" s="7">
        <f>IF(Y363=1,IF(ISNUMBER(T363),T363,0),0)</f>
        <v/>
      </c>
      <c r="BC363" s="7">
        <f>IF(Y363=1,IF(ISNUMBER(T363),1,0),0)</f>
        <v/>
      </c>
      <c r="BD363" s="7">
        <f>IF(Y363=1,AQ363+ROW()/1E9,-1E9)</f>
        <v/>
      </c>
      <c r="BE363" s="7">
        <f>IF(Y363=1,AQ363+ROW()/1E9,1E9)</f>
        <v/>
      </c>
    </row>
    <row r="364">
      <c r="A364" s="16" t="n"/>
      <c r="B364" s="8">
        <f>IF($A364="","",BDP($A364,B$3))</f>
        <v/>
      </c>
      <c r="C364" s="8">
        <f>IF($A364="","",BDP($A364,C$3))</f>
        <v/>
      </c>
      <c r="D364" s="28">
        <f>IF($A364="","",BDP($A364,D$3))</f>
        <v/>
      </c>
      <c r="E364" s="29">
        <f>IF($A364="","",BDP($A364,E$3))</f>
        <v/>
      </c>
      <c r="F364" s="17">
        <f>IF($A364="","",BDP($A364,F$3))</f>
        <v/>
      </c>
      <c r="G364" s="8">
        <f>IF($A364="","",BDP($A364,G$3))</f>
        <v/>
      </c>
      <c r="H364" s="8">
        <f>IF($A364="","",BDP($A364,H$3))</f>
        <v/>
      </c>
      <c r="I364" s="8">
        <f>IF($A364="","",BDP($A364,I$3))</f>
        <v/>
      </c>
      <c r="J364" s="8">
        <f>IF($A364="","",BDP($A364,J$3))</f>
        <v/>
      </c>
      <c r="K364" s="8">
        <f>IF($A364="","",BDP($A364,K$3))</f>
        <v/>
      </c>
      <c r="L364" s="28">
        <f>IF($A364="","",BDP($A364,L$3))</f>
        <v/>
      </c>
      <c r="M364" s="28">
        <f>IF($A364="","",BDP($A364,M$3))</f>
        <v/>
      </c>
      <c r="N364" s="30">
        <f>IF($A364="","",BDP($A364,N$3))</f>
        <v/>
      </c>
      <c r="O364" s="31">
        <f>IF($A364="","",BDP($A364,O$3))</f>
        <v/>
      </c>
      <c r="P364" s="30">
        <f>IF($A364="","",BDH($A364,$N$3,'參數'!$B$5,'參數'!$B$5,"Days=A","Fill=P","Dates=H"))</f>
        <v/>
      </c>
      <c r="Q364" s="30">
        <f>IF($A364="","",BDH($A364,$N$3,'參數'!$B$6,'參數'!$B$6,"Days=A","Fill=P","Dates=H"))</f>
        <v/>
      </c>
      <c r="R364" s="30">
        <f>IF($A364="","",BDH($A364,$N$3,'參數'!$B$7,'參數'!$B$7,"Days=A","Fill=P","Dates=H"))</f>
        <v/>
      </c>
      <c r="S364" s="32">
        <f>IF($A364="","",IFERROR(INDEX('發行人'!$A$5:$A$44,MATCH(B364,'發行人'!$D$5:$D$44,0)),"未對應"))</f>
        <v/>
      </c>
      <c r="T364" s="24">
        <f>IF($A364="","",IFERROR(INDEX('發行人'!$G$5:$G$44,MATCH(B364,'發行人'!$D$5:$D$44,0))+0,""))</f>
        <v/>
      </c>
      <c r="U364" s="18">
        <f>IF(ISNUMBER(E364),YEARFRAC('參數'!$B$4,E364),"")</f>
        <v/>
      </c>
      <c r="V364" s="8">
        <f>IF(U364="","",IF(U364&lt;3,"1-3y",IF(U364&lt;5,"3-5y",IF(U364&lt;7,"5-7y",IF(U364&lt;10,"7-10y","10y+")))))</f>
        <v/>
      </c>
      <c r="W364" s="30">
        <f>IF($A364="","",IFERROR(INDEX('參數'!$B$24:$B$45,MATCH(G364,'參數'!$A$24:$A$45,0)),""))</f>
        <v/>
      </c>
      <c r="X364" s="8">
        <f>IF($A364="","",IFERROR(INDEX('參數'!$C$24:$C$45,MATCH(G364,'參數'!$A$24:$A$45,0)),""))</f>
        <v/>
      </c>
      <c r="Y364" s="30">
        <f>IF(AND(ISNUMBER(N364),ISNUMBER(O364),ISNUMBER(U364)),IF(AND(O364&gt;0,X364&lt;&gt;""),1,0),0)</f>
        <v/>
      </c>
      <c r="Z364" s="17">
        <f>IF(Y364=1,O364*N364,"")</f>
        <v/>
      </c>
      <c r="AA364" s="33">
        <f>IF(Y364=1,IF(ISNUMBER(Q364),N364-Q364,""),"")</f>
        <v/>
      </c>
      <c r="AB364" s="33">
        <f>IF(Y364=1,IF(AND(ISNUMBER(P364),ISNUMBER(R364)),R364*5/12-O364*(P364-R364),""),"")</f>
        <v/>
      </c>
      <c r="AC364" s="30">
        <f>IF(Y364=1,COUNTIFS($X$5:$X$404,X364,$V$5:$V$404,V364,$Y$5:$Y$404,1),"")</f>
        <v/>
      </c>
      <c r="AD364" s="30">
        <f>IF(Y364=1,IFERROR(IF(AC364&gt;='參數'!$B$9,INDEX('分群統計'!$G$13:$K$16,MATCH(X364,'分群統計'!$A$13:$A$16,0),MATCH(V364,'分群統計'!$G$12:$K$12,0)),INDEX('分群統計'!$I$5:$I$8,MATCH(X364,'分群統計'!$A$5:$A$8,0))),""),"")</f>
        <v/>
      </c>
      <c r="AE364" s="18">
        <f>IF(Y364=1,IFERROR(IF(AC364&gt;='參數'!$B$9,INDEX('分群統計'!$L$13:$P$16,MATCH(X364,'分群統計'!$A$13:$A$16,0),MATCH(V364,'分群統計'!$L$12:$P$12,0)),INDEX('分群統計'!$J$5:$J$8,MATCH(X364,'分群統計'!$A$5:$A$8,0))),""),"")</f>
        <v/>
      </c>
      <c r="AF364" s="31">
        <f>IF(ISNUMBER(AE364),IF(AE364&gt;0,MAX(-3,MIN(3,(N364-AD364)/AE364)),0),"")</f>
        <v/>
      </c>
      <c r="AG364" s="30">
        <f>IF(Y364=1,COUNTIFS($B$5:$B$404,B364,$Y$5:$Y$404,1),"")</f>
        <v/>
      </c>
      <c r="AH364" s="30">
        <f>IF(Y364=1,IFERROR(IF(ISNUMBER(INDEX('分群統計'!$G$20:$G$59,MATCH(B364,'分群統計'!$A$20:$A$59,0))),INDEX('分群統計'!$H$20:$H$59,MATCH(B364,'分群統計'!$A$20:$A$59,0))+INDEX('分群統計'!$G$20:$G$59,MATCH(B364,'分群統計'!$A$20:$A$59,0))*AU364,""),""),"")</f>
        <v/>
      </c>
      <c r="AI364" s="34">
        <f>IF(ISNUMBER(AH364),N364-AH364,"")</f>
        <v/>
      </c>
      <c r="AJ364" s="30">
        <f>IF(Y364=1,IFERROR(IF(ISNUMBER(INDEX('分群統計'!$G$5:$G$8,MATCH(X364,'分群統計'!$A$5:$A$8,0))),INDEX('分群統計'!$H$5:$H$8,MATCH(X364,'分群統計'!$A$5:$A$8,0))+INDEX('分群統計'!$G$5:$G$8,MATCH(X364,'分群統計'!$A$5:$A$8,0))*AU364,""),""),"")</f>
        <v/>
      </c>
      <c r="AK364" s="34">
        <f>IF(ISNUMBER(AJ364),N364-AJ364,"")</f>
        <v/>
      </c>
      <c r="AL364" s="21">
        <f>IF(ISNUMBER(AJ364),IF(AJ364&gt;0,AK364/AJ364,""),"")</f>
        <v/>
      </c>
      <c r="AM364" s="31">
        <f>IF(AY364&lt;&gt;1,"",IFERROR(IF(INDEX('分群統計'!$K$5:$K$8,MATCH(X364,'分群統計'!$A$5:$A$8,0))&lt;3,"",IF(INDEX('分群統計'!$M$5:$M$8,MATCH(X364,'分群統計'!$A$5:$A$8,0))&gt;0,MAX(-3,MIN(3,(AX364-INDEX('分群統計'!$L$5:$L$8,MATCH(X364,'分群統計'!$A$5:$A$8,0)))/INDEX('分群統計'!$M$5:$M$8,MATCH(X364,'分群統計'!$A$5:$A$8,0)))),0)),""))</f>
        <v/>
      </c>
      <c r="AN364" s="31">
        <f>IF(ISNUMBER(AB364),IF(Z364&gt;0,AB364/Z364*100,""),"")</f>
        <v/>
      </c>
      <c r="AO364" s="31">
        <f>IF(BA364&lt;&gt;1,"",IFERROR(IF(INDEX('分群統計'!$N$5:$N$8,MATCH(X364,'分群統計'!$A$5:$A$8,0))&lt;3,"",IF(INDEX('分群統計'!$P$5:$P$8,MATCH(X364,'分群統計'!$A$5:$A$8,0))&gt;0,MAX(-3,MIN(3,(AZ364-INDEX('分群統計'!$O$5:$O$8,MATCH(X364,'分群統計'!$A$5:$A$8,0)))/INDEX('分群統計'!$P$5:$P$8,MATCH(X364,'分群統計'!$A$5:$A$8,0)))),0)),""))</f>
        <v/>
      </c>
      <c r="AP364" s="31">
        <f>IF(BC364&lt;&gt;1,"",IFERROR(IF(INDEX('分群統計'!$Q$5:$Q$8,MATCH(X364,'分群統計'!$A$5:$A$8,0))&lt;3,"",IF(INDEX('分群統計'!$S$5:$S$8,MATCH(X364,'分群統計'!$A$5:$A$8,0))&gt;0,MAX(-3,MIN(3,(BB364-INDEX('分群統計'!$R$5:$R$8,MATCH(X364,'分群統計'!$A$5:$A$8,0)))/INDEX('分群統計'!$S$5:$S$8,MATCH(X364,'分群統計'!$A$5:$A$8,0)))),0)),""))</f>
        <v/>
      </c>
      <c r="AQ364" s="31">
        <f>IF(Y364=1,(IF(ISNUMBER(AF364),AF364,0)*'參數'!$B$13+IF(ISNUMBER(AM364),AM364,0)*'參數'!$B$14+IF(ISNUMBER(AO364),AO364,0)*'參數'!$B$15+IF(ISNUMBER(AP364),AP364,0)*'參數'!$B$16)/('參數'!$B$13+'參數'!$B$14+'參數'!$B$15+'參數'!$B$16),"")</f>
        <v/>
      </c>
      <c r="AR364" s="35">
        <f>IF(Y364=1,(SUMPRODUCT(($X$5:$X$404=X364)*($Y$5:$Y$404=1)*($BD$5:$BD$404&gt;BD364))+1)/COUNTIFS($X$5:$X$404,X364,$Y$5:$Y$404,1),"")</f>
        <v/>
      </c>
      <c r="AS364" s="8">
        <f>IF(ISNUMBER(AR364),IF(AR364&lt;='參數'!$B$18,"加碼候選",IF(AR364&gt;'參數'!$B$19,"減碼候選","")),"")</f>
        <v/>
      </c>
      <c r="AT364" s="7">
        <f>IF(Y364=1,N364,0)</f>
        <v/>
      </c>
      <c r="AU364" s="7">
        <f>IF(Y364=1,LN(O364),0)</f>
        <v/>
      </c>
      <c r="AV364" s="36">
        <f>IF(Y364=1,IF(ISNUMBER(F364),F364,0),0)</f>
        <v/>
      </c>
      <c r="AW364" s="7">
        <f>IF(Y364=1,Z364,0)</f>
        <v/>
      </c>
      <c r="AX364" s="7">
        <f>IF(Y364=1,IF(ISNUMBER(AL364),AL364,0),0)</f>
        <v/>
      </c>
      <c r="AY364" s="7">
        <f>IF(Y364=1,IF(ISNUMBER(AL364),1,0),0)</f>
        <v/>
      </c>
      <c r="AZ364" s="7">
        <f>IF(Y364=1,IF(ISNUMBER(AN364),AN364,0),0)</f>
        <v/>
      </c>
      <c r="BA364" s="7">
        <f>IF(Y364=1,IF(ISNUMBER(AN364),1,0),0)</f>
        <v/>
      </c>
      <c r="BB364" s="7">
        <f>IF(Y364=1,IF(ISNUMBER(T364),T364,0),0)</f>
        <v/>
      </c>
      <c r="BC364" s="7">
        <f>IF(Y364=1,IF(ISNUMBER(T364),1,0),0)</f>
        <v/>
      </c>
      <c r="BD364" s="7">
        <f>IF(Y364=1,AQ364+ROW()/1E9,-1E9)</f>
        <v/>
      </c>
      <c r="BE364" s="7">
        <f>IF(Y364=1,AQ364+ROW()/1E9,1E9)</f>
        <v/>
      </c>
    </row>
    <row r="365">
      <c r="A365" s="16" t="n"/>
      <c r="B365" s="8">
        <f>IF($A365="","",BDP($A365,B$3))</f>
        <v/>
      </c>
      <c r="C365" s="8">
        <f>IF($A365="","",BDP($A365,C$3))</f>
        <v/>
      </c>
      <c r="D365" s="28">
        <f>IF($A365="","",BDP($A365,D$3))</f>
        <v/>
      </c>
      <c r="E365" s="29">
        <f>IF($A365="","",BDP($A365,E$3))</f>
        <v/>
      </c>
      <c r="F365" s="17">
        <f>IF($A365="","",BDP($A365,F$3))</f>
        <v/>
      </c>
      <c r="G365" s="8">
        <f>IF($A365="","",BDP($A365,G$3))</f>
        <v/>
      </c>
      <c r="H365" s="8">
        <f>IF($A365="","",BDP($A365,H$3))</f>
        <v/>
      </c>
      <c r="I365" s="8">
        <f>IF($A365="","",BDP($A365,I$3))</f>
        <v/>
      </c>
      <c r="J365" s="8">
        <f>IF($A365="","",BDP($A365,J$3))</f>
        <v/>
      </c>
      <c r="K365" s="8">
        <f>IF($A365="","",BDP($A365,K$3))</f>
        <v/>
      </c>
      <c r="L365" s="28">
        <f>IF($A365="","",BDP($A365,L$3))</f>
        <v/>
      </c>
      <c r="M365" s="28">
        <f>IF($A365="","",BDP($A365,M$3))</f>
        <v/>
      </c>
      <c r="N365" s="30">
        <f>IF($A365="","",BDP($A365,N$3))</f>
        <v/>
      </c>
      <c r="O365" s="31">
        <f>IF($A365="","",BDP($A365,O$3))</f>
        <v/>
      </c>
      <c r="P365" s="30">
        <f>IF($A365="","",BDH($A365,$N$3,'參數'!$B$5,'參數'!$B$5,"Days=A","Fill=P","Dates=H"))</f>
        <v/>
      </c>
      <c r="Q365" s="30">
        <f>IF($A365="","",BDH($A365,$N$3,'參數'!$B$6,'參數'!$B$6,"Days=A","Fill=P","Dates=H"))</f>
        <v/>
      </c>
      <c r="R365" s="30">
        <f>IF($A365="","",BDH($A365,$N$3,'參數'!$B$7,'參數'!$B$7,"Days=A","Fill=P","Dates=H"))</f>
        <v/>
      </c>
      <c r="S365" s="32">
        <f>IF($A365="","",IFERROR(INDEX('發行人'!$A$5:$A$44,MATCH(B365,'發行人'!$D$5:$D$44,0)),"未對應"))</f>
        <v/>
      </c>
      <c r="T365" s="24">
        <f>IF($A365="","",IFERROR(INDEX('發行人'!$G$5:$G$44,MATCH(B365,'發行人'!$D$5:$D$44,0))+0,""))</f>
        <v/>
      </c>
      <c r="U365" s="18">
        <f>IF(ISNUMBER(E365),YEARFRAC('參數'!$B$4,E365),"")</f>
        <v/>
      </c>
      <c r="V365" s="8">
        <f>IF(U365="","",IF(U365&lt;3,"1-3y",IF(U365&lt;5,"3-5y",IF(U365&lt;7,"5-7y",IF(U365&lt;10,"7-10y","10y+")))))</f>
        <v/>
      </c>
      <c r="W365" s="30">
        <f>IF($A365="","",IFERROR(INDEX('參數'!$B$24:$B$45,MATCH(G365,'參數'!$A$24:$A$45,0)),""))</f>
        <v/>
      </c>
      <c r="X365" s="8">
        <f>IF($A365="","",IFERROR(INDEX('參數'!$C$24:$C$45,MATCH(G365,'參數'!$A$24:$A$45,0)),""))</f>
        <v/>
      </c>
      <c r="Y365" s="30">
        <f>IF(AND(ISNUMBER(N365),ISNUMBER(O365),ISNUMBER(U365)),IF(AND(O365&gt;0,X365&lt;&gt;""),1,0),0)</f>
        <v/>
      </c>
      <c r="Z365" s="17">
        <f>IF(Y365=1,O365*N365,"")</f>
        <v/>
      </c>
      <c r="AA365" s="33">
        <f>IF(Y365=1,IF(ISNUMBER(Q365),N365-Q365,""),"")</f>
        <v/>
      </c>
      <c r="AB365" s="33">
        <f>IF(Y365=1,IF(AND(ISNUMBER(P365),ISNUMBER(R365)),R365*5/12-O365*(P365-R365),""),"")</f>
        <v/>
      </c>
      <c r="AC365" s="30">
        <f>IF(Y365=1,COUNTIFS($X$5:$X$404,X365,$V$5:$V$404,V365,$Y$5:$Y$404,1),"")</f>
        <v/>
      </c>
      <c r="AD365" s="30">
        <f>IF(Y365=1,IFERROR(IF(AC365&gt;='參數'!$B$9,INDEX('分群統計'!$G$13:$K$16,MATCH(X365,'分群統計'!$A$13:$A$16,0),MATCH(V365,'分群統計'!$G$12:$K$12,0)),INDEX('分群統計'!$I$5:$I$8,MATCH(X365,'分群統計'!$A$5:$A$8,0))),""),"")</f>
        <v/>
      </c>
      <c r="AE365" s="18">
        <f>IF(Y365=1,IFERROR(IF(AC365&gt;='參數'!$B$9,INDEX('分群統計'!$L$13:$P$16,MATCH(X365,'分群統計'!$A$13:$A$16,0),MATCH(V365,'分群統計'!$L$12:$P$12,0)),INDEX('分群統計'!$J$5:$J$8,MATCH(X365,'分群統計'!$A$5:$A$8,0))),""),"")</f>
        <v/>
      </c>
      <c r="AF365" s="31">
        <f>IF(ISNUMBER(AE365),IF(AE365&gt;0,MAX(-3,MIN(3,(N365-AD365)/AE365)),0),"")</f>
        <v/>
      </c>
      <c r="AG365" s="30">
        <f>IF(Y365=1,COUNTIFS($B$5:$B$404,B365,$Y$5:$Y$404,1),"")</f>
        <v/>
      </c>
      <c r="AH365" s="30">
        <f>IF(Y365=1,IFERROR(IF(ISNUMBER(INDEX('分群統計'!$G$20:$G$59,MATCH(B365,'分群統計'!$A$20:$A$59,0))),INDEX('分群統計'!$H$20:$H$59,MATCH(B365,'分群統計'!$A$20:$A$59,0))+INDEX('分群統計'!$G$20:$G$59,MATCH(B365,'分群統計'!$A$20:$A$59,0))*AU365,""),""),"")</f>
        <v/>
      </c>
      <c r="AI365" s="34">
        <f>IF(ISNUMBER(AH365),N365-AH365,"")</f>
        <v/>
      </c>
      <c r="AJ365" s="30">
        <f>IF(Y365=1,IFERROR(IF(ISNUMBER(INDEX('分群統計'!$G$5:$G$8,MATCH(X365,'分群統計'!$A$5:$A$8,0))),INDEX('分群統計'!$H$5:$H$8,MATCH(X365,'分群統計'!$A$5:$A$8,0))+INDEX('分群統計'!$G$5:$G$8,MATCH(X365,'分群統計'!$A$5:$A$8,0))*AU365,""),""),"")</f>
        <v/>
      </c>
      <c r="AK365" s="34">
        <f>IF(ISNUMBER(AJ365),N365-AJ365,"")</f>
        <v/>
      </c>
      <c r="AL365" s="21">
        <f>IF(ISNUMBER(AJ365),IF(AJ365&gt;0,AK365/AJ365,""),"")</f>
        <v/>
      </c>
      <c r="AM365" s="31">
        <f>IF(AY365&lt;&gt;1,"",IFERROR(IF(INDEX('分群統計'!$K$5:$K$8,MATCH(X365,'分群統計'!$A$5:$A$8,0))&lt;3,"",IF(INDEX('分群統計'!$M$5:$M$8,MATCH(X365,'分群統計'!$A$5:$A$8,0))&gt;0,MAX(-3,MIN(3,(AX365-INDEX('分群統計'!$L$5:$L$8,MATCH(X365,'分群統計'!$A$5:$A$8,0)))/INDEX('分群統計'!$M$5:$M$8,MATCH(X365,'分群統計'!$A$5:$A$8,0)))),0)),""))</f>
        <v/>
      </c>
      <c r="AN365" s="31">
        <f>IF(ISNUMBER(AB365),IF(Z365&gt;0,AB365/Z365*100,""),"")</f>
        <v/>
      </c>
      <c r="AO365" s="31">
        <f>IF(BA365&lt;&gt;1,"",IFERROR(IF(INDEX('分群統計'!$N$5:$N$8,MATCH(X365,'分群統計'!$A$5:$A$8,0))&lt;3,"",IF(INDEX('分群統計'!$P$5:$P$8,MATCH(X365,'分群統計'!$A$5:$A$8,0))&gt;0,MAX(-3,MIN(3,(AZ365-INDEX('分群統計'!$O$5:$O$8,MATCH(X365,'分群統計'!$A$5:$A$8,0)))/INDEX('分群統計'!$P$5:$P$8,MATCH(X365,'分群統計'!$A$5:$A$8,0)))),0)),""))</f>
        <v/>
      </c>
      <c r="AP365" s="31">
        <f>IF(BC365&lt;&gt;1,"",IFERROR(IF(INDEX('分群統計'!$Q$5:$Q$8,MATCH(X365,'分群統計'!$A$5:$A$8,0))&lt;3,"",IF(INDEX('分群統計'!$S$5:$S$8,MATCH(X365,'分群統計'!$A$5:$A$8,0))&gt;0,MAX(-3,MIN(3,(BB365-INDEX('分群統計'!$R$5:$R$8,MATCH(X365,'分群統計'!$A$5:$A$8,0)))/INDEX('分群統計'!$S$5:$S$8,MATCH(X365,'分群統計'!$A$5:$A$8,0)))),0)),""))</f>
        <v/>
      </c>
      <c r="AQ365" s="31">
        <f>IF(Y365=1,(IF(ISNUMBER(AF365),AF365,0)*'參數'!$B$13+IF(ISNUMBER(AM365),AM365,0)*'參數'!$B$14+IF(ISNUMBER(AO365),AO365,0)*'參數'!$B$15+IF(ISNUMBER(AP365),AP365,0)*'參數'!$B$16)/('參數'!$B$13+'參數'!$B$14+'參數'!$B$15+'參數'!$B$16),"")</f>
        <v/>
      </c>
      <c r="AR365" s="35">
        <f>IF(Y365=1,(SUMPRODUCT(($X$5:$X$404=X365)*($Y$5:$Y$404=1)*($BD$5:$BD$404&gt;BD365))+1)/COUNTIFS($X$5:$X$404,X365,$Y$5:$Y$404,1),"")</f>
        <v/>
      </c>
      <c r="AS365" s="8">
        <f>IF(ISNUMBER(AR365),IF(AR365&lt;='參數'!$B$18,"加碼候選",IF(AR365&gt;'參數'!$B$19,"減碼候選","")),"")</f>
        <v/>
      </c>
      <c r="AT365" s="7">
        <f>IF(Y365=1,N365,0)</f>
        <v/>
      </c>
      <c r="AU365" s="7">
        <f>IF(Y365=1,LN(O365),0)</f>
        <v/>
      </c>
      <c r="AV365" s="36">
        <f>IF(Y365=1,IF(ISNUMBER(F365),F365,0),0)</f>
        <v/>
      </c>
      <c r="AW365" s="7">
        <f>IF(Y365=1,Z365,0)</f>
        <v/>
      </c>
      <c r="AX365" s="7">
        <f>IF(Y365=1,IF(ISNUMBER(AL365),AL365,0),0)</f>
        <v/>
      </c>
      <c r="AY365" s="7">
        <f>IF(Y365=1,IF(ISNUMBER(AL365),1,0),0)</f>
        <v/>
      </c>
      <c r="AZ365" s="7">
        <f>IF(Y365=1,IF(ISNUMBER(AN365),AN365,0),0)</f>
        <v/>
      </c>
      <c r="BA365" s="7">
        <f>IF(Y365=1,IF(ISNUMBER(AN365),1,0),0)</f>
        <v/>
      </c>
      <c r="BB365" s="7">
        <f>IF(Y365=1,IF(ISNUMBER(T365),T365,0),0)</f>
        <v/>
      </c>
      <c r="BC365" s="7">
        <f>IF(Y365=1,IF(ISNUMBER(T365),1,0),0)</f>
        <v/>
      </c>
      <c r="BD365" s="7">
        <f>IF(Y365=1,AQ365+ROW()/1E9,-1E9)</f>
        <v/>
      </c>
      <c r="BE365" s="7">
        <f>IF(Y365=1,AQ365+ROW()/1E9,1E9)</f>
        <v/>
      </c>
    </row>
    <row r="366">
      <c r="A366" s="16" t="n"/>
      <c r="B366" s="8">
        <f>IF($A366="","",BDP($A366,B$3))</f>
        <v/>
      </c>
      <c r="C366" s="8">
        <f>IF($A366="","",BDP($A366,C$3))</f>
        <v/>
      </c>
      <c r="D366" s="28">
        <f>IF($A366="","",BDP($A366,D$3))</f>
        <v/>
      </c>
      <c r="E366" s="29">
        <f>IF($A366="","",BDP($A366,E$3))</f>
        <v/>
      </c>
      <c r="F366" s="17">
        <f>IF($A366="","",BDP($A366,F$3))</f>
        <v/>
      </c>
      <c r="G366" s="8">
        <f>IF($A366="","",BDP($A366,G$3))</f>
        <v/>
      </c>
      <c r="H366" s="8">
        <f>IF($A366="","",BDP($A366,H$3))</f>
        <v/>
      </c>
      <c r="I366" s="8">
        <f>IF($A366="","",BDP($A366,I$3))</f>
        <v/>
      </c>
      <c r="J366" s="8">
        <f>IF($A366="","",BDP($A366,J$3))</f>
        <v/>
      </c>
      <c r="K366" s="8">
        <f>IF($A366="","",BDP($A366,K$3))</f>
        <v/>
      </c>
      <c r="L366" s="28">
        <f>IF($A366="","",BDP($A366,L$3))</f>
        <v/>
      </c>
      <c r="M366" s="28">
        <f>IF($A366="","",BDP($A366,M$3))</f>
        <v/>
      </c>
      <c r="N366" s="30">
        <f>IF($A366="","",BDP($A366,N$3))</f>
        <v/>
      </c>
      <c r="O366" s="31">
        <f>IF($A366="","",BDP($A366,O$3))</f>
        <v/>
      </c>
      <c r="P366" s="30">
        <f>IF($A366="","",BDH($A366,$N$3,'參數'!$B$5,'參數'!$B$5,"Days=A","Fill=P","Dates=H"))</f>
        <v/>
      </c>
      <c r="Q366" s="30">
        <f>IF($A366="","",BDH($A366,$N$3,'參數'!$B$6,'參數'!$B$6,"Days=A","Fill=P","Dates=H"))</f>
        <v/>
      </c>
      <c r="R366" s="30">
        <f>IF($A366="","",BDH($A366,$N$3,'參數'!$B$7,'參數'!$B$7,"Days=A","Fill=P","Dates=H"))</f>
        <v/>
      </c>
      <c r="S366" s="32">
        <f>IF($A366="","",IFERROR(INDEX('發行人'!$A$5:$A$44,MATCH(B366,'發行人'!$D$5:$D$44,0)),"未對應"))</f>
        <v/>
      </c>
      <c r="T366" s="24">
        <f>IF($A366="","",IFERROR(INDEX('發行人'!$G$5:$G$44,MATCH(B366,'發行人'!$D$5:$D$44,0))+0,""))</f>
        <v/>
      </c>
      <c r="U366" s="18">
        <f>IF(ISNUMBER(E366),YEARFRAC('參數'!$B$4,E366),"")</f>
        <v/>
      </c>
      <c r="V366" s="8">
        <f>IF(U366="","",IF(U366&lt;3,"1-3y",IF(U366&lt;5,"3-5y",IF(U366&lt;7,"5-7y",IF(U366&lt;10,"7-10y","10y+")))))</f>
        <v/>
      </c>
      <c r="W366" s="30">
        <f>IF($A366="","",IFERROR(INDEX('參數'!$B$24:$B$45,MATCH(G366,'參數'!$A$24:$A$45,0)),""))</f>
        <v/>
      </c>
      <c r="X366" s="8">
        <f>IF($A366="","",IFERROR(INDEX('參數'!$C$24:$C$45,MATCH(G366,'參數'!$A$24:$A$45,0)),""))</f>
        <v/>
      </c>
      <c r="Y366" s="30">
        <f>IF(AND(ISNUMBER(N366),ISNUMBER(O366),ISNUMBER(U366)),IF(AND(O366&gt;0,X366&lt;&gt;""),1,0),0)</f>
        <v/>
      </c>
      <c r="Z366" s="17">
        <f>IF(Y366=1,O366*N366,"")</f>
        <v/>
      </c>
      <c r="AA366" s="33">
        <f>IF(Y366=1,IF(ISNUMBER(Q366),N366-Q366,""),"")</f>
        <v/>
      </c>
      <c r="AB366" s="33">
        <f>IF(Y366=1,IF(AND(ISNUMBER(P366),ISNUMBER(R366)),R366*5/12-O366*(P366-R366),""),"")</f>
        <v/>
      </c>
      <c r="AC366" s="30">
        <f>IF(Y366=1,COUNTIFS($X$5:$X$404,X366,$V$5:$V$404,V366,$Y$5:$Y$404,1),"")</f>
        <v/>
      </c>
      <c r="AD366" s="30">
        <f>IF(Y366=1,IFERROR(IF(AC366&gt;='參數'!$B$9,INDEX('分群統計'!$G$13:$K$16,MATCH(X366,'分群統計'!$A$13:$A$16,0),MATCH(V366,'分群統計'!$G$12:$K$12,0)),INDEX('分群統計'!$I$5:$I$8,MATCH(X366,'分群統計'!$A$5:$A$8,0))),""),"")</f>
        <v/>
      </c>
      <c r="AE366" s="18">
        <f>IF(Y366=1,IFERROR(IF(AC366&gt;='參數'!$B$9,INDEX('分群統計'!$L$13:$P$16,MATCH(X366,'分群統計'!$A$13:$A$16,0),MATCH(V366,'分群統計'!$L$12:$P$12,0)),INDEX('分群統計'!$J$5:$J$8,MATCH(X366,'分群統計'!$A$5:$A$8,0))),""),"")</f>
        <v/>
      </c>
      <c r="AF366" s="31">
        <f>IF(ISNUMBER(AE366),IF(AE366&gt;0,MAX(-3,MIN(3,(N366-AD366)/AE366)),0),"")</f>
        <v/>
      </c>
      <c r="AG366" s="30">
        <f>IF(Y366=1,COUNTIFS($B$5:$B$404,B366,$Y$5:$Y$404,1),"")</f>
        <v/>
      </c>
      <c r="AH366" s="30">
        <f>IF(Y366=1,IFERROR(IF(ISNUMBER(INDEX('分群統計'!$G$20:$G$59,MATCH(B366,'分群統計'!$A$20:$A$59,0))),INDEX('分群統計'!$H$20:$H$59,MATCH(B366,'分群統計'!$A$20:$A$59,0))+INDEX('分群統計'!$G$20:$G$59,MATCH(B366,'分群統計'!$A$20:$A$59,0))*AU366,""),""),"")</f>
        <v/>
      </c>
      <c r="AI366" s="34">
        <f>IF(ISNUMBER(AH366),N366-AH366,"")</f>
        <v/>
      </c>
      <c r="AJ366" s="30">
        <f>IF(Y366=1,IFERROR(IF(ISNUMBER(INDEX('分群統計'!$G$5:$G$8,MATCH(X366,'分群統計'!$A$5:$A$8,0))),INDEX('分群統計'!$H$5:$H$8,MATCH(X366,'分群統計'!$A$5:$A$8,0))+INDEX('分群統計'!$G$5:$G$8,MATCH(X366,'分群統計'!$A$5:$A$8,0))*AU366,""),""),"")</f>
        <v/>
      </c>
      <c r="AK366" s="34">
        <f>IF(ISNUMBER(AJ366),N366-AJ366,"")</f>
        <v/>
      </c>
      <c r="AL366" s="21">
        <f>IF(ISNUMBER(AJ366),IF(AJ366&gt;0,AK366/AJ366,""),"")</f>
        <v/>
      </c>
      <c r="AM366" s="31">
        <f>IF(AY366&lt;&gt;1,"",IFERROR(IF(INDEX('分群統計'!$K$5:$K$8,MATCH(X366,'分群統計'!$A$5:$A$8,0))&lt;3,"",IF(INDEX('分群統計'!$M$5:$M$8,MATCH(X366,'分群統計'!$A$5:$A$8,0))&gt;0,MAX(-3,MIN(3,(AX366-INDEX('分群統計'!$L$5:$L$8,MATCH(X366,'分群統計'!$A$5:$A$8,0)))/INDEX('分群統計'!$M$5:$M$8,MATCH(X366,'分群統計'!$A$5:$A$8,0)))),0)),""))</f>
        <v/>
      </c>
      <c r="AN366" s="31">
        <f>IF(ISNUMBER(AB366),IF(Z366&gt;0,AB366/Z366*100,""),"")</f>
        <v/>
      </c>
      <c r="AO366" s="31">
        <f>IF(BA366&lt;&gt;1,"",IFERROR(IF(INDEX('分群統計'!$N$5:$N$8,MATCH(X366,'分群統計'!$A$5:$A$8,0))&lt;3,"",IF(INDEX('分群統計'!$P$5:$P$8,MATCH(X366,'分群統計'!$A$5:$A$8,0))&gt;0,MAX(-3,MIN(3,(AZ366-INDEX('分群統計'!$O$5:$O$8,MATCH(X366,'分群統計'!$A$5:$A$8,0)))/INDEX('分群統計'!$P$5:$P$8,MATCH(X366,'分群統計'!$A$5:$A$8,0)))),0)),""))</f>
        <v/>
      </c>
      <c r="AP366" s="31">
        <f>IF(BC366&lt;&gt;1,"",IFERROR(IF(INDEX('分群統計'!$Q$5:$Q$8,MATCH(X366,'分群統計'!$A$5:$A$8,0))&lt;3,"",IF(INDEX('分群統計'!$S$5:$S$8,MATCH(X366,'分群統計'!$A$5:$A$8,0))&gt;0,MAX(-3,MIN(3,(BB366-INDEX('分群統計'!$R$5:$R$8,MATCH(X366,'分群統計'!$A$5:$A$8,0)))/INDEX('分群統計'!$S$5:$S$8,MATCH(X366,'分群統計'!$A$5:$A$8,0)))),0)),""))</f>
        <v/>
      </c>
      <c r="AQ366" s="31">
        <f>IF(Y366=1,(IF(ISNUMBER(AF366),AF366,0)*'參數'!$B$13+IF(ISNUMBER(AM366),AM366,0)*'參數'!$B$14+IF(ISNUMBER(AO366),AO366,0)*'參數'!$B$15+IF(ISNUMBER(AP366),AP366,0)*'參數'!$B$16)/('參數'!$B$13+'參數'!$B$14+'參數'!$B$15+'參數'!$B$16),"")</f>
        <v/>
      </c>
      <c r="AR366" s="35">
        <f>IF(Y366=1,(SUMPRODUCT(($X$5:$X$404=X366)*($Y$5:$Y$404=1)*($BD$5:$BD$404&gt;BD366))+1)/COUNTIFS($X$5:$X$404,X366,$Y$5:$Y$404,1),"")</f>
        <v/>
      </c>
      <c r="AS366" s="8">
        <f>IF(ISNUMBER(AR366),IF(AR366&lt;='參數'!$B$18,"加碼候選",IF(AR366&gt;'參數'!$B$19,"減碼候選","")),"")</f>
        <v/>
      </c>
      <c r="AT366" s="7">
        <f>IF(Y366=1,N366,0)</f>
        <v/>
      </c>
      <c r="AU366" s="7">
        <f>IF(Y366=1,LN(O366),0)</f>
        <v/>
      </c>
      <c r="AV366" s="36">
        <f>IF(Y366=1,IF(ISNUMBER(F366),F366,0),0)</f>
        <v/>
      </c>
      <c r="AW366" s="7">
        <f>IF(Y366=1,Z366,0)</f>
        <v/>
      </c>
      <c r="AX366" s="7">
        <f>IF(Y366=1,IF(ISNUMBER(AL366),AL366,0),0)</f>
        <v/>
      </c>
      <c r="AY366" s="7">
        <f>IF(Y366=1,IF(ISNUMBER(AL366),1,0),0)</f>
        <v/>
      </c>
      <c r="AZ366" s="7">
        <f>IF(Y366=1,IF(ISNUMBER(AN366),AN366,0),0)</f>
        <v/>
      </c>
      <c r="BA366" s="7">
        <f>IF(Y366=1,IF(ISNUMBER(AN366),1,0),0)</f>
        <v/>
      </c>
      <c r="BB366" s="7">
        <f>IF(Y366=1,IF(ISNUMBER(T366),T366,0),0)</f>
        <v/>
      </c>
      <c r="BC366" s="7">
        <f>IF(Y366=1,IF(ISNUMBER(T366),1,0),0)</f>
        <v/>
      </c>
      <c r="BD366" s="7">
        <f>IF(Y366=1,AQ366+ROW()/1E9,-1E9)</f>
        <v/>
      </c>
      <c r="BE366" s="7">
        <f>IF(Y366=1,AQ366+ROW()/1E9,1E9)</f>
        <v/>
      </c>
    </row>
    <row r="367">
      <c r="A367" s="16" t="n"/>
      <c r="B367" s="8">
        <f>IF($A367="","",BDP($A367,B$3))</f>
        <v/>
      </c>
      <c r="C367" s="8">
        <f>IF($A367="","",BDP($A367,C$3))</f>
        <v/>
      </c>
      <c r="D367" s="28">
        <f>IF($A367="","",BDP($A367,D$3))</f>
        <v/>
      </c>
      <c r="E367" s="29">
        <f>IF($A367="","",BDP($A367,E$3))</f>
        <v/>
      </c>
      <c r="F367" s="17">
        <f>IF($A367="","",BDP($A367,F$3))</f>
        <v/>
      </c>
      <c r="G367" s="8">
        <f>IF($A367="","",BDP($A367,G$3))</f>
        <v/>
      </c>
      <c r="H367" s="8">
        <f>IF($A367="","",BDP($A367,H$3))</f>
        <v/>
      </c>
      <c r="I367" s="8">
        <f>IF($A367="","",BDP($A367,I$3))</f>
        <v/>
      </c>
      <c r="J367" s="8">
        <f>IF($A367="","",BDP($A367,J$3))</f>
        <v/>
      </c>
      <c r="K367" s="8">
        <f>IF($A367="","",BDP($A367,K$3))</f>
        <v/>
      </c>
      <c r="L367" s="28">
        <f>IF($A367="","",BDP($A367,L$3))</f>
        <v/>
      </c>
      <c r="M367" s="28">
        <f>IF($A367="","",BDP($A367,M$3))</f>
        <v/>
      </c>
      <c r="N367" s="30">
        <f>IF($A367="","",BDP($A367,N$3))</f>
        <v/>
      </c>
      <c r="O367" s="31">
        <f>IF($A367="","",BDP($A367,O$3))</f>
        <v/>
      </c>
      <c r="P367" s="30">
        <f>IF($A367="","",BDH($A367,$N$3,'參數'!$B$5,'參數'!$B$5,"Days=A","Fill=P","Dates=H"))</f>
        <v/>
      </c>
      <c r="Q367" s="30">
        <f>IF($A367="","",BDH($A367,$N$3,'參數'!$B$6,'參數'!$B$6,"Days=A","Fill=P","Dates=H"))</f>
        <v/>
      </c>
      <c r="R367" s="30">
        <f>IF($A367="","",BDH($A367,$N$3,'參數'!$B$7,'參數'!$B$7,"Days=A","Fill=P","Dates=H"))</f>
        <v/>
      </c>
      <c r="S367" s="32">
        <f>IF($A367="","",IFERROR(INDEX('發行人'!$A$5:$A$44,MATCH(B367,'發行人'!$D$5:$D$44,0)),"未對應"))</f>
        <v/>
      </c>
      <c r="T367" s="24">
        <f>IF($A367="","",IFERROR(INDEX('發行人'!$G$5:$G$44,MATCH(B367,'發行人'!$D$5:$D$44,0))+0,""))</f>
        <v/>
      </c>
      <c r="U367" s="18">
        <f>IF(ISNUMBER(E367),YEARFRAC('參數'!$B$4,E367),"")</f>
        <v/>
      </c>
      <c r="V367" s="8">
        <f>IF(U367="","",IF(U367&lt;3,"1-3y",IF(U367&lt;5,"3-5y",IF(U367&lt;7,"5-7y",IF(U367&lt;10,"7-10y","10y+")))))</f>
        <v/>
      </c>
      <c r="W367" s="30">
        <f>IF($A367="","",IFERROR(INDEX('參數'!$B$24:$B$45,MATCH(G367,'參數'!$A$24:$A$45,0)),""))</f>
        <v/>
      </c>
      <c r="X367" s="8">
        <f>IF($A367="","",IFERROR(INDEX('參數'!$C$24:$C$45,MATCH(G367,'參數'!$A$24:$A$45,0)),""))</f>
        <v/>
      </c>
      <c r="Y367" s="30">
        <f>IF(AND(ISNUMBER(N367),ISNUMBER(O367),ISNUMBER(U367)),IF(AND(O367&gt;0,X367&lt;&gt;""),1,0),0)</f>
        <v/>
      </c>
      <c r="Z367" s="17">
        <f>IF(Y367=1,O367*N367,"")</f>
        <v/>
      </c>
      <c r="AA367" s="33">
        <f>IF(Y367=1,IF(ISNUMBER(Q367),N367-Q367,""),"")</f>
        <v/>
      </c>
      <c r="AB367" s="33">
        <f>IF(Y367=1,IF(AND(ISNUMBER(P367),ISNUMBER(R367)),R367*5/12-O367*(P367-R367),""),"")</f>
        <v/>
      </c>
      <c r="AC367" s="30">
        <f>IF(Y367=1,COUNTIFS($X$5:$X$404,X367,$V$5:$V$404,V367,$Y$5:$Y$404,1),"")</f>
        <v/>
      </c>
      <c r="AD367" s="30">
        <f>IF(Y367=1,IFERROR(IF(AC367&gt;='參數'!$B$9,INDEX('分群統計'!$G$13:$K$16,MATCH(X367,'分群統計'!$A$13:$A$16,0),MATCH(V367,'分群統計'!$G$12:$K$12,0)),INDEX('分群統計'!$I$5:$I$8,MATCH(X367,'分群統計'!$A$5:$A$8,0))),""),"")</f>
        <v/>
      </c>
      <c r="AE367" s="18">
        <f>IF(Y367=1,IFERROR(IF(AC367&gt;='參數'!$B$9,INDEX('分群統計'!$L$13:$P$16,MATCH(X367,'分群統計'!$A$13:$A$16,0),MATCH(V367,'分群統計'!$L$12:$P$12,0)),INDEX('分群統計'!$J$5:$J$8,MATCH(X367,'分群統計'!$A$5:$A$8,0))),""),"")</f>
        <v/>
      </c>
      <c r="AF367" s="31">
        <f>IF(ISNUMBER(AE367),IF(AE367&gt;0,MAX(-3,MIN(3,(N367-AD367)/AE367)),0),"")</f>
        <v/>
      </c>
      <c r="AG367" s="30">
        <f>IF(Y367=1,COUNTIFS($B$5:$B$404,B367,$Y$5:$Y$404,1),"")</f>
        <v/>
      </c>
      <c r="AH367" s="30">
        <f>IF(Y367=1,IFERROR(IF(ISNUMBER(INDEX('分群統計'!$G$20:$G$59,MATCH(B367,'分群統計'!$A$20:$A$59,0))),INDEX('分群統計'!$H$20:$H$59,MATCH(B367,'分群統計'!$A$20:$A$59,0))+INDEX('分群統計'!$G$20:$G$59,MATCH(B367,'分群統計'!$A$20:$A$59,0))*AU367,""),""),"")</f>
        <v/>
      </c>
      <c r="AI367" s="34">
        <f>IF(ISNUMBER(AH367),N367-AH367,"")</f>
        <v/>
      </c>
      <c r="AJ367" s="30">
        <f>IF(Y367=1,IFERROR(IF(ISNUMBER(INDEX('分群統計'!$G$5:$G$8,MATCH(X367,'分群統計'!$A$5:$A$8,0))),INDEX('分群統計'!$H$5:$H$8,MATCH(X367,'分群統計'!$A$5:$A$8,0))+INDEX('分群統計'!$G$5:$G$8,MATCH(X367,'分群統計'!$A$5:$A$8,0))*AU367,""),""),"")</f>
        <v/>
      </c>
      <c r="AK367" s="34">
        <f>IF(ISNUMBER(AJ367),N367-AJ367,"")</f>
        <v/>
      </c>
      <c r="AL367" s="21">
        <f>IF(ISNUMBER(AJ367),IF(AJ367&gt;0,AK367/AJ367,""),"")</f>
        <v/>
      </c>
      <c r="AM367" s="31">
        <f>IF(AY367&lt;&gt;1,"",IFERROR(IF(INDEX('分群統計'!$K$5:$K$8,MATCH(X367,'分群統計'!$A$5:$A$8,0))&lt;3,"",IF(INDEX('分群統計'!$M$5:$M$8,MATCH(X367,'分群統計'!$A$5:$A$8,0))&gt;0,MAX(-3,MIN(3,(AX367-INDEX('分群統計'!$L$5:$L$8,MATCH(X367,'分群統計'!$A$5:$A$8,0)))/INDEX('分群統計'!$M$5:$M$8,MATCH(X367,'分群統計'!$A$5:$A$8,0)))),0)),""))</f>
        <v/>
      </c>
      <c r="AN367" s="31">
        <f>IF(ISNUMBER(AB367),IF(Z367&gt;0,AB367/Z367*100,""),"")</f>
        <v/>
      </c>
      <c r="AO367" s="31">
        <f>IF(BA367&lt;&gt;1,"",IFERROR(IF(INDEX('分群統計'!$N$5:$N$8,MATCH(X367,'分群統計'!$A$5:$A$8,0))&lt;3,"",IF(INDEX('分群統計'!$P$5:$P$8,MATCH(X367,'分群統計'!$A$5:$A$8,0))&gt;0,MAX(-3,MIN(3,(AZ367-INDEX('分群統計'!$O$5:$O$8,MATCH(X367,'分群統計'!$A$5:$A$8,0)))/INDEX('分群統計'!$P$5:$P$8,MATCH(X367,'分群統計'!$A$5:$A$8,0)))),0)),""))</f>
        <v/>
      </c>
      <c r="AP367" s="31">
        <f>IF(BC367&lt;&gt;1,"",IFERROR(IF(INDEX('分群統計'!$Q$5:$Q$8,MATCH(X367,'分群統計'!$A$5:$A$8,0))&lt;3,"",IF(INDEX('分群統計'!$S$5:$S$8,MATCH(X367,'分群統計'!$A$5:$A$8,0))&gt;0,MAX(-3,MIN(3,(BB367-INDEX('分群統計'!$R$5:$R$8,MATCH(X367,'分群統計'!$A$5:$A$8,0)))/INDEX('分群統計'!$S$5:$S$8,MATCH(X367,'分群統計'!$A$5:$A$8,0)))),0)),""))</f>
        <v/>
      </c>
      <c r="AQ367" s="31">
        <f>IF(Y367=1,(IF(ISNUMBER(AF367),AF367,0)*'參數'!$B$13+IF(ISNUMBER(AM367),AM367,0)*'參數'!$B$14+IF(ISNUMBER(AO367),AO367,0)*'參數'!$B$15+IF(ISNUMBER(AP367),AP367,0)*'參數'!$B$16)/('參數'!$B$13+'參數'!$B$14+'參數'!$B$15+'參數'!$B$16),"")</f>
        <v/>
      </c>
      <c r="AR367" s="35">
        <f>IF(Y367=1,(SUMPRODUCT(($X$5:$X$404=X367)*($Y$5:$Y$404=1)*($BD$5:$BD$404&gt;BD367))+1)/COUNTIFS($X$5:$X$404,X367,$Y$5:$Y$404,1),"")</f>
        <v/>
      </c>
      <c r="AS367" s="8">
        <f>IF(ISNUMBER(AR367),IF(AR367&lt;='參數'!$B$18,"加碼候選",IF(AR367&gt;'參數'!$B$19,"減碼候選","")),"")</f>
        <v/>
      </c>
      <c r="AT367" s="7">
        <f>IF(Y367=1,N367,0)</f>
        <v/>
      </c>
      <c r="AU367" s="7">
        <f>IF(Y367=1,LN(O367),0)</f>
        <v/>
      </c>
      <c r="AV367" s="36">
        <f>IF(Y367=1,IF(ISNUMBER(F367),F367,0),0)</f>
        <v/>
      </c>
      <c r="AW367" s="7">
        <f>IF(Y367=1,Z367,0)</f>
        <v/>
      </c>
      <c r="AX367" s="7">
        <f>IF(Y367=1,IF(ISNUMBER(AL367),AL367,0),0)</f>
        <v/>
      </c>
      <c r="AY367" s="7">
        <f>IF(Y367=1,IF(ISNUMBER(AL367),1,0),0)</f>
        <v/>
      </c>
      <c r="AZ367" s="7">
        <f>IF(Y367=1,IF(ISNUMBER(AN367),AN367,0),0)</f>
        <v/>
      </c>
      <c r="BA367" s="7">
        <f>IF(Y367=1,IF(ISNUMBER(AN367),1,0),0)</f>
        <v/>
      </c>
      <c r="BB367" s="7">
        <f>IF(Y367=1,IF(ISNUMBER(T367),T367,0),0)</f>
        <v/>
      </c>
      <c r="BC367" s="7">
        <f>IF(Y367=1,IF(ISNUMBER(T367),1,0),0)</f>
        <v/>
      </c>
      <c r="BD367" s="7">
        <f>IF(Y367=1,AQ367+ROW()/1E9,-1E9)</f>
        <v/>
      </c>
      <c r="BE367" s="7">
        <f>IF(Y367=1,AQ367+ROW()/1E9,1E9)</f>
        <v/>
      </c>
    </row>
    <row r="368">
      <c r="A368" s="16" t="n"/>
      <c r="B368" s="8">
        <f>IF($A368="","",BDP($A368,B$3))</f>
        <v/>
      </c>
      <c r="C368" s="8">
        <f>IF($A368="","",BDP($A368,C$3))</f>
        <v/>
      </c>
      <c r="D368" s="28">
        <f>IF($A368="","",BDP($A368,D$3))</f>
        <v/>
      </c>
      <c r="E368" s="29">
        <f>IF($A368="","",BDP($A368,E$3))</f>
        <v/>
      </c>
      <c r="F368" s="17">
        <f>IF($A368="","",BDP($A368,F$3))</f>
        <v/>
      </c>
      <c r="G368" s="8">
        <f>IF($A368="","",BDP($A368,G$3))</f>
        <v/>
      </c>
      <c r="H368" s="8">
        <f>IF($A368="","",BDP($A368,H$3))</f>
        <v/>
      </c>
      <c r="I368" s="8">
        <f>IF($A368="","",BDP($A368,I$3))</f>
        <v/>
      </c>
      <c r="J368" s="8">
        <f>IF($A368="","",BDP($A368,J$3))</f>
        <v/>
      </c>
      <c r="K368" s="8">
        <f>IF($A368="","",BDP($A368,K$3))</f>
        <v/>
      </c>
      <c r="L368" s="28">
        <f>IF($A368="","",BDP($A368,L$3))</f>
        <v/>
      </c>
      <c r="M368" s="28">
        <f>IF($A368="","",BDP($A368,M$3))</f>
        <v/>
      </c>
      <c r="N368" s="30">
        <f>IF($A368="","",BDP($A368,N$3))</f>
        <v/>
      </c>
      <c r="O368" s="31">
        <f>IF($A368="","",BDP($A368,O$3))</f>
        <v/>
      </c>
      <c r="P368" s="30">
        <f>IF($A368="","",BDH($A368,$N$3,'參數'!$B$5,'參數'!$B$5,"Days=A","Fill=P","Dates=H"))</f>
        <v/>
      </c>
      <c r="Q368" s="30">
        <f>IF($A368="","",BDH($A368,$N$3,'參數'!$B$6,'參數'!$B$6,"Days=A","Fill=P","Dates=H"))</f>
        <v/>
      </c>
      <c r="R368" s="30">
        <f>IF($A368="","",BDH($A368,$N$3,'參數'!$B$7,'參數'!$B$7,"Days=A","Fill=P","Dates=H"))</f>
        <v/>
      </c>
      <c r="S368" s="32">
        <f>IF($A368="","",IFERROR(INDEX('發行人'!$A$5:$A$44,MATCH(B368,'發行人'!$D$5:$D$44,0)),"未對應"))</f>
        <v/>
      </c>
      <c r="T368" s="24">
        <f>IF($A368="","",IFERROR(INDEX('發行人'!$G$5:$G$44,MATCH(B368,'發行人'!$D$5:$D$44,0))+0,""))</f>
        <v/>
      </c>
      <c r="U368" s="18">
        <f>IF(ISNUMBER(E368),YEARFRAC('參數'!$B$4,E368),"")</f>
        <v/>
      </c>
      <c r="V368" s="8">
        <f>IF(U368="","",IF(U368&lt;3,"1-3y",IF(U368&lt;5,"3-5y",IF(U368&lt;7,"5-7y",IF(U368&lt;10,"7-10y","10y+")))))</f>
        <v/>
      </c>
      <c r="W368" s="30">
        <f>IF($A368="","",IFERROR(INDEX('參數'!$B$24:$B$45,MATCH(G368,'參數'!$A$24:$A$45,0)),""))</f>
        <v/>
      </c>
      <c r="X368" s="8">
        <f>IF($A368="","",IFERROR(INDEX('參數'!$C$24:$C$45,MATCH(G368,'參數'!$A$24:$A$45,0)),""))</f>
        <v/>
      </c>
      <c r="Y368" s="30">
        <f>IF(AND(ISNUMBER(N368),ISNUMBER(O368),ISNUMBER(U368)),IF(AND(O368&gt;0,X368&lt;&gt;""),1,0),0)</f>
        <v/>
      </c>
      <c r="Z368" s="17">
        <f>IF(Y368=1,O368*N368,"")</f>
        <v/>
      </c>
      <c r="AA368" s="33">
        <f>IF(Y368=1,IF(ISNUMBER(Q368),N368-Q368,""),"")</f>
        <v/>
      </c>
      <c r="AB368" s="33">
        <f>IF(Y368=1,IF(AND(ISNUMBER(P368),ISNUMBER(R368)),R368*5/12-O368*(P368-R368),""),"")</f>
        <v/>
      </c>
      <c r="AC368" s="30">
        <f>IF(Y368=1,COUNTIFS($X$5:$X$404,X368,$V$5:$V$404,V368,$Y$5:$Y$404,1),"")</f>
        <v/>
      </c>
      <c r="AD368" s="30">
        <f>IF(Y368=1,IFERROR(IF(AC368&gt;='參數'!$B$9,INDEX('分群統計'!$G$13:$K$16,MATCH(X368,'分群統計'!$A$13:$A$16,0),MATCH(V368,'分群統計'!$G$12:$K$12,0)),INDEX('分群統計'!$I$5:$I$8,MATCH(X368,'分群統計'!$A$5:$A$8,0))),""),"")</f>
        <v/>
      </c>
      <c r="AE368" s="18">
        <f>IF(Y368=1,IFERROR(IF(AC368&gt;='參數'!$B$9,INDEX('分群統計'!$L$13:$P$16,MATCH(X368,'分群統計'!$A$13:$A$16,0),MATCH(V368,'分群統計'!$L$12:$P$12,0)),INDEX('分群統計'!$J$5:$J$8,MATCH(X368,'分群統計'!$A$5:$A$8,0))),""),"")</f>
        <v/>
      </c>
      <c r="AF368" s="31">
        <f>IF(ISNUMBER(AE368),IF(AE368&gt;0,MAX(-3,MIN(3,(N368-AD368)/AE368)),0),"")</f>
        <v/>
      </c>
      <c r="AG368" s="30">
        <f>IF(Y368=1,COUNTIFS($B$5:$B$404,B368,$Y$5:$Y$404,1),"")</f>
        <v/>
      </c>
      <c r="AH368" s="30">
        <f>IF(Y368=1,IFERROR(IF(ISNUMBER(INDEX('分群統計'!$G$20:$G$59,MATCH(B368,'分群統計'!$A$20:$A$59,0))),INDEX('分群統計'!$H$20:$H$59,MATCH(B368,'分群統計'!$A$20:$A$59,0))+INDEX('分群統計'!$G$20:$G$59,MATCH(B368,'分群統計'!$A$20:$A$59,0))*AU368,""),""),"")</f>
        <v/>
      </c>
      <c r="AI368" s="34">
        <f>IF(ISNUMBER(AH368),N368-AH368,"")</f>
        <v/>
      </c>
      <c r="AJ368" s="30">
        <f>IF(Y368=1,IFERROR(IF(ISNUMBER(INDEX('分群統計'!$G$5:$G$8,MATCH(X368,'分群統計'!$A$5:$A$8,0))),INDEX('分群統計'!$H$5:$H$8,MATCH(X368,'分群統計'!$A$5:$A$8,0))+INDEX('分群統計'!$G$5:$G$8,MATCH(X368,'分群統計'!$A$5:$A$8,0))*AU368,""),""),"")</f>
        <v/>
      </c>
      <c r="AK368" s="34">
        <f>IF(ISNUMBER(AJ368),N368-AJ368,"")</f>
        <v/>
      </c>
      <c r="AL368" s="21">
        <f>IF(ISNUMBER(AJ368),IF(AJ368&gt;0,AK368/AJ368,""),"")</f>
        <v/>
      </c>
      <c r="AM368" s="31">
        <f>IF(AY368&lt;&gt;1,"",IFERROR(IF(INDEX('分群統計'!$K$5:$K$8,MATCH(X368,'分群統計'!$A$5:$A$8,0))&lt;3,"",IF(INDEX('分群統計'!$M$5:$M$8,MATCH(X368,'分群統計'!$A$5:$A$8,0))&gt;0,MAX(-3,MIN(3,(AX368-INDEX('分群統計'!$L$5:$L$8,MATCH(X368,'分群統計'!$A$5:$A$8,0)))/INDEX('分群統計'!$M$5:$M$8,MATCH(X368,'分群統計'!$A$5:$A$8,0)))),0)),""))</f>
        <v/>
      </c>
      <c r="AN368" s="31">
        <f>IF(ISNUMBER(AB368),IF(Z368&gt;0,AB368/Z368*100,""),"")</f>
        <v/>
      </c>
      <c r="AO368" s="31">
        <f>IF(BA368&lt;&gt;1,"",IFERROR(IF(INDEX('分群統計'!$N$5:$N$8,MATCH(X368,'分群統計'!$A$5:$A$8,0))&lt;3,"",IF(INDEX('分群統計'!$P$5:$P$8,MATCH(X368,'分群統計'!$A$5:$A$8,0))&gt;0,MAX(-3,MIN(3,(AZ368-INDEX('分群統計'!$O$5:$O$8,MATCH(X368,'分群統計'!$A$5:$A$8,0)))/INDEX('分群統計'!$P$5:$P$8,MATCH(X368,'分群統計'!$A$5:$A$8,0)))),0)),""))</f>
        <v/>
      </c>
      <c r="AP368" s="31">
        <f>IF(BC368&lt;&gt;1,"",IFERROR(IF(INDEX('分群統計'!$Q$5:$Q$8,MATCH(X368,'分群統計'!$A$5:$A$8,0))&lt;3,"",IF(INDEX('分群統計'!$S$5:$S$8,MATCH(X368,'分群統計'!$A$5:$A$8,0))&gt;0,MAX(-3,MIN(3,(BB368-INDEX('分群統計'!$R$5:$R$8,MATCH(X368,'分群統計'!$A$5:$A$8,0)))/INDEX('分群統計'!$S$5:$S$8,MATCH(X368,'分群統計'!$A$5:$A$8,0)))),0)),""))</f>
        <v/>
      </c>
      <c r="AQ368" s="31">
        <f>IF(Y368=1,(IF(ISNUMBER(AF368),AF368,0)*'參數'!$B$13+IF(ISNUMBER(AM368),AM368,0)*'參數'!$B$14+IF(ISNUMBER(AO368),AO368,0)*'參數'!$B$15+IF(ISNUMBER(AP368),AP368,0)*'參數'!$B$16)/('參數'!$B$13+'參數'!$B$14+'參數'!$B$15+'參數'!$B$16),"")</f>
        <v/>
      </c>
      <c r="AR368" s="35">
        <f>IF(Y368=1,(SUMPRODUCT(($X$5:$X$404=X368)*($Y$5:$Y$404=1)*($BD$5:$BD$404&gt;BD368))+1)/COUNTIFS($X$5:$X$404,X368,$Y$5:$Y$404,1),"")</f>
        <v/>
      </c>
      <c r="AS368" s="8">
        <f>IF(ISNUMBER(AR368),IF(AR368&lt;='參數'!$B$18,"加碼候選",IF(AR368&gt;'參數'!$B$19,"減碼候選","")),"")</f>
        <v/>
      </c>
      <c r="AT368" s="7">
        <f>IF(Y368=1,N368,0)</f>
        <v/>
      </c>
      <c r="AU368" s="7">
        <f>IF(Y368=1,LN(O368),0)</f>
        <v/>
      </c>
      <c r="AV368" s="36">
        <f>IF(Y368=1,IF(ISNUMBER(F368),F368,0),0)</f>
        <v/>
      </c>
      <c r="AW368" s="7">
        <f>IF(Y368=1,Z368,0)</f>
        <v/>
      </c>
      <c r="AX368" s="7">
        <f>IF(Y368=1,IF(ISNUMBER(AL368),AL368,0),0)</f>
        <v/>
      </c>
      <c r="AY368" s="7">
        <f>IF(Y368=1,IF(ISNUMBER(AL368),1,0),0)</f>
        <v/>
      </c>
      <c r="AZ368" s="7">
        <f>IF(Y368=1,IF(ISNUMBER(AN368),AN368,0),0)</f>
        <v/>
      </c>
      <c r="BA368" s="7">
        <f>IF(Y368=1,IF(ISNUMBER(AN368),1,0),0)</f>
        <v/>
      </c>
      <c r="BB368" s="7">
        <f>IF(Y368=1,IF(ISNUMBER(T368),T368,0),0)</f>
        <v/>
      </c>
      <c r="BC368" s="7">
        <f>IF(Y368=1,IF(ISNUMBER(T368),1,0),0)</f>
        <v/>
      </c>
      <c r="BD368" s="7">
        <f>IF(Y368=1,AQ368+ROW()/1E9,-1E9)</f>
        <v/>
      </c>
      <c r="BE368" s="7">
        <f>IF(Y368=1,AQ368+ROW()/1E9,1E9)</f>
        <v/>
      </c>
    </row>
    <row r="369">
      <c r="A369" s="16" t="n"/>
      <c r="B369" s="8">
        <f>IF($A369="","",BDP($A369,B$3))</f>
        <v/>
      </c>
      <c r="C369" s="8">
        <f>IF($A369="","",BDP($A369,C$3))</f>
        <v/>
      </c>
      <c r="D369" s="28">
        <f>IF($A369="","",BDP($A369,D$3))</f>
        <v/>
      </c>
      <c r="E369" s="29">
        <f>IF($A369="","",BDP($A369,E$3))</f>
        <v/>
      </c>
      <c r="F369" s="17">
        <f>IF($A369="","",BDP($A369,F$3))</f>
        <v/>
      </c>
      <c r="G369" s="8">
        <f>IF($A369="","",BDP($A369,G$3))</f>
        <v/>
      </c>
      <c r="H369" s="8">
        <f>IF($A369="","",BDP($A369,H$3))</f>
        <v/>
      </c>
      <c r="I369" s="8">
        <f>IF($A369="","",BDP($A369,I$3))</f>
        <v/>
      </c>
      <c r="J369" s="8">
        <f>IF($A369="","",BDP($A369,J$3))</f>
        <v/>
      </c>
      <c r="K369" s="8">
        <f>IF($A369="","",BDP($A369,K$3))</f>
        <v/>
      </c>
      <c r="L369" s="28">
        <f>IF($A369="","",BDP($A369,L$3))</f>
        <v/>
      </c>
      <c r="M369" s="28">
        <f>IF($A369="","",BDP($A369,M$3))</f>
        <v/>
      </c>
      <c r="N369" s="30">
        <f>IF($A369="","",BDP($A369,N$3))</f>
        <v/>
      </c>
      <c r="O369" s="31">
        <f>IF($A369="","",BDP($A369,O$3))</f>
        <v/>
      </c>
      <c r="P369" s="30">
        <f>IF($A369="","",BDH($A369,$N$3,'參數'!$B$5,'參數'!$B$5,"Days=A","Fill=P","Dates=H"))</f>
        <v/>
      </c>
      <c r="Q369" s="30">
        <f>IF($A369="","",BDH($A369,$N$3,'參數'!$B$6,'參數'!$B$6,"Days=A","Fill=P","Dates=H"))</f>
        <v/>
      </c>
      <c r="R369" s="30">
        <f>IF($A369="","",BDH($A369,$N$3,'參數'!$B$7,'參數'!$B$7,"Days=A","Fill=P","Dates=H"))</f>
        <v/>
      </c>
      <c r="S369" s="32">
        <f>IF($A369="","",IFERROR(INDEX('發行人'!$A$5:$A$44,MATCH(B369,'發行人'!$D$5:$D$44,0)),"未對應"))</f>
        <v/>
      </c>
      <c r="T369" s="24">
        <f>IF($A369="","",IFERROR(INDEX('發行人'!$G$5:$G$44,MATCH(B369,'發行人'!$D$5:$D$44,0))+0,""))</f>
        <v/>
      </c>
      <c r="U369" s="18">
        <f>IF(ISNUMBER(E369),YEARFRAC('參數'!$B$4,E369),"")</f>
        <v/>
      </c>
      <c r="V369" s="8">
        <f>IF(U369="","",IF(U369&lt;3,"1-3y",IF(U369&lt;5,"3-5y",IF(U369&lt;7,"5-7y",IF(U369&lt;10,"7-10y","10y+")))))</f>
        <v/>
      </c>
      <c r="W369" s="30">
        <f>IF($A369="","",IFERROR(INDEX('參數'!$B$24:$B$45,MATCH(G369,'參數'!$A$24:$A$45,0)),""))</f>
        <v/>
      </c>
      <c r="X369" s="8">
        <f>IF($A369="","",IFERROR(INDEX('參數'!$C$24:$C$45,MATCH(G369,'參數'!$A$24:$A$45,0)),""))</f>
        <v/>
      </c>
      <c r="Y369" s="30">
        <f>IF(AND(ISNUMBER(N369),ISNUMBER(O369),ISNUMBER(U369)),IF(AND(O369&gt;0,X369&lt;&gt;""),1,0),0)</f>
        <v/>
      </c>
      <c r="Z369" s="17">
        <f>IF(Y369=1,O369*N369,"")</f>
        <v/>
      </c>
      <c r="AA369" s="33">
        <f>IF(Y369=1,IF(ISNUMBER(Q369),N369-Q369,""),"")</f>
        <v/>
      </c>
      <c r="AB369" s="33">
        <f>IF(Y369=1,IF(AND(ISNUMBER(P369),ISNUMBER(R369)),R369*5/12-O369*(P369-R369),""),"")</f>
        <v/>
      </c>
      <c r="AC369" s="30">
        <f>IF(Y369=1,COUNTIFS($X$5:$X$404,X369,$V$5:$V$404,V369,$Y$5:$Y$404,1),"")</f>
        <v/>
      </c>
      <c r="AD369" s="30">
        <f>IF(Y369=1,IFERROR(IF(AC369&gt;='參數'!$B$9,INDEX('分群統計'!$G$13:$K$16,MATCH(X369,'分群統計'!$A$13:$A$16,0),MATCH(V369,'分群統計'!$G$12:$K$12,0)),INDEX('分群統計'!$I$5:$I$8,MATCH(X369,'分群統計'!$A$5:$A$8,0))),""),"")</f>
        <v/>
      </c>
      <c r="AE369" s="18">
        <f>IF(Y369=1,IFERROR(IF(AC369&gt;='參數'!$B$9,INDEX('分群統計'!$L$13:$P$16,MATCH(X369,'分群統計'!$A$13:$A$16,0),MATCH(V369,'分群統計'!$L$12:$P$12,0)),INDEX('分群統計'!$J$5:$J$8,MATCH(X369,'分群統計'!$A$5:$A$8,0))),""),"")</f>
        <v/>
      </c>
      <c r="AF369" s="31">
        <f>IF(ISNUMBER(AE369),IF(AE369&gt;0,MAX(-3,MIN(3,(N369-AD369)/AE369)),0),"")</f>
        <v/>
      </c>
      <c r="AG369" s="30">
        <f>IF(Y369=1,COUNTIFS($B$5:$B$404,B369,$Y$5:$Y$404,1),"")</f>
        <v/>
      </c>
      <c r="AH369" s="30">
        <f>IF(Y369=1,IFERROR(IF(ISNUMBER(INDEX('分群統計'!$G$20:$G$59,MATCH(B369,'分群統計'!$A$20:$A$59,0))),INDEX('分群統計'!$H$20:$H$59,MATCH(B369,'分群統計'!$A$20:$A$59,0))+INDEX('分群統計'!$G$20:$G$59,MATCH(B369,'分群統計'!$A$20:$A$59,0))*AU369,""),""),"")</f>
        <v/>
      </c>
      <c r="AI369" s="34">
        <f>IF(ISNUMBER(AH369),N369-AH369,"")</f>
        <v/>
      </c>
      <c r="AJ369" s="30">
        <f>IF(Y369=1,IFERROR(IF(ISNUMBER(INDEX('分群統計'!$G$5:$G$8,MATCH(X369,'分群統計'!$A$5:$A$8,0))),INDEX('分群統計'!$H$5:$H$8,MATCH(X369,'分群統計'!$A$5:$A$8,0))+INDEX('分群統計'!$G$5:$G$8,MATCH(X369,'分群統計'!$A$5:$A$8,0))*AU369,""),""),"")</f>
        <v/>
      </c>
      <c r="AK369" s="34">
        <f>IF(ISNUMBER(AJ369),N369-AJ369,"")</f>
        <v/>
      </c>
      <c r="AL369" s="21">
        <f>IF(ISNUMBER(AJ369),IF(AJ369&gt;0,AK369/AJ369,""),"")</f>
        <v/>
      </c>
      <c r="AM369" s="31">
        <f>IF(AY369&lt;&gt;1,"",IFERROR(IF(INDEX('分群統計'!$K$5:$K$8,MATCH(X369,'分群統計'!$A$5:$A$8,0))&lt;3,"",IF(INDEX('分群統計'!$M$5:$M$8,MATCH(X369,'分群統計'!$A$5:$A$8,0))&gt;0,MAX(-3,MIN(3,(AX369-INDEX('分群統計'!$L$5:$L$8,MATCH(X369,'分群統計'!$A$5:$A$8,0)))/INDEX('分群統計'!$M$5:$M$8,MATCH(X369,'分群統計'!$A$5:$A$8,0)))),0)),""))</f>
        <v/>
      </c>
      <c r="AN369" s="31">
        <f>IF(ISNUMBER(AB369),IF(Z369&gt;0,AB369/Z369*100,""),"")</f>
        <v/>
      </c>
      <c r="AO369" s="31">
        <f>IF(BA369&lt;&gt;1,"",IFERROR(IF(INDEX('分群統計'!$N$5:$N$8,MATCH(X369,'分群統計'!$A$5:$A$8,0))&lt;3,"",IF(INDEX('分群統計'!$P$5:$P$8,MATCH(X369,'分群統計'!$A$5:$A$8,0))&gt;0,MAX(-3,MIN(3,(AZ369-INDEX('分群統計'!$O$5:$O$8,MATCH(X369,'分群統計'!$A$5:$A$8,0)))/INDEX('分群統計'!$P$5:$P$8,MATCH(X369,'分群統計'!$A$5:$A$8,0)))),0)),""))</f>
        <v/>
      </c>
      <c r="AP369" s="31">
        <f>IF(BC369&lt;&gt;1,"",IFERROR(IF(INDEX('分群統計'!$Q$5:$Q$8,MATCH(X369,'分群統計'!$A$5:$A$8,0))&lt;3,"",IF(INDEX('分群統計'!$S$5:$S$8,MATCH(X369,'分群統計'!$A$5:$A$8,0))&gt;0,MAX(-3,MIN(3,(BB369-INDEX('分群統計'!$R$5:$R$8,MATCH(X369,'分群統計'!$A$5:$A$8,0)))/INDEX('分群統計'!$S$5:$S$8,MATCH(X369,'分群統計'!$A$5:$A$8,0)))),0)),""))</f>
        <v/>
      </c>
      <c r="AQ369" s="31">
        <f>IF(Y369=1,(IF(ISNUMBER(AF369),AF369,0)*'參數'!$B$13+IF(ISNUMBER(AM369),AM369,0)*'參數'!$B$14+IF(ISNUMBER(AO369),AO369,0)*'參數'!$B$15+IF(ISNUMBER(AP369),AP369,0)*'參數'!$B$16)/('參數'!$B$13+'參數'!$B$14+'參數'!$B$15+'參數'!$B$16),"")</f>
        <v/>
      </c>
      <c r="AR369" s="35">
        <f>IF(Y369=1,(SUMPRODUCT(($X$5:$X$404=X369)*($Y$5:$Y$404=1)*($BD$5:$BD$404&gt;BD369))+1)/COUNTIFS($X$5:$X$404,X369,$Y$5:$Y$404,1),"")</f>
        <v/>
      </c>
      <c r="AS369" s="8">
        <f>IF(ISNUMBER(AR369),IF(AR369&lt;='參數'!$B$18,"加碼候選",IF(AR369&gt;'參數'!$B$19,"減碼候選","")),"")</f>
        <v/>
      </c>
      <c r="AT369" s="7">
        <f>IF(Y369=1,N369,0)</f>
        <v/>
      </c>
      <c r="AU369" s="7">
        <f>IF(Y369=1,LN(O369),0)</f>
        <v/>
      </c>
      <c r="AV369" s="36">
        <f>IF(Y369=1,IF(ISNUMBER(F369),F369,0),0)</f>
        <v/>
      </c>
      <c r="AW369" s="7">
        <f>IF(Y369=1,Z369,0)</f>
        <v/>
      </c>
      <c r="AX369" s="7">
        <f>IF(Y369=1,IF(ISNUMBER(AL369),AL369,0),0)</f>
        <v/>
      </c>
      <c r="AY369" s="7">
        <f>IF(Y369=1,IF(ISNUMBER(AL369),1,0),0)</f>
        <v/>
      </c>
      <c r="AZ369" s="7">
        <f>IF(Y369=1,IF(ISNUMBER(AN369),AN369,0),0)</f>
        <v/>
      </c>
      <c r="BA369" s="7">
        <f>IF(Y369=1,IF(ISNUMBER(AN369),1,0),0)</f>
        <v/>
      </c>
      <c r="BB369" s="7">
        <f>IF(Y369=1,IF(ISNUMBER(T369),T369,0),0)</f>
        <v/>
      </c>
      <c r="BC369" s="7">
        <f>IF(Y369=1,IF(ISNUMBER(T369),1,0),0)</f>
        <v/>
      </c>
      <c r="BD369" s="7">
        <f>IF(Y369=1,AQ369+ROW()/1E9,-1E9)</f>
        <v/>
      </c>
      <c r="BE369" s="7">
        <f>IF(Y369=1,AQ369+ROW()/1E9,1E9)</f>
        <v/>
      </c>
    </row>
    <row r="370">
      <c r="A370" s="16" t="n"/>
      <c r="B370" s="8">
        <f>IF($A370="","",BDP($A370,B$3))</f>
        <v/>
      </c>
      <c r="C370" s="8">
        <f>IF($A370="","",BDP($A370,C$3))</f>
        <v/>
      </c>
      <c r="D370" s="28">
        <f>IF($A370="","",BDP($A370,D$3))</f>
        <v/>
      </c>
      <c r="E370" s="29">
        <f>IF($A370="","",BDP($A370,E$3))</f>
        <v/>
      </c>
      <c r="F370" s="17">
        <f>IF($A370="","",BDP($A370,F$3))</f>
        <v/>
      </c>
      <c r="G370" s="8">
        <f>IF($A370="","",BDP($A370,G$3))</f>
        <v/>
      </c>
      <c r="H370" s="8">
        <f>IF($A370="","",BDP($A370,H$3))</f>
        <v/>
      </c>
      <c r="I370" s="8">
        <f>IF($A370="","",BDP($A370,I$3))</f>
        <v/>
      </c>
      <c r="J370" s="8">
        <f>IF($A370="","",BDP($A370,J$3))</f>
        <v/>
      </c>
      <c r="K370" s="8">
        <f>IF($A370="","",BDP($A370,K$3))</f>
        <v/>
      </c>
      <c r="L370" s="28">
        <f>IF($A370="","",BDP($A370,L$3))</f>
        <v/>
      </c>
      <c r="M370" s="28">
        <f>IF($A370="","",BDP($A370,M$3))</f>
        <v/>
      </c>
      <c r="N370" s="30">
        <f>IF($A370="","",BDP($A370,N$3))</f>
        <v/>
      </c>
      <c r="O370" s="31">
        <f>IF($A370="","",BDP($A370,O$3))</f>
        <v/>
      </c>
      <c r="P370" s="30">
        <f>IF($A370="","",BDH($A370,$N$3,'參數'!$B$5,'參數'!$B$5,"Days=A","Fill=P","Dates=H"))</f>
        <v/>
      </c>
      <c r="Q370" s="30">
        <f>IF($A370="","",BDH($A370,$N$3,'參數'!$B$6,'參數'!$B$6,"Days=A","Fill=P","Dates=H"))</f>
        <v/>
      </c>
      <c r="R370" s="30">
        <f>IF($A370="","",BDH($A370,$N$3,'參數'!$B$7,'參數'!$B$7,"Days=A","Fill=P","Dates=H"))</f>
        <v/>
      </c>
      <c r="S370" s="32">
        <f>IF($A370="","",IFERROR(INDEX('發行人'!$A$5:$A$44,MATCH(B370,'發行人'!$D$5:$D$44,0)),"未對應"))</f>
        <v/>
      </c>
      <c r="T370" s="24">
        <f>IF($A370="","",IFERROR(INDEX('發行人'!$G$5:$G$44,MATCH(B370,'發行人'!$D$5:$D$44,0))+0,""))</f>
        <v/>
      </c>
      <c r="U370" s="18">
        <f>IF(ISNUMBER(E370),YEARFRAC('參數'!$B$4,E370),"")</f>
        <v/>
      </c>
      <c r="V370" s="8">
        <f>IF(U370="","",IF(U370&lt;3,"1-3y",IF(U370&lt;5,"3-5y",IF(U370&lt;7,"5-7y",IF(U370&lt;10,"7-10y","10y+")))))</f>
        <v/>
      </c>
      <c r="W370" s="30">
        <f>IF($A370="","",IFERROR(INDEX('參數'!$B$24:$B$45,MATCH(G370,'參數'!$A$24:$A$45,0)),""))</f>
        <v/>
      </c>
      <c r="X370" s="8">
        <f>IF($A370="","",IFERROR(INDEX('參數'!$C$24:$C$45,MATCH(G370,'參數'!$A$24:$A$45,0)),""))</f>
        <v/>
      </c>
      <c r="Y370" s="30">
        <f>IF(AND(ISNUMBER(N370),ISNUMBER(O370),ISNUMBER(U370)),IF(AND(O370&gt;0,X370&lt;&gt;""),1,0),0)</f>
        <v/>
      </c>
      <c r="Z370" s="17">
        <f>IF(Y370=1,O370*N370,"")</f>
        <v/>
      </c>
      <c r="AA370" s="33">
        <f>IF(Y370=1,IF(ISNUMBER(Q370),N370-Q370,""),"")</f>
        <v/>
      </c>
      <c r="AB370" s="33">
        <f>IF(Y370=1,IF(AND(ISNUMBER(P370),ISNUMBER(R370)),R370*5/12-O370*(P370-R370),""),"")</f>
        <v/>
      </c>
      <c r="AC370" s="30">
        <f>IF(Y370=1,COUNTIFS($X$5:$X$404,X370,$V$5:$V$404,V370,$Y$5:$Y$404,1),"")</f>
        <v/>
      </c>
      <c r="AD370" s="30">
        <f>IF(Y370=1,IFERROR(IF(AC370&gt;='參數'!$B$9,INDEX('分群統計'!$G$13:$K$16,MATCH(X370,'分群統計'!$A$13:$A$16,0),MATCH(V370,'分群統計'!$G$12:$K$12,0)),INDEX('分群統計'!$I$5:$I$8,MATCH(X370,'分群統計'!$A$5:$A$8,0))),""),"")</f>
        <v/>
      </c>
      <c r="AE370" s="18">
        <f>IF(Y370=1,IFERROR(IF(AC370&gt;='參數'!$B$9,INDEX('分群統計'!$L$13:$P$16,MATCH(X370,'分群統計'!$A$13:$A$16,0),MATCH(V370,'分群統計'!$L$12:$P$12,0)),INDEX('分群統計'!$J$5:$J$8,MATCH(X370,'分群統計'!$A$5:$A$8,0))),""),"")</f>
        <v/>
      </c>
      <c r="AF370" s="31">
        <f>IF(ISNUMBER(AE370),IF(AE370&gt;0,MAX(-3,MIN(3,(N370-AD370)/AE370)),0),"")</f>
        <v/>
      </c>
      <c r="AG370" s="30">
        <f>IF(Y370=1,COUNTIFS($B$5:$B$404,B370,$Y$5:$Y$404,1),"")</f>
        <v/>
      </c>
      <c r="AH370" s="30">
        <f>IF(Y370=1,IFERROR(IF(ISNUMBER(INDEX('分群統計'!$G$20:$G$59,MATCH(B370,'分群統計'!$A$20:$A$59,0))),INDEX('分群統計'!$H$20:$H$59,MATCH(B370,'分群統計'!$A$20:$A$59,0))+INDEX('分群統計'!$G$20:$G$59,MATCH(B370,'分群統計'!$A$20:$A$59,0))*AU370,""),""),"")</f>
        <v/>
      </c>
      <c r="AI370" s="34">
        <f>IF(ISNUMBER(AH370),N370-AH370,"")</f>
        <v/>
      </c>
      <c r="AJ370" s="30">
        <f>IF(Y370=1,IFERROR(IF(ISNUMBER(INDEX('分群統計'!$G$5:$G$8,MATCH(X370,'分群統計'!$A$5:$A$8,0))),INDEX('分群統計'!$H$5:$H$8,MATCH(X370,'分群統計'!$A$5:$A$8,0))+INDEX('分群統計'!$G$5:$G$8,MATCH(X370,'分群統計'!$A$5:$A$8,0))*AU370,""),""),"")</f>
        <v/>
      </c>
      <c r="AK370" s="34">
        <f>IF(ISNUMBER(AJ370),N370-AJ370,"")</f>
        <v/>
      </c>
      <c r="AL370" s="21">
        <f>IF(ISNUMBER(AJ370),IF(AJ370&gt;0,AK370/AJ370,""),"")</f>
        <v/>
      </c>
      <c r="AM370" s="31">
        <f>IF(AY370&lt;&gt;1,"",IFERROR(IF(INDEX('分群統計'!$K$5:$K$8,MATCH(X370,'分群統計'!$A$5:$A$8,0))&lt;3,"",IF(INDEX('分群統計'!$M$5:$M$8,MATCH(X370,'分群統計'!$A$5:$A$8,0))&gt;0,MAX(-3,MIN(3,(AX370-INDEX('分群統計'!$L$5:$L$8,MATCH(X370,'分群統計'!$A$5:$A$8,0)))/INDEX('分群統計'!$M$5:$M$8,MATCH(X370,'分群統計'!$A$5:$A$8,0)))),0)),""))</f>
        <v/>
      </c>
      <c r="AN370" s="31">
        <f>IF(ISNUMBER(AB370),IF(Z370&gt;0,AB370/Z370*100,""),"")</f>
        <v/>
      </c>
      <c r="AO370" s="31">
        <f>IF(BA370&lt;&gt;1,"",IFERROR(IF(INDEX('分群統計'!$N$5:$N$8,MATCH(X370,'分群統計'!$A$5:$A$8,0))&lt;3,"",IF(INDEX('分群統計'!$P$5:$P$8,MATCH(X370,'分群統計'!$A$5:$A$8,0))&gt;0,MAX(-3,MIN(3,(AZ370-INDEX('分群統計'!$O$5:$O$8,MATCH(X370,'分群統計'!$A$5:$A$8,0)))/INDEX('分群統計'!$P$5:$P$8,MATCH(X370,'分群統計'!$A$5:$A$8,0)))),0)),""))</f>
        <v/>
      </c>
      <c r="AP370" s="31">
        <f>IF(BC370&lt;&gt;1,"",IFERROR(IF(INDEX('分群統計'!$Q$5:$Q$8,MATCH(X370,'分群統計'!$A$5:$A$8,0))&lt;3,"",IF(INDEX('分群統計'!$S$5:$S$8,MATCH(X370,'分群統計'!$A$5:$A$8,0))&gt;0,MAX(-3,MIN(3,(BB370-INDEX('分群統計'!$R$5:$R$8,MATCH(X370,'分群統計'!$A$5:$A$8,0)))/INDEX('分群統計'!$S$5:$S$8,MATCH(X370,'分群統計'!$A$5:$A$8,0)))),0)),""))</f>
        <v/>
      </c>
      <c r="AQ370" s="31">
        <f>IF(Y370=1,(IF(ISNUMBER(AF370),AF370,0)*'參數'!$B$13+IF(ISNUMBER(AM370),AM370,0)*'參數'!$B$14+IF(ISNUMBER(AO370),AO370,0)*'參數'!$B$15+IF(ISNUMBER(AP370),AP370,0)*'參數'!$B$16)/('參數'!$B$13+'參數'!$B$14+'參數'!$B$15+'參數'!$B$16),"")</f>
        <v/>
      </c>
      <c r="AR370" s="35">
        <f>IF(Y370=1,(SUMPRODUCT(($X$5:$X$404=X370)*($Y$5:$Y$404=1)*($BD$5:$BD$404&gt;BD370))+1)/COUNTIFS($X$5:$X$404,X370,$Y$5:$Y$404,1),"")</f>
        <v/>
      </c>
      <c r="AS370" s="8">
        <f>IF(ISNUMBER(AR370),IF(AR370&lt;='參數'!$B$18,"加碼候選",IF(AR370&gt;'參數'!$B$19,"減碼候選","")),"")</f>
        <v/>
      </c>
      <c r="AT370" s="7">
        <f>IF(Y370=1,N370,0)</f>
        <v/>
      </c>
      <c r="AU370" s="7">
        <f>IF(Y370=1,LN(O370),0)</f>
        <v/>
      </c>
      <c r="AV370" s="36">
        <f>IF(Y370=1,IF(ISNUMBER(F370),F370,0),0)</f>
        <v/>
      </c>
      <c r="AW370" s="7">
        <f>IF(Y370=1,Z370,0)</f>
        <v/>
      </c>
      <c r="AX370" s="7">
        <f>IF(Y370=1,IF(ISNUMBER(AL370),AL370,0),0)</f>
        <v/>
      </c>
      <c r="AY370" s="7">
        <f>IF(Y370=1,IF(ISNUMBER(AL370),1,0),0)</f>
        <v/>
      </c>
      <c r="AZ370" s="7">
        <f>IF(Y370=1,IF(ISNUMBER(AN370),AN370,0),0)</f>
        <v/>
      </c>
      <c r="BA370" s="7">
        <f>IF(Y370=1,IF(ISNUMBER(AN370),1,0),0)</f>
        <v/>
      </c>
      <c r="BB370" s="7">
        <f>IF(Y370=1,IF(ISNUMBER(T370),T370,0),0)</f>
        <v/>
      </c>
      <c r="BC370" s="7">
        <f>IF(Y370=1,IF(ISNUMBER(T370),1,0),0)</f>
        <v/>
      </c>
      <c r="BD370" s="7">
        <f>IF(Y370=1,AQ370+ROW()/1E9,-1E9)</f>
        <v/>
      </c>
      <c r="BE370" s="7">
        <f>IF(Y370=1,AQ370+ROW()/1E9,1E9)</f>
        <v/>
      </c>
    </row>
    <row r="371">
      <c r="A371" s="16" t="n"/>
      <c r="B371" s="8">
        <f>IF($A371="","",BDP($A371,B$3))</f>
        <v/>
      </c>
      <c r="C371" s="8">
        <f>IF($A371="","",BDP($A371,C$3))</f>
        <v/>
      </c>
      <c r="D371" s="28">
        <f>IF($A371="","",BDP($A371,D$3))</f>
        <v/>
      </c>
      <c r="E371" s="29">
        <f>IF($A371="","",BDP($A371,E$3))</f>
        <v/>
      </c>
      <c r="F371" s="17">
        <f>IF($A371="","",BDP($A371,F$3))</f>
        <v/>
      </c>
      <c r="G371" s="8">
        <f>IF($A371="","",BDP($A371,G$3))</f>
        <v/>
      </c>
      <c r="H371" s="8">
        <f>IF($A371="","",BDP($A371,H$3))</f>
        <v/>
      </c>
      <c r="I371" s="8">
        <f>IF($A371="","",BDP($A371,I$3))</f>
        <v/>
      </c>
      <c r="J371" s="8">
        <f>IF($A371="","",BDP($A371,J$3))</f>
        <v/>
      </c>
      <c r="K371" s="8">
        <f>IF($A371="","",BDP($A371,K$3))</f>
        <v/>
      </c>
      <c r="L371" s="28">
        <f>IF($A371="","",BDP($A371,L$3))</f>
        <v/>
      </c>
      <c r="M371" s="28">
        <f>IF($A371="","",BDP($A371,M$3))</f>
        <v/>
      </c>
      <c r="N371" s="30">
        <f>IF($A371="","",BDP($A371,N$3))</f>
        <v/>
      </c>
      <c r="O371" s="31">
        <f>IF($A371="","",BDP($A371,O$3))</f>
        <v/>
      </c>
      <c r="P371" s="30">
        <f>IF($A371="","",BDH($A371,$N$3,'參數'!$B$5,'參數'!$B$5,"Days=A","Fill=P","Dates=H"))</f>
        <v/>
      </c>
      <c r="Q371" s="30">
        <f>IF($A371="","",BDH($A371,$N$3,'參數'!$B$6,'參數'!$B$6,"Days=A","Fill=P","Dates=H"))</f>
        <v/>
      </c>
      <c r="R371" s="30">
        <f>IF($A371="","",BDH($A371,$N$3,'參數'!$B$7,'參數'!$B$7,"Days=A","Fill=P","Dates=H"))</f>
        <v/>
      </c>
      <c r="S371" s="32">
        <f>IF($A371="","",IFERROR(INDEX('發行人'!$A$5:$A$44,MATCH(B371,'發行人'!$D$5:$D$44,0)),"未對應"))</f>
        <v/>
      </c>
      <c r="T371" s="24">
        <f>IF($A371="","",IFERROR(INDEX('發行人'!$G$5:$G$44,MATCH(B371,'發行人'!$D$5:$D$44,0))+0,""))</f>
        <v/>
      </c>
      <c r="U371" s="18">
        <f>IF(ISNUMBER(E371),YEARFRAC('參數'!$B$4,E371),"")</f>
        <v/>
      </c>
      <c r="V371" s="8">
        <f>IF(U371="","",IF(U371&lt;3,"1-3y",IF(U371&lt;5,"3-5y",IF(U371&lt;7,"5-7y",IF(U371&lt;10,"7-10y","10y+")))))</f>
        <v/>
      </c>
      <c r="W371" s="30">
        <f>IF($A371="","",IFERROR(INDEX('參數'!$B$24:$B$45,MATCH(G371,'參數'!$A$24:$A$45,0)),""))</f>
        <v/>
      </c>
      <c r="X371" s="8">
        <f>IF($A371="","",IFERROR(INDEX('參數'!$C$24:$C$45,MATCH(G371,'參數'!$A$24:$A$45,0)),""))</f>
        <v/>
      </c>
      <c r="Y371" s="30">
        <f>IF(AND(ISNUMBER(N371),ISNUMBER(O371),ISNUMBER(U371)),IF(AND(O371&gt;0,X371&lt;&gt;""),1,0),0)</f>
        <v/>
      </c>
      <c r="Z371" s="17">
        <f>IF(Y371=1,O371*N371,"")</f>
        <v/>
      </c>
      <c r="AA371" s="33">
        <f>IF(Y371=1,IF(ISNUMBER(Q371),N371-Q371,""),"")</f>
        <v/>
      </c>
      <c r="AB371" s="33">
        <f>IF(Y371=1,IF(AND(ISNUMBER(P371),ISNUMBER(R371)),R371*5/12-O371*(P371-R371),""),"")</f>
        <v/>
      </c>
      <c r="AC371" s="30">
        <f>IF(Y371=1,COUNTIFS($X$5:$X$404,X371,$V$5:$V$404,V371,$Y$5:$Y$404,1),"")</f>
        <v/>
      </c>
      <c r="AD371" s="30">
        <f>IF(Y371=1,IFERROR(IF(AC371&gt;='參數'!$B$9,INDEX('分群統計'!$G$13:$K$16,MATCH(X371,'分群統計'!$A$13:$A$16,0),MATCH(V371,'分群統計'!$G$12:$K$12,0)),INDEX('分群統計'!$I$5:$I$8,MATCH(X371,'分群統計'!$A$5:$A$8,0))),""),"")</f>
        <v/>
      </c>
      <c r="AE371" s="18">
        <f>IF(Y371=1,IFERROR(IF(AC371&gt;='參數'!$B$9,INDEX('分群統計'!$L$13:$P$16,MATCH(X371,'分群統計'!$A$13:$A$16,0),MATCH(V371,'分群統計'!$L$12:$P$12,0)),INDEX('分群統計'!$J$5:$J$8,MATCH(X371,'分群統計'!$A$5:$A$8,0))),""),"")</f>
        <v/>
      </c>
      <c r="AF371" s="31">
        <f>IF(ISNUMBER(AE371),IF(AE371&gt;0,MAX(-3,MIN(3,(N371-AD371)/AE371)),0),"")</f>
        <v/>
      </c>
      <c r="AG371" s="30">
        <f>IF(Y371=1,COUNTIFS($B$5:$B$404,B371,$Y$5:$Y$404,1),"")</f>
        <v/>
      </c>
      <c r="AH371" s="30">
        <f>IF(Y371=1,IFERROR(IF(ISNUMBER(INDEX('分群統計'!$G$20:$G$59,MATCH(B371,'分群統計'!$A$20:$A$59,0))),INDEX('分群統計'!$H$20:$H$59,MATCH(B371,'分群統計'!$A$20:$A$59,0))+INDEX('分群統計'!$G$20:$G$59,MATCH(B371,'分群統計'!$A$20:$A$59,0))*AU371,""),""),"")</f>
        <v/>
      </c>
      <c r="AI371" s="34">
        <f>IF(ISNUMBER(AH371),N371-AH371,"")</f>
        <v/>
      </c>
      <c r="AJ371" s="30">
        <f>IF(Y371=1,IFERROR(IF(ISNUMBER(INDEX('分群統計'!$G$5:$G$8,MATCH(X371,'分群統計'!$A$5:$A$8,0))),INDEX('分群統計'!$H$5:$H$8,MATCH(X371,'分群統計'!$A$5:$A$8,0))+INDEX('分群統計'!$G$5:$G$8,MATCH(X371,'分群統計'!$A$5:$A$8,0))*AU371,""),""),"")</f>
        <v/>
      </c>
      <c r="AK371" s="34">
        <f>IF(ISNUMBER(AJ371),N371-AJ371,"")</f>
        <v/>
      </c>
      <c r="AL371" s="21">
        <f>IF(ISNUMBER(AJ371),IF(AJ371&gt;0,AK371/AJ371,""),"")</f>
        <v/>
      </c>
      <c r="AM371" s="31">
        <f>IF(AY371&lt;&gt;1,"",IFERROR(IF(INDEX('分群統計'!$K$5:$K$8,MATCH(X371,'分群統計'!$A$5:$A$8,0))&lt;3,"",IF(INDEX('分群統計'!$M$5:$M$8,MATCH(X371,'分群統計'!$A$5:$A$8,0))&gt;0,MAX(-3,MIN(3,(AX371-INDEX('分群統計'!$L$5:$L$8,MATCH(X371,'分群統計'!$A$5:$A$8,0)))/INDEX('分群統計'!$M$5:$M$8,MATCH(X371,'分群統計'!$A$5:$A$8,0)))),0)),""))</f>
        <v/>
      </c>
      <c r="AN371" s="31">
        <f>IF(ISNUMBER(AB371),IF(Z371&gt;0,AB371/Z371*100,""),"")</f>
        <v/>
      </c>
      <c r="AO371" s="31">
        <f>IF(BA371&lt;&gt;1,"",IFERROR(IF(INDEX('分群統計'!$N$5:$N$8,MATCH(X371,'分群統計'!$A$5:$A$8,0))&lt;3,"",IF(INDEX('分群統計'!$P$5:$P$8,MATCH(X371,'分群統計'!$A$5:$A$8,0))&gt;0,MAX(-3,MIN(3,(AZ371-INDEX('分群統計'!$O$5:$O$8,MATCH(X371,'分群統計'!$A$5:$A$8,0)))/INDEX('分群統計'!$P$5:$P$8,MATCH(X371,'分群統計'!$A$5:$A$8,0)))),0)),""))</f>
        <v/>
      </c>
      <c r="AP371" s="31">
        <f>IF(BC371&lt;&gt;1,"",IFERROR(IF(INDEX('分群統計'!$Q$5:$Q$8,MATCH(X371,'分群統計'!$A$5:$A$8,0))&lt;3,"",IF(INDEX('分群統計'!$S$5:$S$8,MATCH(X371,'分群統計'!$A$5:$A$8,0))&gt;0,MAX(-3,MIN(3,(BB371-INDEX('分群統計'!$R$5:$R$8,MATCH(X371,'分群統計'!$A$5:$A$8,0)))/INDEX('分群統計'!$S$5:$S$8,MATCH(X371,'分群統計'!$A$5:$A$8,0)))),0)),""))</f>
        <v/>
      </c>
      <c r="AQ371" s="31">
        <f>IF(Y371=1,(IF(ISNUMBER(AF371),AF371,0)*'參數'!$B$13+IF(ISNUMBER(AM371),AM371,0)*'參數'!$B$14+IF(ISNUMBER(AO371),AO371,0)*'參數'!$B$15+IF(ISNUMBER(AP371),AP371,0)*'參數'!$B$16)/('參數'!$B$13+'參數'!$B$14+'參數'!$B$15+'參數'!$B$16),"")</f>
        <v/>
      </c>
      <c r="AR371" s="35">
        <f>IF(Y371=1,(SUMPRODUCT(($X$5:$X$404=X371)*($Y$5:$Y$404=1)*($BD$5:$BD$404&gt;BD371))+1)/COUNTIFS($X$5:$X$404,X371,$Y$5:$Y$404,1),"")</f>
        <v/>
      </c>
      <c r="AS371" s="8">
        <f>IF(ISNUMBER(AR371),IF(AR371&lt;='參數'!$B$18,"加碼候選",IF(AR371&gt;'參數'!$B$19,"減碼候選","")),"")</f>
        <v/>
      </c>
      <c r="AT371" s="7">
        <f>IF(Y371=1,N371,0)</f>
        <v/>
      </c>
      <c r="AU371" s="7">
        <f>IF(Y371=1,LN(O371),0)</f>
        <v/>
      </c>
      <c r="AV371" s="36">
        <f>IF(Y371=1,IF(ISNUMBER(F371),F371,0),0)</f>
        <v/>
      </c>
      <c r="AW371" s="7">
        <f>IF(Y371=1,Z371,0)</f>
        <v/>
      </c>
      <c r="AX371" s="7">
        <f>IF(Y371=1,IF(ISNUMBER(AL371),AL371,0),0)</f>
        <v/>
      </c>
      <c r="AY371" s="7">
        <f>IF(Y371=1,IF(ISNUMBER(AL371),1,0),0)</f>
        <v/>
      </c>
      <c r="AZ371" s="7">
        <f>IF(Y371=1,IF(ISNUMBER(AN371),AN371,0),0)</f>
        <v/>
      </c>
      <c r="BA371" s="7">
        <f>IF(Y371=1,IF(ISNUMBER(AN371),1,0),0)</f>
        <v/>
      </c>
      <c r="BB371" s="7">
        <f>IF(Y371=1,IF(ISNUMBER(T371),T371,0),0)</f>
        <v/>
      </c>
      <c r="BC371" s="7">
        <f>IF(Y371=1,IF(ISNUMBER(T371),1,0),0)</f>
        <v/>
      </c>
      <c r="BD371" s="7">
        <f>IF(Y371=1,AQ371+ROW()/1E9,-1E9)</f>
        <v/>
      </c>
      <c r="BE371" s="7">
        <f>IF(Y371=1,AQ371+ROW()/1E9,1E9)</f>
        <v/>
      </c>
    </row>
    <row r="372">
      <c r="A372" s="16" t="n"/>
      <c r="B372" s="8">
        <f>IF($A372="","",BDP($A372,B$3))</f>
        <v/>
      </c>
      <c r="C372" s="8">
        <f>IF($A372="","",BDP($A372,C$3))</f>
        <v/>
      </c>
      <c r="D372" s="28">
        <f>IF($A372="","",BDP($A372,D$3))</f>
        <v/>
      </c>
      <c r="E372" s="29">
        <f>IF($A372="","",BDP($A372,E$3))</f>
        <v/>
      </c>
      <c r="F372" s="17">
        <f>IF($A372="","",BDP($A372,F$3))</f>
        <v/>
      </c>
      <c r="G372" s="8">
        <f>IF($A372="","",BDP($A372,G$3))</f>
        <v/>
      </c>
      <c r="H372" s="8">
        <f>IF($A372="","",BDP($A372,H$3))</f>
        <v/>
      </c>
      <c r="I372" s="8">
        <f>IF($A372="","",BDP($A372,I$3))</f>
        <v/>
      </c>
      <c r="J372" s="8">
        <f>IF($A372="","",BDP($A372,J$3))</f>
        <v/>
      </c>
      <c r="K372" s="8">
        <f>IF($A372="","",BDP($A372,K$3))</f>
        <v/>
      </c>
      <c r="L372" s="28">
        <f>IF($A372="","",BDP($A372,L$3))</f>
        <v/>
      </c>
      <c r="M372" s="28">
        <f>IF($A372="","",BDP($A372,M$3))</f>
        <v/>
      </c>
      <c r="N372" s="30">
        <f>IF($A372="","",BDP($A372,N$3))</f>
        <v/>
      </c>
      <c r="O372" s="31">
        <f>IF($A372="","",BDP($A372,O$3))</f>
        <v/>
      </c>
      <c r="P372" s="30">
        <f>IF($A372="","",BDH($A372,$N$3,'參數'!$B$5,'參數'!$B$5,"Days=A","Fill=P","Dates=H"))</f>
        <v/>
      </c>
      <c r="Q372" s="30">
        <f>IF($A372="","",BDH($A372,$N$3,'參數'!$B$6,'參數'!$B$6,"Days=A","Fill=P","Dates=H"))</f>
        <v/>
      </c>
      <c r="R372" s="30">
        <f>IF($A372="","",BDH($A372,$N$3,'參數'!$B$7,'參數'!$B$7,"Days=A","Fill=P","Dates=H"))</f>
        <v/>
      </c>
      <c r="S372" s="32">
        <f>IF($A372="","",IFERROR(INDEX('發行人'!$A$5:$A$44,MATCH(B372,'發行人'!$D$5:$D$44,0)),"未對應"))</f>
        <v/>
      </c>
      <c r="T372" s="24">
        <f>IF($A372="","",IFERROR(INDEX('發行人'!$G$5:$G$44,MATCH(B372,'發行人'!$D$5:$D$44,0))+0,""))</f>
        <v/>
      </c>
      <c r="U372" s="18">
        <f>IF(ISNUMBER(E372),YEARFRAC('參數'!$B$4,E372),"")</f>
        <v/>
      </c>
      <c r="V372" s="8">
        <f>IF(U372="","",IF(U372&lt;3,"1-3y",IF(U372&lt;5,"3-5y",IF(U372&lt;7,"5-7y",IF(U372&lt;10,"7-10y","10y+")))))</f>
        <v/>
      </c>
      <c r="W372" s="30">
        <f>IF($A372="","",IFERROR(INDEX('參數'!$B$24:$B$45,MATCH(G372,'參數'!$A$24:$A$45,0)),""))</f>
        <v/>
      </c>
      <c r="X372" s="8">
        <f>IF($A372="","",IFERROR(INDEX('參數'!$C$24:$C$45,MATCH(G372,'參數'!$A$24:$A$45,0)),""))</f>
        <v/>
      </c>
      <c r="Y372" s="30">
        <f>IF(AND(ISNUMBER(N372),ISNUMBER(O372),ISNUMBER(U372)),IF(AND(O372&gt;0,X372&lt;&gt;""),1,0),0)</f>
        <v/>
      </c>
      <c r="Z372" s="17">
        <f>IF(Y372=1,O372*N372,"")</f>
        <v/>
      </c>
      <c r="AA372" s="33">
        <f>IF(Y372=1,IF(ISNUMBER(Q372),N372-Q372,""),"")</f>
        <v/>
      </c>
      <c r="AB372" s="33">
        <f>IF(Y372=1,IF(AND(ISNUMBER(P372),ISNUMBER(R372)),R372*5/12-O372*(P372-R372),""),"")</f>
        <v/>
      </c>
      <c r="AC372" s="30">
        <f>IF(Y372=1,COUNTIFS($X$5:$X$404,X372,$V$5:$V$404,V372,$Y$5:$Y$404,1),"")</f>
        <v/>
      </c>
      <c r="AD372" s="30">
        <f>IF(Y372=1,IFERROR(IF(AC372&gt;='參數'!$B$9,INDEX('分群統計'!$G$13:$K$16,MATCH(X372,'分群統計'!$A$13:$A$16,0),MATCH(V372,'分群統計'!$G$12:$K$12,0)),INDEX('分群統計'!$I$5:$I$8,MATCH(X372,'分群統計'!$A$5:$A$8,0))),""),"")</f>
        <v/>
      </c>
      <c r="AE372" s="18">
        <f>IF(Y372=1,IFERROR(IF(AC372&gt;='參數'!$B$9,INDEX('分群統計'!$L$13:$P$16,MATCH(X372,'分群統計'!$A$13:$A$16,0),MATCH(V372,'分群統計'!$L$12:$P$12,0)),INDEX('分群統計'!$J$5:$J$8,MATCH(X372,'分群統計'!$A$5:$A$8,0))),""),"")</f>
        <v/>
      </c>
      <c r="AF372" s="31">
        <f>IF(ISNUMBER(AE372),IF(AE372&gt;0,MAX(-3,MIN(3,(N372-AD372)/AE372)),0),"")</f>
        <v/>
      </c>
      <c r="AG372" s="30">
        <f>IF(Y372=1,COUNTIFS($B$5:$B$404,B372,$Y$5:$Y$404,1),"")</f>
        <v/>
      </c>
      <c r="AH372" s="30">
        <f>IF(Y372=1,IFERROR(IF(ISNUMBER(INDEX('分群統計'!$G$20:$G$59,MATCH(B372,'分群統計'!$A$20:$A$59,0))),INDEX('分群統計'!$H$20:$H$59,MATCH(B372,'分群統計'!$A$20:$A$59,0))+INDEX('分群統計'!$G$20:$G$59,MATCH(B372,'分群統計'!$A$20:$A$59,0))*AU372,""),""),"")</f>
        <v/>
      </c>
      <c r="AI372" s="34">
        <f>IF(ISNUMBER(AH372),N372-AH372,"")</f>
        <v/>
      </c>
      <c r="AJ372" s="30">
        <f>IF(Y372=1,IFERROR(IF(ISNUMBER(INDEX('分群統計'!$G$5:$G$8,MATCH(X372,'分群統計'!$A$5:$A$8,0))),INDEX('分群統計'!$H$5:$H$8,MATCH(X372,'分群統計'!$A$5:$A$8,0))+INDEX('分群統計'!$G$5:$G$8,MATCH(X372,'分群統計'!$A$5:$A$8,0))*AU372,""),""),"")</f>
        <v/>
      </c>
      <c r="AK372" s="34">
        <f>IF(ISNUMBER(AJ372),N372-AJ372,"")</f>
        <v/>
      </c>
      <c r="AL372" s="21">
        <f>IF(ISNUMBER(AJ372),IF(AJ372&gt;0,AK372/AJ372,""),"")</f>
        <v/>
      </c>
      <c r="AM372" s="31">
        <f>IF(AY372&lt;&gt;1,"",IFERROR(IF(INDEX('分群統計'!$K$5:$K$8,MATCH(X372,'分群統計'!$A$5:$A$8,0))&lt;3,"",IF(INDEX('分群統計'!$M$5:$M$8,MATCH(X372,'分群統計'!$A$5:$A$8,0))&gt;0,MAX(-3,MIN(3,(AX372-INDEX('分群統計'!$L$5:$L$8,MATCH(X372,'分群統計'!$A$5:$A$8,0)))/INDEX('分群統計'!$M$5:$M$8,MATCH(X372,'分群統計'!$A$5:$A$8,0)))),0)),""))</f>
        <v/>
      </c>
      <c r="AN372" s="31">
        <f>IF(ISNUMBER(AB372),IF(Z372&gt;0,AB372/Z372*100,""),"")</f>
        <v/>
      </c>
      <c r="AO372" s="31">
        <f>IF(BA372&lt;&gt;1,"",IFERROR(IF(INDEX('分群統計'!$N$5:$N$8,MATCH(X372,'分群統計'!$A$5:$A$8,0))&lt;3,"",IF(INDEX('分群統計'!$P$5:$P$8,MATCH(X372,'分群統計'!$A$5:$A$8,0))&gt;0,MAX(-3,MIN(3,(AZ372-INDEX('分群統計'!$O$5:$O$8,MATCH(X372,'分群統計'!$A$5:$A$8,0)))/INDEX('分群統計'!$P$5:$P$8,MATCH(X372,'分群統計'!$A$5:$A$8,0)))),0)),""))</f>
        <v/>
      </c>
      <c r="AP372" s="31">
        <f>IF(BC372&lt;&gt;1,"",IFERROR(IF(INDEX('分群統計'!$Q$5:$Q$8,MATCH(X372,'分群統計'!$A$5:$A$8,0))&lt;3,"",IF(INDEX('分群統計'!$S$5:$S$8,MATCH(X372,'分群統計'!$A$5:$A$8,0))&gt;0,MAX(-3,MIN(3,(BB372-INDEX('分群統計'!$R$5:$R$8,MATCH(X372,'分群統計'!$A$5:$A$8,0)))/INDEX('分群統計'!$S$5:$S$8,MATCH(X372,'分群統計'!$A$5:$A$8,0)))),0)),""))</f>
        <v/>
      </c>
      <c r="AQ372" s="31">
        <f>IF(Y372=1,(IF(ISNUMBER(AF372),AF372,0)*'參數'!$B$13+IF(ISNUMBER(AM372),AM372,0)*'參數'!$B$14+IF(ISNUMBER(AO372),AO372,0)*'參數'!$B$15+IF(ISNUMBER(AP372),AP372,0)*'參數'!$B$16)/('參數'!$B$13+'參數'!$B$14+'參數'!$B$15+'參數'!$B$16),"")</f>
        <v/>
      </c>
      <c r="AR372" s="35">
        <f>IF(Y372=1,(SUMPRODUCT(($X$5:$X$404=X372)*($Y$5:$Y$404=1)*($BD$5:$BD$404&gt;BD372))+1)/COUNTIFS($X$5:$X$404,X372,$Y$5:$Y$404,1),"")</f>
        <v/>
      </c>
      <c r="AS372" s="8">
        <f>IF(ISNUMBER(AR372),IF(AR372&lt;='參數'!$B$18,"加碼候選",IF(AR372&gt;'參數'!$B$19,"減碼候選","")),"")</f>
        <v/>
      </c>
      <c r="AT372" s="7">
        <f>IF(Y372=1,N372,0)</f>
        <v/>
      </c>
      <c r="AU372" s="7">
        <f>IF(Y372=1,LN(O372),0)</f>
        <v/>
      </c>
      <c r="AV372" s="36">
        <f>IF(Y372=1,IF(ISNUMBER(F372),F372,0),0)</f>
        <v/>
      </c>
      <c r="AW372" s="7">
        <f>IF(Y372=1,Z372,0)</f>
        <v/>
      </c>
      <c r="AX372" s="7">
        <f>IF(Y372=1,IF(ISNUMBER(AL372),AL372,0),0)</f>
        <v/>
      </c>
      <c r="AY372" s="7">
        <f>IF(Y372=1,IF(ISNUMBER(AL372),1,0),0)</f>
        <v/>
      </c>
      <c r="AZ372" s="7">
        <f>IF(Y372=1,IF(ISNUMBER(AN372),AN372,0),0)</f>
        <v/>
      </c>
      <c r="BA372" s="7">
        <f>IF(Y372=1,IF(ISNUMBER(AN372),1,0),0)</f>
        <v/>
      </c>
      <c r="BB372" s="7">
        <f>IF(Y372=1,IF(ISNUMBER(T372),T372,0),0)</f>
        <v/>
      </c>
      <c r="BC372" s="7">
        <f>IF(Y372=1,IF(ISNUMBER(T372),1,0),0)</f>
        <v/>
      </c>
      <c r="BD372" s="7">
        <f>IF(Y372=1,AQ372+ROW()/1E9,-1E9)</f>
        <v/>
      </c>
      <c r="BE372" s="7">
        <f>IF(Y372=1,AQ372+ROW()/1E9,1E9)</f>
        <v/>
      </c>
    </row>
    <row r="373">
      <c r="A373" s="16" t="n"/>
      <c r="B373" s="8">
        <f>IF($A373="","",BDP($A373,B$3))</f>
        <v/>
      </c>
      <c r="C373" s="8">
        <f>IF($A373="","",BDP($A373,C$3))</f>
        <v/>
      </c>
      <c r="D373" s="28">
        <f>IF($A373="","",BDP($A373,D$3))</f>
        <v/>
      </c>
      <c r="E373" s="29">
        <f>IF($A373="","",BDP($A373,E$3))</f>
        <v/>
      </c>
      <c r="F373" s="17">
        <f>IF($A373="","",BDP($A373,F$3))</f>
        <v/>
      </c>
      <c r="G373" s="8">
        <f>IF($A373="","",BDP($A373,G$3))</f>
        <v/>
      </c>
      <c r="H373" s="8">
        <f>IF($A373="","",BDP($A373,H$3))</f>
        <v/>
      </c>
      <c r="I373" s="8">
        <f>IF($A373="","",BDP($A373,I$3))</f>
        <v/>
      </c>
      <c r="J373" s="8">
        <f>IF($A373="","",BDP($A373,J$3))</f>
        <v/>
      </c>
      <c r="K373" s="8">
        <f>IF($A373="","",BDP($A373,K$3))</f>
        <v/>
      </c>
      <c r="L373" s="28">
        <f>IF($A373="","",BDP($A373,L$3))</f>
        <v/>
      </c>
      <c r="M373" s="28">
        <f>IF($A373="","",BDP($A373,M$3))</f>
        <v/>
      </c>
      <c r="N373" s="30">
        <f>IF($A373="","",BDP($A373,N$3))</f>
        <v/>
      </c>
      <c r="O373" s="31">
        <f>IF($A373="","",BDP($A373,O$3))</f>
        <v/>
      </c>
      <c r="P373" s="30">
        <f>IF($A373="","",BDH($A373,$N$3,'參數'!$B$5,'參數'!$B$5,"Days=A","Fill=P","Dates=H"))</f>
        <v/>
      </c>
      <c r="Q373" s="30">
        <f>IF($A373="","",BDH($A373,$N$3,'參數'!$B$6,'參數'!$B$6,"Days=A","Fill=P","Dates=H"))</f>
        <v/>
      </c>
      <c r="R373" s="30">
        <f>IF($A373="","",BDH($A373,$N$3,'參數'!$B$7,'參數'!$B$7,"Days=A","Fill=P","Dates=H"))</f>
        <v/>
      </c>
      <c r="S373" s="32">
        <f>IF($A373="","",IFERROR(INDEX('發行人'!$A$5:$A$44,MATCH(B373,'發行人'!$D$5:$D$44,0)),"未對應"))</f>
        <v/>
      </c>
      <c r="T373" s="24">
        <f>IF($A373="","",IFERROR(INDEX('發行人'!$G$5:$G$44,MATCH(B373,'發行人'!$D$5:$D$44,0))+0,""))</f>
        <v/>
      </c>
      <c r="U373" s="18">
        <f>IF(ISNUMBER(E373),YEARFRAC('參數'!$B$4,E373),"")</f>
        <v/>
      </c>
      <c r="V373" s="8">
        <f>IF(U373="","",IF(U373&lt;3,"1-3y",IF(U373&lt;5,"3-5y",IF(U373&lt;7,"5-7y",IF(U373&lt;10,"7-10y","10y+")))))</f>
        <v/>
      </c>
      <c r="W373" s="30">
        <f>IF($A373="","",IFERROR(INDEX('參數'!$B$24:$B$45,MATCH(G373,'參數'!$A$24:$A$45,0)),""))</f>
        <v/>
      </c>
      <c r="X373" s="8">
        <f>IF($A373="","",IFERROR(INDEX('參數'!$C$24:$C$45,MATCH(G373,'參數'!$A$24:$A$45,0)),""))</f>
        <v/>
      </c>
      <c r="Y373" s="30">
        <f>IF(AND(ISNUMBER(N373),ISNUMBER(O373),ISNUMBER(U373)),IF(AND(O373&gt;0,X373&lt;&gt;""),1,0),0)</f>
        <v/>
      </c>
      <c r="Z373" s="17">
        <f>IF(Y373=1,O373*N373,"")</f>
        <v/>
      </c>
      <c r="AA373" s="33">
        <f>IF(Y373=1,IF(ISNUMBER(Q373),N373-Q373,""),"")</f>
        <v/>
      </c>
      <c r="AB373" s="33">
        <f>IF(Y373=1,IF(AND(ISNUMBER(P373),ISNUMBER(R373)),R373*5/12-O373*(P373-R373),""),"")</f>
        <v/>
      </c>
      <c r="AC373" s="30">
        <f>IF(Y373=1,COUNTIFS($X$5:$X$404,X373,$V$5:$V$404,V373,$Y$5:$Y$404,1),"")</f>
        <v/>
      </c>
      <c r="AD373" s="30">
        <f>IF(Y373=1,IFERROR(IF(AC373&gt;='參數'!$B$9,INDEX('分群統計'!$G$13:$K$16,MATCH(X373,'分群統計'!$A$13:$A$16,0),MATCH(V373,'分群統計'!$G$12:$K$12,0)),INDEX('分群統計'!$I$5:$I$8,MATCH(X373,'分群統計'!$A$5:$A$8,0))),""),"")</f>
        <v/>
      </c>
      <c r="AE373" s="18">
        <f>IF(Y373=1,IFERROR(IF(AC373&gt;='參數'!$B$9,INDEX('分群統計'!$L$13:$P$16,MATCH(X373,'分群統計'!$A$13:$A$16,0),MATCH(V373,'分群統計'!$L$12:$P$12,0)),INDEX('分群統計'!$J$5:$J$8,MATCH(X373,'分群統計'!$A$5:$A$8,0))),""),"")</f>
        <v/>
      </c>
      <c r="AF373" s="31">
        <f>IF(ISNUMBER(AE373),IF(AE373&gt;0,MAX(-3,MIN(3,(N373-AD373)/AE373)),0),"")</f>
        <v/>
      </c>
      <c r="AG373" s="30">
        <f>IF(Y373=1,COUNTIFS($B$5:$B$404,B373,$Y$5:$Y$404,1),"")</f>
        <v/>
      </c>
      <c r="AH373" s="30">
        <f>IF(Y373=1,IFERROR(IF(ISNUMBER(INDEX('分群統計'!$G$20:$G$59,MATCH(B373,'分群統計'!$A$20:$A$59,0))),INDEX('分群統計'!$H$20:$H$59,MATCH(B373,'分群統計'!$A$20:$A$59,0))+INDEX('分群統計'!$G$20:$G$59,MATCH(B373,'分群統計'!$A$20:$A$59,0))*AU373,""),""),"")</f>
        <v/>
      </c>
      <c r="AI373" s="34">
        <f>IF(ISNUMBER(AH373),N373-AH373,"")</f>
        <v/>
      </c>
      <c r="AJ373" s="30">
        <f>IF(Y373=1,IFERROR(IF(ISNUMBER(INDEX('分群統計'!$G$5:$G$8,MATCH(X373,'分群統計'!$A$5:$A$8,0))),INDEX('分群統計'!$H$5:$H$8,MATCH(X373,'分群統計'!$A$5:$A$8,0))+INDEX('分群統計'!$G$5:$G$8,MATCH(X373,'分群統計'!$A$5:$A$8,0))*AU373,""),""),"")</f>
        <v/>
      </c>
      <c r="AK373" s="34">
        <f>IF(ISNUMBER(AJ373),N373-AJ373,"")</f>
        <v/>
      </c>
      <c r="AL373" s="21">
        <f>IF(ISNUMBER(AJ373),IF(AJ373&gt;0,AK373/AJ373,""),"")</f>
        <v/>
      </c>
      <c r="AM373" s="31">
        <f>IF(AY373&lt;&gt;1,"",IFERROR(IF(INDEX('分群統計'!$K$5:$K$8,MATCH(X373,'分群統計'!$A$5:$A$8,0))&lt;3,"",IF(INDEX('分群統計'!$M$5:$M$8,MATCH(X373,'分群統計'!$A$5:$A$8,0))&gt;0,MAX(-3,MIN(3,(AX373-INDEX('分群統計'!$L$5:$L$8,MATCH(X373,'分群統計'!$A$5:$A$8,0)))/INDEX('分群統計'!$M$5:$M$8,MATCH(X373,'分群統計'!$A$5:$A$8,0)))),0)),""))</f>
        <v/>
      </c>
      <c r="AN373" s="31">
        <f>IF(ISNUMBER(AB373),IF(Z373&gt;0,AB373/Z373*100,""),"")</f>
        <v/>
      </c>
      <c r="AO373" s="31">
        <f>IF(BA373&lt;&gt;1,"",IFERROR(IF(INDEX('分群統計'!$N$5:$N$8,MATCH(X373,'分群統計'!$A$5:$A$8,0))&lt;3,"",IF(INDEX('分群統計'!$P$5:$P$8,MATCH(X373,'分群統計'!$A$5:$A$8,0))&gt;0,MAX(-3,MIN(3,(AZ373-INDEX('分群統計'!$O$5:$O$8,MATCH(X373,'分群統計'!$A$5:$A$8,0)))/INDEX('分群統計'!$P$5:$P$8,MATCH(X373,'分群統計'!$A$5:$A$8,0)))),0)),""))</f>
        <v/>
      </c>
      <c r="AP373" s="31">
        <f>IF(BC373&lt;&gt;1,"",IFERROR(IF(INDEX('分群統計'!$Q$5:$Q$8,MATCH(X373,'分群統計'!$A$5:$A$8,0))&lt;3,"",IF(INDEX('分群統計'!$S$5:$S$8,MATCH(X373,'分群統計'!$A$5:$A$8,0))&gt;0,MAX(-3,MIN(3,(BB373-INDEX('分群統計'!$R$5:$R$8,MATCH(X373,'分群統計'!$A$5:$A$8,0)))/INDEX('分群統計'!$S$5:$S$8,MATCH(X373,'分群統計'!$A$5:$A$8,0)))),0)),""))</f>
        <v/>
      </c>
      <c r="AQ373" s="31">
        <f>IF(Y373=1,(IF(ISNUMBER(AF373),AF373,0)*'參數'!$B$13+IF(ISNUMBER(AM373),AM373,0)*'參數'!$B$14+IF(ISNUMBER(AO373),AO373,0)*'參數'!$B$15+IF(ISNUMBER(AP373),AP373,0)*'參數'!$B$16)/('參數'!$B$13+'參數'!$B$14+'參數'!$B$15+'參數'!$B$16),"")</f>
        <v/>
      </c>
      <c r="AR373" s="35">
        <f>IF(Y373=1,(SUMPRODUCT(($X$5:$X$404=X373)*($Y$5:$Y$404=1)*($BD$5:$BD$404&gt;BD373))+1)/COUNTIFS($X$5:$X$404,X373,$Y$5:$Y$404,1),"")</f>
        <v/>
      </c>
      <c r="AS373" s="8">
        <f>IF(ISNUMBER(AR373),IF(AR373&lt;='參數'!$B$18,"加碼候選",IF(AR373&gt;'參數'!$B$19,"減碼候選","")),"")</f>
        <v/>
      </c>
      <c r="AT373" s="7">
        <f>IF(Y373=1,N373,0)</f>
        <v/>
      </c>
      <c r="AU373" s="7">
        <f>IF(Y373=1,LN(O373),0)</f>
        <v/>
      </c>
      <c r="AV373" s="36">
        <f>IF(Y373=1,IF(ISNUMBER(F373),F373,0),0)</f>
        <v/>
      </c>
      <c r="AW373" s="7">
        <f>IF(Y373=1,Z373,0)</f>
        <v/>
      </c>
      <c r="AX373" s="7">
        <f>IF(Y373=1,IF(ISNUMBER(AL373),AL373,0),0)</f>
        <v/>
      </c>
      <c r="AY373" s="7">
        <f>IF(Y373=1,IF(ISNUMBER(AL373),1,0),0)</f>
        <v/>
      </c>
      <c r="AZ373" s="7">
        <f>IF(Y373=1,IF(ISNUMBER(AN373),AN373,0),0)</f>
        <v/>
      </c>
      <c r="BA373" s="7">
        <f>IF(Y373=1,IF(ISNUMBER(AN373),1,0),0)</f>
        <v/>
      </c>
      <c r="BB373" s="7">
        <f>IF(Y373=1,IF(ISNUMBER(T373),T373,0),0)</f>
        <v/>
      </c>
      <c r="BC373" s="7">
        <f>IF(Y373=1,IF(ISNUMBER(T373),1,0),0)</f>
        <v/>
      </c>
      <c r="BD373" s="7">
        <f>IF(Y373=1,AQ373+ROW()/1E9,-1E9)</f>
        <v/>
      </c>
      <c r="BE373" s="7">
        <f>IF(Y373=1,AQ373+ROW()/1E9,1E9)</f>
        <v/>
      </c>
    </row>
    <row r="374">
      <c r="A374" s="16" t="n"/>
      <c r="B374" s="8">
        <f>IF($A374="","",BDP($A374,B$3))</f>
        <v/>
      </c>
      <c r="C374" s="8">
        <f>IF($A374="","",BDP($A374,C$3))</f>
        <v/>
      </c>
      <c r="D374" s="28">
        <f>IF($A374="","",BDP($A374,D$3))</f>
        <v/>
      </c>
      <c r="E374" s="29">
        <f>IF($A374="","",BDP($A374,E$3))</f>
        <v/>
      </c>
      <c r="F374" s="17">
        <f>IF($A374="","",BDP($A374,F$3))</f>
        <v/>
      </c>
      <c r="G374" s="8">
        <f>IF($A374="","",BDP($A374,G$3))</f>
        <v/>
      </c>
      <c r="H374" s="8">
        <f>IF($A374="","",BDP($A374,H$3))</f>
        <v/>
      </c>
      <c r="I374" s="8">
        <f>IF($A374="","",BDP($A374,I$3))</f>
        <v/>
      </c>
      <c r="J374" s="8">
        <f>IF($A374="","",BDP($A374,J$3))</f>
        <v/>
      </c>
      <c r="K374" s="8">
        <f>IF($A374="","",BDP($A374,K$3))</f>
        <v/>
      </c>
      <c r="L374" s="28">
        <f>IF($A374="","",BDP($A374,L$3))</f>
        <v/>
      </c>
      <c r="M374" s="28">
        <f>IF($A374="","",BDP($A374,M$3))</f>
        <v/>
      </c>
      <c r="N374" s="30">
        <f>IF($A374="","",BDP($A374,N$3))</f>
        <v/>
      </c>
      <c r="O374" s="31">
        <f>IF($A374="","",BDP($A374,O$3))</f>
        <v/>
      </c>
      <c r="P374" s="30">
        <f>IF($A374="","",BDH($A374,$N$3,'參數'!$B$5,'參數'!$B$5,"Days=A","Fill=P","Dates=H"))</f>
        <v/>
      </c>
      <c r="Q374" s="30">
        <f>IF($A374="","",BDH($A374,$N$3,'參數'!$B$6,'參數'!$B$6,"Days=A","Fill=P","Dates=H"))</f>
        <v/>
      </c>
      <c r="R374" s="30">
        <f>IF($A374="","",BDH($A374,$N$3,'參數'!$B$7,'參數'!$B$7,"Days=A","Fill=P","Dates=H"))</f>
        <v/>
      </c>
      <c r="S374" s="32">
        <f>IF($A374="","",IFERROR(INDEX('發行人'!$A$5:$A$44,MATCH(B374,'發行人'!$D$5:$D$44,0)),"未對應"))</f>
        <v/>
      </c>
      <c r="T374" s="24">
        <f>IF($A374="","",IFERROR(INDEX('發行人'!$G$5:$G$44,MATCH(B374,'發行人'!$D$5:$D$44,0))+0,""))</f>
        <v/>
      </c>
      <c r="U374" s="18">
        <f>IF(ISNUMBER(E374),YEARFRAC('參數'!$B$4,E374),"")</f>
        <v/>
      </c>
      <c r="V374" s="8">
        <f>IF(U374="","",IF(U374&lt;3,"1-3y",IF(U374&lt;5,"3-5y",IF(U374&lt;7,"5-7y",IF(U374&lt;10,"7-10y","10y+")))))</f>
        <v/>
      </c>
      <c r="W374" s="30">
        <f>IF($A374="","",IFERROR(INDEX('參數'!$B$24:$B$45,MATCH(G374,'參數'!$A$24:$A$45,0)),""))</f>
        <v/>
      </c>
      <c r="X374" s="8">
        <f>IF($A374="","",IFERROR(INDEX('參數'!$C$24:$C$45,MATCH(G374,'參數'!$A$24:$A$45,0)),""))</f>
        <v/>
      </c>
      <c r="Y374" s="30">
        <f>IF(AND(ISNUMBER(N374),ISNUMBER(O374),ISNUMBER(U374)),IF(AND(O374&gt;0,X374&lt;&gt;""),1,0),0)</f>
        <v/>
      </c>
      <c r="Z374" s="17">
        <f>IF(Y374=1,O374*N374,"")</f>
        <v/>
      </c>
      <c r="AA374" s="33">
        <f>IF(Y374=1,IF(ISNUMBER(Q374),N374-Q374,""),"")</f>
        <v/>
      </c>
      <c r="AB374" s="33">
        <f>IF(Y374=1,IF(AND(ISNUMBER(P374),ISNUMBER(R374)),R374*5/12-O374*(P374-R374),""),"")</f>
        <v/>
      </c>
      <c r="AC374" s="30">
        <f>IF(Y374=1,COUNTIFS($X$5:$X$404,X374,$V$5:$V$404,V374,$Y$5:$Y$404,1),"")</f>
        <v/>
      </c>
      <c r="AD374" s="30">
        <f>IF(Y374=1,IFERROR(IF(AC374&gt;='參數'!$B$9,INDEX('分群統計'!$G$13:$K$16,MATCH(X374,'分群統計'!$A$13:$A$16,0),MATCH(V374,'分群統計'!$G$12:$K$12,0)),INDEX('分群統計'!$I$5:$I$8,MATCH(X374,'分群統計'!$A$5:$A$8,0))),""),"")</f>
        <v/>
      </c>
      <c r="AE374" s="18">
        <f>IF(Y374=1,IFERROR(IF(AC374&gt;='參數'!$B$9,INDEX('分群統計'!$L$13:$P$16,MATCH(X374,'分群統計'!$A$13:$A$16,0),MATCH(V374,'分群統計'!$L$12:$P$12,0)),INDEX('分群統計'!$J$5:$J$8,MATCH(X374,'分群統計'!$A$5:$A$8,0))),""),"")</f>
        <v/>
      </c>
      <c r="AF374" s="31">
        <f>IF(ISNUMBER(AE374),IF(AE374&gt;0,MAX(-3,MIN(3,(N374-AD374)/AE374)),0),"")</f>
        <v/>
      </c>
      <c r="AG374" s="30">
        <f>IF(Y374=1,COUNTIFS($B$5:$B$404,B374,$Y$5:$Y$404,1),"")</f>
        <v/>
      </c>
      <c r="AH374" s="30">
        <f>IF(Y374=1,IFERROR(IF(ISNUMBER(INDEX('分群統計'!$G$20:$G$59,MATCH(B374,'分群統計'!$A$20:$A$59,0))),INDEX('分群統計'!$H$20:$H$59,MATCH(B374,'分群統計'!$A$20:$A$59,0))+INDEX('分群統計'!$G$20:$G$59,MATCH(B374,'分群統計'!$A$20:$A$59,0))*AU374,""),""),"")</f>
        <v/>
      </c>
      <c r="AI374" s="34">
        <f>IF(ISNUMBER(AH374),N374-AH374,"")</f>
        <v/>
      </c>
      <c r="AJ374" s="30">
        <f>IF(Y374=1,IFERROR(IF(ISNUMBER(INDEX('分群統計'!$G$5:$G$8,MATCH(X374,'分群統計'!$A$5:$A$8,0))),INDEX('分群統計'!$H$5:$H$8,MATCH(X374,'分群統計'!$A$5:$A$8,0))+INDEX('分群統計'!$G$5:$G$8,MATCH(X374,'分群統計'!$A$5:$A$8,0))*AU374,""),""),"")</f>
        <v/>
      </c>
      <c r="AK374" s="34">
        <f>IF(ISNUMBER(AJ374),N374-AJ374,"")</f>
        <v/>
      </c>
      <c r="AL374" s="21">
        <f>IF(ISNUMBER(AJ374),IF(AJ374&gt;0,AK374/AJ374,""),"")</f>
        <v/>
      </c>
      <c r="AM374" s="31">
        <f>IF(AY374&lt;&gt;1,"",IFERROR(IF(INDEX('分群統計'!$K$5:$K$8,MATCH(X374,'分群統計'!$A$5:$A$8,0))&lt;3,"",IF(INDEX('分群統計'!$M$5:$M$8,MATCH(X374,'分群統計'!$A$5:$A$8,0))&gt;0,MAX(-3,MIN(3,(AX374-INDEX('分群統計'!$L$5:$L$8,MATCH(X374,'分群統計'!$A$5:$A$8,0)))/INDEX('分群統計'!$M$5:$M$8,MATCH(X374,'分群統計'!$A$5:$A$8,0)))),0)),""))</f>
        <v/>
      </c>
      <c r="AN374" s="31">
        <f>IF(ISNUMBER(AB374),IF(Z374&gt;0,AB374/Z374*100,""),"")</f>
        <v/>
      </c>
      <c r="AO374" s="31">
        <f>IF(BA374&lt;&gt;1,"",IFERROR(IF(INDEX('分群統計'!$N$5:$N$8,MATCH(X374,'分群統計'!$A$5:$A$8,0))&lt;3,"",IF(INDEX('分群統計'!$P$5:$P$8,MATCH(X374,'分群統計'!$A$5:$A$8,0))&gt;0,MAX(-3,MIN(3,(AZ374-INDEX('分群統計'!$O$5:$O$8,MATCH(X374,'分群統計'!$A$5:$A$8,0)))/INDEX('分群統計'!$P$5:$P$8,MATCH(X374,'分群統計'!$A$5:$A$8,0)))),0)),""))</f>
        <v/>
      </c>
      <c r="AP374" s="31">
        <f>IF(BC374&lt;&gt;1,"",IFERROR(IF(INDEX('分群統計'!$Q$5:$Q$8,MATCH(X374,'分群統計'!$A$5:$A$8,0))&lt;3,"",IF(INDEX('分群統計'!$S$5:$S$8,MATCH(X374,'分群統計'!$A$5:$A$8,0))&gt;0,MAX(-3,MIN(3,(BB374-INDEX('分群統計'!$R$5:$R$8,MATCH(X374,'分群統計'!$A$5:$A$8,0)))/INDEX('分群統計'!$S$5:$S$8,MATCH(X374,'分群統計'!$A$5:$A$8,0)))),0)),""))</f>
        <v/>
      </c>
      <c r="AQ374" s="31">
        <f>IF(Y374=1,(IF(ISNUMBER(AF374),AF374,0)*'參數'!$B$13+IF(ISNUMBER(AM374),AM374,0)*'參數'!$B$14+IF(ISNUMBER(AO374),AO374,0)*'參數'!$B$15+IF(ISNUMBER(AP374),AP374,0)*'參數'!$B$16)/('參數'!$B$13+'參數'!$B$14+'參數'!$B$15+'參數'!$B$16),"")</f>
        <v/>
      </c>
      <c r="AR374" s="35">
        <f>IF(Y374=1,(SUMPRODUCT(($X$5:$X$404=X374)*($Y$5:$Y$404=1)*($BD$5:$BD$404&gt;BD374))+1)/COUNTIFS($X$5:$X$404,X374,$Y$5:$Y$404,1),"")</f>
        <v/>
      </c>
      <c r="AS374" s="8">
        <f>IF(ISNUMBER(AR374),IF(AR374&lt;='參數'!$B$18,"加碼候選",IF(AR374&gt;'參數'!$B$19,"減碼候選","")),"")</f>
        <v/>
      </c>
      <c r="AT374" s="7">
        <f>IF(Y374=1,N374,0)</f>
        <v/>
      </c>
      <c r="AU374" s="7">
        <f>IF(Y374=1,LN(O374),0)</f>
        <v/>
      </c>
      <c r="AV374" s="36">
        <f>IF(Y374=1,IF(ISNUMBER(F374),F374,0),0)</f>
        <v/>
      </c>
      <c r="AW374" s="7">
        <f>IF(Y374=1,Z374,0)</f>
        <v/>
      </c>
      <c r="AX374" s="7">
        <f>IF(Y374=1,IF(ISNUMBER(AL374),AL374,0),0)</f>
        <v/>
      </c>
      <c r="AY374" s="7">
        <f>IF(Y374=1,IF(ISNUMBER(AL374),1,0),0)</f>
        <v/>
      </c>
      <c r="AZ374" s="7">
        <f>IF(Y374=1,IF(ISNUMBER(AN374),AN374,0),0)</f>
        <v/>
      </c>
      <c r="BA374" s="7">
        <f>IF(Y374=1,IF(ISNUMBER(AN374),1,0),0)</f>
        <v/>
      </c>
      <c r="BB374" s="7">
        <f>IF(Y374=1,IF(ISNUMBER(T374),T374,0),0)</f>
        <v/>
      </c>
      <c r="BC374" s="7">
        <f>IF(Y374=1,IF(ISNUMBER(T374),1,0),0)</f>
        <v/>
      </c>
      <c r="BD374" s="7">
        <f>IF(Y374=1,AQ374+ROW()/1E9,-1E9)</f>
        <v/>
      </c>
      <c r="BE374" s="7">
        <f>IF(Y374=1,AQ374+ROW()/1E9,1E9)</f>
        <v/>
      </c>
    </row>
    <row r="375">
      <c r="A375" s="16" t="n"/>
      <c r="B375" s="8">
        <f>IF($A375="","",BDP($A375,B$3))</f>
        <v/>
      </c>
      <c r="C375" s="8">
        <f>IF($A375="","",BDP($A375,C$3))</f>
        <v/>
      </c>
      <c r="D375" s="28">
        <f>IF($A375="","",BDP($A375,D$3))</f>
        <v/>
      </c>
      <c r="E375" s="29">
        <f>IF($A375="","",BDP($A375,E$3))</f>
        <v/>
      </c>
      <c r="F375" s="17">
        <f>IF($A375="","",BDP($A375,F$3))</f>
        <v/>
      </c>
      <c r="G375" s="8">
        <f>IF($A375="","",BDP($A375,G$3))</f>
        <v/>
      </c>
      <c r="H375" s="8">
        <f>IF($A375="","",BDP($A375,H$3))</f>
        <v/>
      </c>
      <c r="I375" s="8">
        <f>IF($A375="","",BDP($A375,I$3))</f>
        <v/>
      </c>
      <c r="J375" s="8">
        <f>IF($A375="","",BDP($A375,J$3))</f>
        <v/>
      </c>
      <c r="K375" s="8">
        <f>IF($A375="","",BDP($A375,K$3))</f>
        <v/>
      </c>
      <c r="L375" s="28">
        <f>IF($A375="","",BDP($A375,L$3))</f>
        <v/>
      </c>
      <c r="M375" s="28">
        <f>IF($A375="","",BDP($A375,M$3))</f>
        <v/>
      </c>
      <c r="N375" s="30">
        <f>IF($A375="","",BDP($A375,N$3))</f>
        <v/>
      </c>
      <c r="O375" s="31">
        <f>IF($A375="","",BDP($A375,O$3))</f>
        <v/>
      </c>
      <c r="P375" s="30">
        <f>IF($A375="","",BDH($A375,$N$3,'參數'!$B$5,'參數'!$B$5,"Days=A","Fill=P","Dates=H"))</f>
        <v/>
      </c>
      <c r="Q375" s="30">
        <f>IF($A375="","",BDH($A375,$N$3,'參數'!$B$6,'參數'!$B$6,"Days=A","Fill=P","Dates=H"))</f>
        <v/>
      </c>
      <c r="R375" s="30">
        <f>IF($A375="","",BDH($A375,$N$3,'參數'!$B$7,'參數'!$B$7,"Days=A","Fill=P","Dates=H"))</f>
        <v/>
      </c>
      <c r="S375" s="32">
        <f>IF($A375="","",IFERROR(INDEX('發行人'!$A$5:$A$44,MATCH(B375,'發行人'!$D$5:$D$44,0)),"未對應"))</f>
        <v/>
      </c>
      <c r="T375" s="24">
        <f>IF($A375="","",IFERROR(INDEX('發行人'!$G$5:$G$44,MATCH(B375,'發行人'!$D$5:$D$44,0))+0,""))</f>
        <v/>
      </c>
      <c r="U375" s="18">
        <f>IF(ISNUMBER(E375),YEARFRAC('參數'!$B$4,E375),"")</f>
        <v/>
      </c>
      <c r="V375" s="8">
        <f>IF(U375="","",IF(U375&lt;3,"1-3y",IF(U375&lt;5,"3-5y",IF(U375&lt;7,"5-7y",IF(U375&lt;10,"7-10y","10y+")))))</f>
        <v/>
      </c>
      <c r="W375" s="30">
        <f>IF($A375="","",IFERROR(INDEX('參數'!$B$24:$B$45,MATCH(G375,'參數'!$A$24:$A$45,0)),""))</f>
        <v/>
      </c>
      <c r="X375" s="8">
        <f>IF($A375="","",IFERROR(INDEX('參數'!$C$24:$C$45,MATCH(G375,'參數'!$A$24:$A$45,0)),""))</f>
        <v/>
      </c>
      <c r="Y375" s="30">
        <f>IF(AND(ISNUMBER(N375),ISNUMBER(O375),ISNUMBER(U375)),IF(AND(O375&gt;0,X375&lt;&gt;""),1,0),0)</f>
        <v/>
      </c>
      <c r="Z375" s="17">
        <f>IF(Y375=1,O375*N375,"")</f>
        <v/>
      </c>
      <c r="AA375" s="33">
        <f>IF(Y375=1,IF(ISNUMBER(Q375),N375-Q375,""),"")</f>
        <v/>
      </c>
      <c r="AB375" s="33">
        <f>IF(Y375=1,IF(AND(ISNUMBER(P375),ISNUMBER(R375)),R375*5/12-O375*(P375-R375),""),"")</f>
        <v/>
      </c>
      <c r="AC375" s="30">
        <f>IF(Y375=1,COUNTIFS($X$5:$X$404,X375,$V$5:$V$404,V375,$Y$5:$Y$404,1),"")</f>
        <v/>
      </c>
      <c r="AD375" s="30">
        <f>IF(Y375=1,IFERROR(IF(AC375&gt;='參數'!$B$9,INDEX('分群統計'!$G$13:$K$16,MATCH(X375,'分群統計'!$A$13:$A$16,0),MATCH(V375,'分群統計'!$G$12:$K$12,0)),INDEX('分群統計'!$I$5:$I$8,MATCH(X375,'分群統計'!$A$5:$A$8,0))),""),"")</f>
        <v/>
      </c>
      <c r="AE375" s="18">
        <f>IF(Y375=1,IFERROR(IF(AC375&gt;='參數'!$B$9,INDEX('分群統計'!$L$13:$P$16,MATCH(X375,'分群統計'!$A$13:$A$16,0),MATCH(V375,'分群統計'!$L$12:$P$12,0)),INDEX('分群統計'!$J$5:$J$8,MATCH(X375,'分群統計'!$A$5:$A$8,0))),""),"")</f>
        <v/>
      </c>
      <c r="AF375" s="31">
        <f>IF(ISNUMBER(AE375),IF(AE375&gt;0,MAX(-3,MIN(3,(N375-AD375)/AE375)),0),"")</f>
        <v/>
      </c>
      <c r="AG375" s="30">
        <f>IF(Y375=1,COUNTIFS($B$5:$B$404,B375,$Y$5:$Y$404,1),"")</f>
        <v/>
      </c>
      <c r="AH375" s="30">
        <f>IF(Y375=1,IFERROR(IF(ISNUMBER(INDEX('分群統計'!$G$20:$G$59,MATCH(B375,'分群統計'!$A$20:$A$59,0))),INDEX('分群統計'!$H$20:$H$59,MATCH(B375,'分群統計'!$A$20:$A$59,0))+INDEX('分群統計'!$G$20:$G$59,MATCH(B375,'分群統計'!$A$20:$A$59,0))*AU375,""),""),"")</f>
        <v/>
      </c>
      <c r="AI375" s="34">
        <f>IF(ISNUMBER(AH375),N375-AH375,"")</f>
        <v/>
      </c>
      <c r="AJ375" s="30">
        <f>IF(Y375=1,IFERROR(IF(ISNUMBER(INDEX('分群統計'!$G$5:$G$8,MATCH(X375,'分群統計'!$A$5:$A$8,0))),INDEX('分群統計'!$H$5:$H$8,MATCH(X375,'分群統計'!$A$5:$A$8,0))+INDEX('分群統計'!$G$5:$G$8,MATCH(X375,'分群統計'!$A$5:$A$8,0))*AU375,""),""),"")</f>
        <v/>
      </c>
      <c r="AK375" s="34">
        <f>IF(ISNUMBER(AJ375),N375-AJ375,"")</f>
        <v/>
      </c>
      <c r="AL375" s="21">
        <f>IF(ISNUMBER(AJ375),IF(AJ375&gt;0,AK375/AJ375,""),"")</f>
        <v/>
      </c>
      <c r="AM375" s="31">
        <f>IF(AY375&lt;&gt;1,"",IFERROR(IF(INDEX('分群統計'!$K$5:$K$8,MATCH(X375,'分群統計'!$A$5:$A$8,0))&lt;3,"",IF(INDEX('分群統計'!$M$5:$M$8,MATCH(X375,'分群統計'!$A$5:$A$8,0))&gt;0,MAX(-3,MIN(3,(AX375-INDEX('分群統計'!$L$5:$L$8,MATCH(X375,'分群統計'!$A$5:$A$8,0)))/INDEX('分群統計'!$M$5:$M$8,MATCH(X375,'分群統計'!$A$5:$A$8,0)))),0)),""))</f>
        <v/>
      </c>
      <c r="AN375" s="31">
        <f>IF(ISNUMBER(AB375),IF(Z375&gt;0,AB375/Z375*100,""),"")</f>
        <v/>
      </c>
      <c r="AO375" s="31">
        <f>IF(BA375&lt;&gt;1,"",IFERROR(IF(INDEX('分群統計'!$N$5:$N$8,MATCH(X375,'分群統計'!$A$5:$A$8,0))&lt;3,"",IF(INDEX('分群統計'!$P$5:$P$8,MATCH(X375,'分群統計'!$A$5:$A$8,0))&gt;0,MAX(-3,MIN(3,(AZ375-INDEX('分群統計'!$O$5:$O$8,MATCH(X375,'分群統計'!$A$5:$A$8,0)))/INDEX('分群統計'!$P$5:$P$8,MATCH(X375,'分群統計'!$A$5:$A$8,0)))),0)),""))</f>
        <v/>
      </c>
      <c r="AP375" s="31">
        <f>IF(BC375&lt;&gt;1,"",IFERROR(IF(INDEX('分群統計'!$Q$5:$Q$8,MATCH(X375,'分群統計'!$A$5:$A$8,0))&lt;3,"",IF(INDEX('分群統計'!$S$5:$S$8,MATCH(X375,'分群統計'!$A$5:$A$8,0))&gt;0,MAX(-3,MIN(3,(BB375-INDEX('分群統計'!$R$5:$R$8,MATCH(X375,'分群統計'!$A$5:$A$8,0)))/INDEX('分群統計'!$S$5:$S$8,MATCH(X375,'分群統計'!$A$5:$A$8,0)))),0)),""))</f>
        <v/>
      </c>
      <c r="AQ375" s="31">
        <f>IF(Y375=1,(IF(ISNUMBER(AF375),AF375,0)*'參數'!$B$13+IF(ISNUMBER(AM375),AM375,0)*'參數'!$B$14+IF(ISNUMBER(AO375),AO375,0)*'參數'!$B$15+IF(ISNUMBER(AP375),AP375,0)*'參數'!$B$16)/('參數'!$B$13+'參數'!$B$14+'參數'!$B$15+'參數'!$B$16),"")</f>
        <v/>
      </c>
      <c r="AR375" s="35">
        <f>IF(Y375=1,(SUMPRODUCT(($X$5:$X$404=X375)*($Y$5:$Y$404=1)*($BD$5:$BD$404&gt;BD375))+1)/COUNTIFS($X$5:$X$404,X375,$Y$5:$Y$404,1),"")</f>
        <v/>
      </c>
      <c r="AS375" s="8">
        <f>IF(ISNUMBER(AR375),IF(AR375&lt;='參數'!$B$18,"加碼候選",IF(AR375&gt;'參數'!$B$19,"減碼候選","")),"")</f>
        <v/>
      </c>
      <c r="AT375" s="7">
        <f>IF(Y375=1,N375,0)</f>
        <v/>
      </c>
      <c r="AU375" s="7">
        <f>IF(Y375=1,LN(O375),0)</f>
        <v/>
      </c>
      <c r="AV375" s="36">
        <f>IF(Y375=1,IF(ISNUMBER(F375),F375,0),0)</f>
        <v/>
      </c>
      <c r="AW375" s="7">
        <f>IF(Y375=1,Z375,0)</f>
        <v/>
      </c>
      <c r="AX375" s="7">
        <f>IF(Y375=1,IF(ISNUMBER(AL375),AL375,0),0)</f>
        <v/>
      </c>
      <c r="AY375" s="7">
        <f>IF(Y375=1,IF(ISNUMBER(AL375),1,0),0)</f>
        <v/>
      </c>
      <c r="AZ375" s="7">
        <f>IF(Y375=1,IF(ISNUMBER(AN375),AN375,0),0)</f>
        <v/>
      </c>
      <c r="BA375" s="7">
        <f>IF(Y375=1,IF(ISNUMBER(AN375),1,0),0)</f>
        <v/>
      </c>
      <c r="BB375" s="7">
        <f>IF(Y375=1,IF(ISNUMBER(T375),T375,0),0)</f>
        <v/>
      </c>
      <c r="BC375" s="7">
        <f>IF(Y375=1,IF(ISNUMBER(T375),1,0),0)</f>
        <v/>
      </c>
      <c r="BD375" s="7">
        <f>IF(Y375=1,AQ375+ROW()/1E9,-1E9)</f>
        <v/>
      </c>
      <c r="BE375" s="7">
        <f>IF(Y375=1,AQ375+ROW()/1E9,1E9)</f>
        <v/>
      </c>
    </row>
    <row r="376">
      <c r="A376" s="16" t="n"/>
      <c r="B376" s="8">
        <f>IF($A376="","",BDP($A376,B$3))</f>
        <v/>
      </c>
      <c r="C376" s="8">
        <f>IF($A376="","",BDP($A376,C$3))</f>
        <v/>
      </c>
      <c r="D376" s="28">
        <f>IF($A376="","",BDP($A376,D$3))</f>
        <v/>
      </c>
      <c r="E376" s="29">
        <f>IF($A376="","",BDP($A376,E$3))</f>
        <v/>
      </c>
      <c r="F376" s="17">
        <f>IF($A376="","",BDP($A376,F$3))</f>
        <v/>
      </c>
      <c r="G376" s="8">
        <f>IF($A376="","",BDP($A376,G$3))</f>
        <v/>
      </c>
      <c r="H376" s="8">
        <f>IF($A376="","",BDP($A376,H$3))</f>
        <v/>
      </c>
      <c r="I376" s="8">
        <f>IF($A376="","",BDP($A376,I$3))</f>
        <v/>
      </c>
      <c r="J376" s="8">
        <f>IF($A376="","",BDP($A376,J$3))</f>
        <v/>
      </c>
      <c r="K376" s="8">
        <f>IF($A376="","",BDP($A376,K$3))</f>
        <v/>
      </c>
      <c r="L376" s="28">
        <f>IF($A376="","",BDP($A376,L$3))</f>
        <v/>
      </c>
      <c r="M376" s="28">
        <f>IF($A376="","",BDP($A376,M$3))</f>
        <v/>
      </c>
      <c r="N376" s="30">
        <f>IF($A376="","",BDP($A376,N$3))</f>
        <v/>
      </c>
      <c r="O376" s="31">
        <f>IF($A376="","",BDP($A376,O$3))</f>
        <v/>
      </c>
      <c r="P376" s="30">
        <f>IF($A376="","",BDH($A376,$N$3,'參數'!$B$5,'參數'!$B$5,"Days=A","Fill=P","Dates=H"))</f>
        <v/>
      </c>
      <c r="Q376" s="30">
        <f>IF($A376="","",BDH($A376,$N$3,'參數'!$B$6,'參數'!$B$6,"Days=A","Fill=P","Dates=H"))</f>
        <v/>
      </c>
      <c r="R376" s="30">
        <f>IF($A376="","",BDH($A376,$N$3,'參數'!$B$7,'參數'!$B$7,"Days=A","Fill=P","Dates=H"))</f>
        <v/>
      </c>
      <c r="S376" s="32">
        <f>IF($A376="","",IFERROR(INDEX('發行人'!$A$5:$A$44,MATCH(B376,'發行人'!$D$5:$D$44,0)),"未對應"))</f>
        <v/>
      </c>
      <c r="T376" s="24">
        <f>IF($A376="","",IFERROR(INDEX('發行人'!$G$5:$G$44,MATCH(B376,'發行人'!$D$5:$D$44,0))+0,""))</f>
        <v/>
      </c>
      <c r="U376" s="18">
        <f>IF(ISNUMBER(E376),YEARFRAC('參數'!$B$4,E376),"")</f>
        <v/>
      </c>
      <c r="V376" s="8">
        <f>IF(U376="","",IF(U376&lt;3,"1-3y",IF(U376&lt;5,"3-5y",IF(U376&lt;7,"5-7y",IF(U376&lt;10,"7-10y","10y+")))))</f>
        <v/>
      </c>
      <c r="W376" s="30">
        <f>IF($A376="","",IFERROR(INDEX('參數'!$B$24:$B$45,MATCH(G376,'參數'!$A$24:$A$45,0)),""))</f>
        <v/>
      </c>
      <c r="X376" s="8">
        <f>IF($A376="","",IFERROR(INDEX('參數'!$C$24:$C$45,MATCH(G376,'參數'!$A$24:$A$45,0)),""))</f>
        <v/>
      </c>
      <c r="Y376" s="30">
        <f>IF(AND(ISNUMBER(N376),ISNUMBER(O376),ISNUMBER(U376)),IF(AND(O376&gt;0,X376&lt;&gt;""),1,0),0)</f>
        <v/>
      </c>
      <c r="Z376" s="17">
        <f>IF(Y376=1,O376*N376,"")</f>
        <v/>
      </c>
      <c r="AA376" s="33">
        <f>IF(Y376=1,IF(ISNUMBER(Q376),N376-Q376,""),"")</f>
        <v/>
      </c>
      <c r="AB376" s="33">
        <f>IF(Y376=1,IF(AND(ISNUMBER(P376),ISNUMBER(R376)),R376*5/12-O376*(P376-R376),""),"")</f>
        <v/>
      </c>
      <c r="AC376" s="30">
        <f>IF(Y376=1,COUNTIFS($X$5:$X$404,X376,$V$5:$V$404,V376,$Y$5:$Y$404,1),"")</f>
        <v/>
      </c>
      <c r="AD376" s="30">
        <f>IF(Y376=1,IFERROR(IF(AC376&gt;='參數'!$B$9,INDEX('分群統計'!$G$13:$K$16,MATCH(X376,'分群統計'!$A$13:$A$16,0),MATCH(V376,'分群統計'!$G$12:$K$12,0)),INDEX('分群統計'!$I$5:$I$8,MATCH(X376,'分群統計'!$A$5:$A$8,0))),""),"")</f>
        <v/>
      </c>
      <c r="AE376" s="18">
        <f>IF(Y376=1,IFERROR(IF(AC376&gt;='參數'!$B$9,INDEX('分群統計'!$L$13:$P$16,MATCH(X376,'分群統計'!$A$13:$A$16,0),MATCH(V376,'分群統計'!$L$12:$P$12,0)),INDEX('分群統計'!$J$5:$J$8,MATCH(X376,'分群統計'!$A$5:$A$8,0))),""),"")</f>
        <v/>
      </c>
      <c r="AF376" s="31">
        <f>IF(ISNUMBER(AE376),IF(AE376&gt;0,MAX(-3,MIN(3,(N376-AD376)/AE376)),0),"")</f>
        <v/>
      </c>
      <c r="AG376" s="30">
        <f>IF(Y376=1,COUNTIFS($B$5:$B$404,B376,$Y$5:$Y$404,1),"")</f>
        <v/>
      </c>
      <c r="AH376" s="30">
        <f>IF(Y376=1,IFERROR(IF(ISNUMBER(INDEX('分群統計'!$G$20:$G$59,MATCH(B376,'分群統計'!$A$20:$A$59,0))),INDEX('分群統計'!$H$20:$H$59,MATCH(B376,'分群統計'!$A$20:$A$59,0))+INDEX('分群統計'!$G$20:$G$59,MATCH(B376,'分群統計'!$A$20:$A$59,0))*AU376,""),""),"")</f>
        <v/>
      </c>
      <c r="AI376" s="34">
        <f>IF(ISNUMBER(AH376),N376-AH376,"")</f>
        <v/>
      </c>
      <c r="AJ376" s="30">
        <f>IF(Y376=1,IFERROR(IF(ISNUMBER(INDEX('分群統計'!$G$5:$G$8,MATCH(X376,'分群統計'!$A$5:$A$8,0))),INDEX('分群統計'!$H$5:$H$8,MATCH(X376,'分群統計'!$A$5:$A$8,0))+INDEX('分群統計'!$G$5:$G$8,MATCH(X376,'分群統計'!$A$5:$A$8,0))*AU376,""),""),"")</f>
        <v/>
      </c>
      <c r="AK376" s="34">
        <f>IF(ISNUMBER(AJ376),N376-AJ376,"")</f>
        <v/>
      </c>
      <c r="AL376" s="21">
        <f>IF(ISNUMBER(AJ376),IF(AJ376&gt;0,AK376/AJ376,""),"")</f>
        <v/>
      </c>
      <c r="AM376" s="31">
        <f>IF(AY376&lt;&gt;1,"",IFERROR(IF(INDEX('分群統計'!$K$5:$K$8,MATCH(X376,'分群統計'!$A$5:$A$8,0))&lt;3,"",IF(INDEX('分群統計'!$M$5:$M$8,MATCH(X376,'分群統計'!$A$5:$A$8,0))&gt;0,MAX(-3,MIN(3,(AX376-INDEX('分群統計'!$L$5:$L$8,MATCH(X376,'分群統計'!$A$5:$A$8,0)))/INDEX('分群統計'!$M$5:$M$8,MATCH(X376,'分群統計'!$A$5:$A$8,0)))),0)),""))</f>
        <v/>
      </c>
      <c r="AN376" s="31">
        <f>IF(ISNUMBER(AB376),IF(Z376&gt;0,AB376/Z376*100,""),"")</f>
        <v/>
      </c>
      <c r="AO376" s="31">
        <f>IF(BA376&lt;&gt;1,"",IFERROR(IF(INDEX('分群統計'!$N$5:$N$8,MATCH(X376,'分群統計'!$A$5:$A$8,0))&lt;3,"",IF(INDEX('分群統計'!$P$5:$P$8,MATCH(X376,'分群統計'!$A$5:$A$8,0))&gt;0,MAX(-3,MIN(3,(AZ376-INDEX('分群統計'!$O$5:$O$8,MATCH(X376,'分群統計'!$A$5:$A$8,0)))/INDEX('分群統計'!$P$5:$P$8,MATCH(X376,'分群統計'!$A$5:$A$8,0)))),0)),""))</f>
        <v/>
      </c>
      <c r="AP376" s="31">
        <f>IF(BC376&lt;&gt;1,"",IFERROR(IF(INDEX('分群統計'!$Q$5:$Q$8,MATCH(X376,'分群統計'!$A$5:$A$8,0))&lt;3,"",IF(INDEX('分群統計'!$S$5:$S$8,MATCH(X376,'分群統計'!$A$5:$A$8,0))&gt;0,MAX(-3,MIN(3,(BB376-INDEX('分群統計'!$R$5:$R$8,MATCH(X376,'分群統計'!$A$5:$A$8,0)))/INDEX('分群統計'!$S$5:$S$8,MATCH(X376,'分群統計'!$A$5:$A$8,0)))),0)),""))</f>
        <v/>
      </c>
      <c r="AQ376" s="31">
        <f>IF(Y376=1,(IF(ISNUMBER(AF376),AF376,0)*'參數'!$B$13+IF(ISNUMBER(AM376),AM376,0)*'參數'!$B$14+IF(ISNUMBER(AO376),AO376,0)*'參數'!$B$15+IF(ISNUMBER(AP376),AP376,0)*'參數'!$B$16)/('參數'!$B$13+'參數'!$B$14+'參數'!$B$15+'參數'!$B$16),"")</f>
        <v/>
      </c>
      <c r="AR376" s="35">
        <f>IF(Y376=1,(SUMPRODUCT(($X$5:$X$404=X376)*($Y$5:$Y$404=1)*($BD$5:$BD$404&gt;BD376))+1)/COUNTIFS($X$5:$X$404,X376,$Y$5:$Y$404,1),"")</f>
        <v/>
      </c>
      <c r="AS376" s="8">
        <f>IF(ISNUMBER(AR376),IF(AR376&lt;='參數'!$B$18,"加碼候選",IF(AR376&gt;'參數'!$B$19,"減碼候選","")),"")</f>
        <v/>
      </c>
      <c r="AT376" s="7">
        <f>IF(Y376=1,N376,0)</f>
        <v/>
      </c>
      <c r="AU376" s="7">
        <f>IF(Y376=1,LN(O376),0)</f>
        <v/>
      </c>
      <c r="AV376" s="36">
        <f>IF(Y376=1,IF(ISNUMBER(F376),F376,0),0)</f>
        <v/>
      </c>
      <c r="AW376" s="7">
        <f>IF(Y376=1,Z376,0)</f>
        <v/>
      </c>
      <c r="AX376" s="7">
        <f>IF(Y376=1,IF(ISNUMBER(AL376),AL376,0),0)</f>
        <v/>
      </c>
      <c r="AY376" s="7">
        <f>IF(Y376=1,IF(ISNUMBER(AL376),1,0),0)</f>
        <v/>
      </c>
      <c r="AZ376" s="7">
        <f>IF(Y376=1,IF(ISNUMBER(AN376),AN376,0),0)</f>
        <v/>
      </c>
      <c r="BA376" s="7">
        <f>IF(Y376=1,IF(ISNUMBER(AN376),1,0),0)</f>
        <v/>
      </c>
      <c r="BB376" s="7">
        <f>IF(Y376=1,IF(ISNUMBER(T376),T376,0),0)</f>
        <v/>
      </c>
      <c r="BC376" s="7">
        <f>IF(Y376=1,IF(ISNUMBER(T376),1,0),0)</f>
        <v/>
      </c>
      <c r="BD376" s="7">
        <f>IF(Y376=1,AQ376+ROW()/1E9,-1E9)</f>
        <v/>
      </c>
      <c r="BE376" s="7">
        <f>IF(Y376=1,AQ376+ROW()/1E9,1E9)</f>
        <v/>
      </c>
    </row>
    <row r="377">
      <c r="A377" s="16" t="n"/>
      <c r="B377" s="8">
        <f>IF($A377="","",BDP($A377,B$3))</f>
        <v/>
      </c>
      <c r="C377" s="8">
        <f>IF($A377="","",BDP($A377,C$3))</f>
        <v/>
      </c>
      <c r="D377" s="28">
        <f>IF($A377="","",BDP($A377,D$3))</f>
        <v/>
      </c>
      <c r="E377" s="29">
        <f>IF($A377="","",BDP($A377,E$3))</f>
        <v/>
      </c>
      <c r="F377" s="17">
        <f>IF($A377="","",BDP($A377,F$3))</f>
        <v/>
      </c>
      <c r="G377" s="8">
        <f>IF($A377="","",BDP($A377,G$3))</f>
        <v/>
      </c>
      <c r="H377" s="8">
        <f>IF($A377="","",BDP($A377,H$3))</f>
        <v/>
      </c>
      <c r="I377" s="8">
        <f>IF($A377="","",BDP($A377,I$3))</f>
        <v/>
      </c>
      <c r="J377" s="8">
        <f>IF($A377="","",BDP($A377,J$3))</f>
        <v/>
      </c>
      <c r="K377" s="8">
        <f>IF($A377="","",BDP($A377,K$3))</f>
        <v/>
      </c>
      <c r="L377" s="28">
        <f>IF($A377="","",BDP($A377,L$3))</f>
        <v/>
      </c>
      <c r="M377" s="28">
        <f>IF($A377="","",BDP($A377,M$3))</f>
        <v/>
      </c>
      <c r="N377" s="30">
        <f>IF($A377="","",BDP($A377,N$3))</f>
        <v/>
      </c>
      <c r="O377" s="31">
        <f>IF($A377="","",BDP($A377,O$3))</f>
        <v/>
      </c>
      <c r="P377" s="30">
        <f>IF($A377="","",BDH($A377,$N$3,'參數'!$B$5,'參數'!$B$5,"Days=A","Fill=P","Dates=H"))</f>
        <v/>
      </c>
      <c r="Q377" s="30">
        <f>IF($A377="","",BDH($A377,$N$3,'參數'!$B$6,'參數'!$B$6,"Days=A","Fill=P","Dates=H"))</f>
        <v/>
      </c>
      <c r="R377" s="30">
        <f>IF($A377="","",BDH($A377,$N$3,'參數'!$B$7,'參數'!$B$7,"Days=A","Fill=P","Dates=H"))</f>
        <v/>
      </c>
      <c r="S377" s="32">
        <f>IF($A377="","",IFERROR(INDEX('發行人'!$A$5:$A$44,MATCH(B377,'發行人'!$D$5:$D$44,0)),"未對應"))</f>
        <v/>
      </c>
      <c r="T377" s="24">
        <f>IF($A377="","",IFERROR(INDEX('發行人'!$G$5:$G$44,MATCH(B377,'發行人'!$D$5:$D$44,0))+0,""))</f>
        <v/>
      </c>
      <c r="U377" s="18">
        <f>IF(ISNUMBER(E377),YEARFRAC('參數'!$B$4,E377),"")</f>
        <v/>
      </c>
      <c r="V377" s="8">
        <f>IF(U377="","",IF(U377&lt;3,"1-3y",IF(U377&lt;5,"3-5y",IF(U377&lt;7,"5-7y",IF(U377&lt;10,"7-10y","10y+")))))</f>
        <v/>
      </c>
      <c r="W377" s="30">
        <f>IF($A377="","",IFERROR(INDEX('參數'!$B$24:$B$45,MATCH(G377,'參數'!$A$24:$A$45,0)),""))</f>
        <v/>
      </c>
      <c r="X377" s="8">
        <f>IF($A377="","",IFERROR(INDEX('參數'!$C$24:$C$45,MATCH(G377,'參數'!$A$24:$A$45,0)),""))</f>
        <v/>
      </c>
      <c r="Y377" s="30">
        <f>IF(AND(ISNUMBER(N377),ISNUMBER(O377),ISNUMBER(U377)),IF(AND(O377&gt;0,X377&lt;&gt;""),1,0),0)</f>
        <v/>
      </c>
      <c r="Z377" s="17">
        <f>IF(Y377=1,O377*N377,"")</f>
        <v/>
      </c>
      <c r="AA377" s="33">
        <f>IF(Y377=1,IF(ISNUMBER(Q377),N377-Q377,""),"")</f>
        <v/>
      </c>
      <c r="AB377" s="33">
        <f>IF(Y377=1,IF(AND(ISNUMBER(P377),ISNUMBER(R377)),R377*5/12-O377*(P377-R377),""),"")</f>
        <v/>
      </c>
      <c r="AC377" s="30">
        <f>IF(Y377=1,COUNTIFS($X$5:$X$404,X377,$V$5:$V$404,V377,$Y$5:$Y$404,1),"")</f>
        <v/>
      </c>
      <c r="AD377" s="30">
        <f>IF(Y377=1,IFERROR(IF(AC377&gt;='參數'!$B$9,INDEX('分群統計'!$G$13:$K$16,MATCH(X377,'分群統計'!$A$13:$A$16,0),MATCH(V377,'分群統計'!$G$12:$K$12,0)),INDEX('分群統計'!$I$5:$I$8,MATCH(X377,'分群統計'!$A$5:$A$8,0))),""),"")</f>
        <v/>
      </c>
      <c r="AE377" s="18">
        <f>IF(Y377=1,IFERROR(IF(AC377&gt;='參數'!$B$9,INDEX('分群統計'!$L$13:$P$16,MATCH(X377,'分群統計'!$A$13:$A$16,0),MATCH(V377,'分群統計'!$L$12:$P$12,0)),INDEX('分群統計'!$J$5:$J$8,MATCH(X377,'分群統計'!$A$5:$A$8,0))),""),"")</f>
        <v/>
      </c>
      <c r="AF377" s="31">
        <f>IF(ISNUMBER(AE377),IF(AE377&gt;0,MAX(-3,MIN(3,(N377-AD377)/AE377)),0),"")</f>
        <v/>
      </c>
      <c r="AG377" s="30">
        <f>IF(Y377=1,COUNTIFS($B$5:$B$404,B377,$Y$5:$Y$404,1),"")</f>
        <v/>
      </c>
      <c r="AH377" s="30">
        <f>IF(Y377=1,IFERROR(IF(ISNUMBER(INDEX('分群統計'!$G$20:$G$59,MATCH(B377,'分群統計'!$A$20:$A$59,0))),INDEX('分群統計'!$H$20:$H$59,MATCH(B377,'分群統計'!$A$20:$A$59,0))+INDEX('分群統計'!$G$20:$G$59,MATCH(B377,'分群統計'!$A$20:$A$59,0))*AU377,""),""),"")</f>
        <v/>
      </c>
      <c r="AI377" s="34">
        <f>IF(ISNUMBER(AH377),N377-AH377,"")</f>
        <v/>
      </c>
      <c r="AJ377" s="30">
        <f>IF(Y377=1,IFERROR(IF(ISNUMBER(INDEX('分群統計'!$G$5:$G$8,MATCH(X377,'分群統計'!$A$5:$A$8,0))),INDEX('分群統計'!$H$5:$H$8,MATCH(X377,'分群統計'!$A$5:$A$8,0))+INDEX('分群統計'!$G$5:$G$8,MATCH(X377,'分群統計'!$A$5:$A$8,0))*AU377,""),""),"")</f>
        <v/>
      </c>
      <c r="AK377" s="34">
        <f>IF(ISNUMBER(AJ377),N377-AJ377,"")</f>
        <v/>
      </c>
      <c r="AL377" s="21">
        <f>IF(ISNUMBER(AJ377),IF(AJ377&gt;0,AK377/AJ377,""),"")</f>
        <v/>
      </c>
      <c r="AM377" s="31">
        <f>IF(AY377&lt;&gt;1,"",IFERROR(IF(INDEX('分群統計'!$K$5:$K$8,MATCH(X377,'分群統計'!$A$5:$A$8,0))&lt;3,"",IF(INDEX('分群統計'!$M$5:$M$8,MATCH(X377,'分群統計'!$A$5:$A$8,0))&gt;0,MAX(-3,MIN(3,(AX377-INDEX('分群統計'!$L$5:$L$8,MATCH(X377,'分群統計'!$A$5:$A$8,0)))/INDEX('分群統計'!$M$5:$M$8,MATCH(X377,'分群統計'!$A$5:$A$8,0)))),0)),""))</f>
        <v/>
      </c>
      <c r="AN377" s="31">
        <f>IF(ISNUMBER(AB377),IF(Z377&gt;0,AB377/Z377*100,""),"")</f>
        <v/>
      </c>
      <c r="AO377" s="31">
        <f>IF(BA377&lt;&gt;1,"",IFERROR(IF(INDEX('分群統計'!$N$5:$N$8,MATCH(X377,'分群統計'!$A$5:$A$8,0))&lt;3,"",IF(INDEX('分群統計'!$P$5:$P$8,MATCH(X377,'分群統計'!$A$5:$A$8,0))&gt;0,MAX(-3,MIN(3,(AZ377-INDEX('分群統計'!$O$5:$O$8,MATCH(X377,'分群統計'!$A$5:$A$8,0)))/INDEX('分群統計'!$P$5:$P$8,MATCH(X377,'分群統計'!$A$5:$A$8,0)))),0)),""))</f>
        <v/>
      </c>
      <c r="AP377" s="31">
        <f>IF(BC377&lt;&gt;1,"",IFERROR(IF(INDEX('分群統計'!$Q$5:$Q$8,MATCH(X377,'分群統計'!$A$5:$A$8,0))&lt;3,"",IF(INDEX('分群統計'!$S$5:$S$8,MATCH(X377,'分群統計'!$A$5:$A$8,0))&gt;0,MAX(-3,MIN(3,(BB377-INDEX('分群統計'!$R$5:$R$8,MATCH(X377,'分群統計'!$A$5:$A$8,0)))/INDEX('分群統計'!$S$5:$S$8,MATCH(X377,'分群統計'!$A$5:$A$8,0)))),0)),""))</f>
        <v/>
      </c>
      <c r="AQ377" s="31">
        <f>IF(Y377=1,(IF(ISNUMBER(AF377),AF377,0)*'參數'!$B$13+IF(ISNUMBER(AM377),AM377,0)*'參數'!$B$14+IF(ISNUMBER(AO377),AO377,0)*'參數'!$B$15+IF(ISNUMBER(AP377),AP377,0)*'參數'!$B$16)/('參數'!$B$13+'參數'!$B$14+'參數'!$B$15+'參數'!$B$16),"")</f>
        <v/>
      </c>
      <c r="AR377" s="35">
        <f>IF(Y377=1,(SUMPRODUCT(($X$5:$X$404=X377)*($Y$5:$Y$404=1)*($BD$5:$BD$404&gt;BD377))+1)/COUNTIFS($X$5:$X$404,X377,$Y$5:$Y$404,1),"")</f>
        <v/>
      </c>
      <c r="AS377" s="8">
        <f>IF(ISNUMBER(AR377),IF(AR377&lt;='參數'!$B$18,"加碼候選",IF(AR377&gt;'參數'!$B$19,"減碼候選","")),"")</f>
        <v/>
      </c>
      <c r="AT377" s="7">
        <f>IF(Y377=1,N377,0)</f>
        <v/>
      </c>
      <c r="AU377" s="7">
        <f>IF(Y377=1,LN(O377),0)</f>
        <v/>
      </c>
      <c r="AV377" s="36">
        <f>IF(Y377=1,IF(ISNUMBER(F377),F377,0),0)</f>
        <v/>
      </c>
      <c r="AW377" s="7">
        <f>IF(Y377=1,Z377,0)</f>
        <v/>
      </c>
      <c r="AX377" s="7">
        <f>IF(Y377=1,IF(ISNUMBER(AL377),AL377,0),0)</f>
        <v/>
      </c>
      <c r="AY377" s="7">
        <f>IF(Y377=1,IF(ISNUMBER(AL377),1,0),0)</f>
        <v/>
      </c>
      <c r="AZ377" s="7">
        <f>IF(Y377=1,IF(ISNUMBER(AN377),AN377,0),0)</f>
        <v/>
      </c>
      <c r="BA377" s="7">
        <f>IF(Y377=1,IF(ISNUMBER(AN377),1,0),0)</f>
        <v/>
      </c>
      <c r="BB377" s="7">
        <f>IF(Y377=1,IF(ISNUMBER(T377),T377,0),0)</f>
        <v/>
      </c>
      <c r="BC377" s="7">
        <f>IF(Y377=1,IF(ISNUMBER(T377),1,0),0)</f>
        <v/>
      </c>
      <c r="BD377" s="7">
        <f>IF(Y377=1,AQ377+ROW()/1E9,-1E9)</f>
        <v/>
      </c>
      <c r="BE377" s="7">
        <f>IF(Y377=1,AQ377+ROW()/1E9,1E9)</f>
        <v/>
      </c>
    </row>
    <row r="378">
      <c r="A378" s="16" t="n"/>
      <c r="B378" s="8">
        <f>IF($A378="","",BDP($A378,B$3))</f>
        <v/>
      </c>
      <c r="C378" s="8">
        <f>IF($A378="","",BDP($A378,C$3))</f>
        <v/>
      </c>
      <c r="D378" s="28">
        <f>IF($A378="","",BDP($A378,D$3))</f>
        <v/>
      </c>
      <c r="E378" s="29">
        <f>IF($A378="","",BDP($A378,E$3))</f>
        <v/>
      </c>
      <c r="F378" s="17">
        <f>IF($A378="","",BDP($A378,F$3))</f>
        <v/>
      </c>
      <c r="G378" s="8">
        <f>IF($A378="","",BDP($A378,G$3))</f>
        <v/>
      </c>
      <c r="H378" s="8">
        <f>IF($A378="","",BDP($A378,H$3))</f>
        <v/>
      </c>
      <c r="I378" s="8">
        <f>IF($A378="","",BDP($A378,I$3))</f>
        <v/>
      </c>
      <c r="J378" s="8">
        <f>IF($A378="","",BDP($A378,J$3))</f>
        <v/>
      </c>
      <c r="K378" s="8">
        <f>IF($A378="","",BDP($A378,K$3))</f>
        <v/>
      </c>
      <c r="L378" s="28">
        <f>IF($A378="","",BDP($A378,L$3))</f>
        <v/>
      </c>
      <c r="M378" s="28">
        <f>IF($A378="","",BDP($A378,M$3))</f>
        <v/>
      </c>
      <c r="N378" s="30">
        <f>IF($A378="","",BDP($A378,N$3))</f>
        <v/>
      </c>
      <c r="O378" s="31">
        <f>IF($A378="","",BDP($A378,O$3))</f>
        <v/>
      </c>
      <c r="P378" s="30">
        <f>IF($A378="","",BDH($A378,$N$3,'參數'!$B$5,'參數'!$B$5,"Days=A","Fill=P","Dates=H"))</f>
        <v/>
      </c>
      <c r="Q378" s="30">
        <f>IF($A378="","",BDH($A378,$N$3,'參數'!$B$6,'參數'!$B$6,"Days=A","Fill=P","Dates=H"))</f>
        <v/>
      </c>
      <c r="R378" s="30">
        <f>IF($A378="","",BDH($A378,$N$3,'參數'!$B$7,'參數'!$B$7,"Days=A","Fill=P","Dates=H"))</f>
        <v/>
      </c>
      <c r="S378" s="32">
        <f>IF($A378="","",IFERROR(INDEX('發行人'!$A$5:$A$44,MATCH(B378,'發行人'!$D$5:$D$44,0)),"未對應"))</f>
        <v/>
      </c>
      <c r="T378" s="24">
        <f>IF($A378="","",IFERROR(INDEX('發行人'!$G$5:$G$44,MATCH(B378,'發行人'!$D$5:$D$44,0))+0,""))</f>
        <v/>
      </c>
      <c r="U378" s="18">
        <f>IF(ISNUMBER(E378),YEARFRAC('參數'!$B$4,E378),"")</f>
        <v/>
      </c>
      <c r="V378" s="8">
        <f>IF(U378="","",IF(U378&lt;3,"1-3y",IF(U378&lt;5,"3-5y",IF(U378&lt;7,"5-7y",IF(U378&lt;10,"7-10y","10y+")))))</f>
        <v/>
      </c>
      <c r="W378" s="30">
        <f>IF($A378="","",IFERROR(INDEX('參數'!$B$24:$B$45,MATCH(G378,'參數'!$A$24:$A$45,0)),""))</f>
        <v/>
      </c>
      <c r="X378" s="8">
        <f>IF($A378="","",IFERROR(INDEX('參數'!$C$24:$C$45,MATCH(G378,'參數'!$A$24:$A$45,0)),""))</f>
        <v/>
      </c>
      <c r="Y378" s="30">
        <f>IF(AND(ISNUMBER(N378),ISNUMBER(O378),ISNUMBER(U378)),IF(AND(O378&gt;0,X378&lt;&gt;""),1,0),0)</f>
        <v/>
      </c>
      <c r="Z378" s="17">
        <f>IF(Y378=1,O378*N378,"")</f>
        <v/>
      </c>
      <c r="AA378" s="33">
        <f>IF(Y378=1,IF(ISNUMBER(Q378),N378-Q378,""),"")</f>
        <v/>
      </c>
      <c r="AB378" s="33">
        <f>IF(Y378=1,IF(AND(ISNUMBER(P378),ISNUMBER(R378)),R378*5/12-O378*(P378-R378),""),"")</f>
        <v/>
      </c>
      <c r="AC378" s="30">
        <f>IF(Y378=1,COUNTIFS($X$5:$X$404,X378,$V$5:$V$404,V378,$Y$5:$Y$404,1),"")</f>
        <v/>
      </c>
      <c r="AD378" s="30">
        <f>IF(Y378=1,IFERROR(IF(AC378&gt;='參數'!$B$9,INDEX('分群統計'!$G$13:$K$16,MATCH(X378,'分群統計'!$A$13:$A$16,0),MATCH(V378,'分群統計'!$G$12:$K$12,0)),INDEX('分群統計'!$I$5:$I$8,MATCH(X378,'分群統計'!$A$5:$A$8,0))),""),"")</f>
        <v/>
      </c>
      <c r="AE378" s="18">
        <f>IF(Y378=1,IFERROR(IF(AC378&gt;='參數'!$B$9,INDEX('分群統計'!$L$13:$P$16,MATCH(X378,'分群統計'!$A$13:$A$16,0),MATCH(V378,'分群統計'!$L$12:$P$12,0)),INDEX('分群統計'!$J$5:$J$8,MATCH(X378,'分群統計'!$A$5:$A$8,0))),""),"")</f>
        <v/>
      </c>
      <c r="AF378" s="31">
        <f>IF(ISNUMBER(AE378),IF(AE378&gt;0,MAX(-3,MIN(3,(N378-AD378)/AE378)),0),"")</f>
        <v/>
      </c>
      <c r="AG378" s="30">
        <f>IF(Y378=1,COUNTIFS($B$5:$B$404,B378,$Y$5:$Y$404,1),"")</f>
        <v/>
      </c>
      <c r="AH378" s="30">
        <f>IF(Y378=1,IFERROR(IF(ISNUMBER(INDEX('分群統計'!$G$20:$G$59,MATCH(B378,'分群統計'!$A$20:$A$59,0))),INDEX('分群統計'!$H$20:$H$59,MATCH(B378,'分群統計'!$A$20:$A$59,0))+INDEX('分群統計'!$G$20:$G$59,MATCH(B378,'分群統計'!$A$20:$A$59,0))*AU378,""),""),"")</f>
        <v/>
      </c>
      <c r="AI378" s="34">
        <f>IF(ISNUMBER(AH378),N378-AH378,"")</f>
        <v/>
      </c>
      <c r="AJ378" s="30">
        <f>IF(Y378=1,IFERROR(IF(ISNUMBER(INDEX('分群統計'!$G$5:$G$8,MATCH(X378,'分群統計'!$A$5:$A$8,0))),INDEX('分群統計'!$H$5:$H$8,MATCH(X378,'分群統計'!$A$5:$A$8,0))+INDEX('分群統計'!$G$5:$G$8,MATCH(X378,'分群統計'!$A$5:$A$8,0))*AU378,""),""),"")</f>
        <v/>
      </c>
      <c r="AK378" s="34">
        <f>IF(ISNUMBER(AJ378),N378-AJ378,"")</f>
        <v/>
      </c>
      <c r="AL378" s="21">
        <f>IF(ISNUMBER(AJ378),IF(AJ378&gt;0,AK378/AJ378,""),"")</f>
        <v/>
      </c>
      <c r="AM378" s="31">
        <f>IF(AY378&lt;&gt;1,"",IFERROR(IF(INDEX('分群統計'!$K$5:$K$8,MATCH(X378,'分群統計'!$A$5:$A$8,0))&lt;3,"",IF(INDEX('分群統計'!$M$5:$M$8,MATCH(X378,'分群統計'!$A$5:$A$8,0))&gt;0,MAX(-3,MIN(3,(AX378-INDEX('分群統計'!$L$5:$L$8,MATCH(X378,'分群統計'!$A$5:$A$8,0)))/INDEX('分群統計'!$M$5:$M$8,MATCH(X378,'分群統計'!$A$5:$A$8,0)))),0)),""))</f>
        <v/>
      </c>
      <c r="AN378" s="31">
        <f>IF(ISNUMBER(AB378),IF(Z378&gt;0,AB378/Z378*100,""),"")</f>
        <v/>
      </c>
      <c r="AO378" s="31">
        <f>IF(BA378&lt;&gt;1,"",IFERROR(IF(INDEX('分群統計'!$N$5:$N$8,MATCH(X378,'分群統計'!$A$5:$A$8,0))&lt;3,"",IF(INDEX('分群統計'!$P$5:$P$8,MATCH(X378,'分群統計'!$A$5:$A$8,0))&gt;0,MAX(-3,MIN(3,(AZ378-INDEX('分群統計'!$O$5:$O$8,MATCH(X378,'分群統計'!$A$5:$A$8,0)))/INDEX('分群統計'!$P$5:$P$8,MATCH(X378,'分群統計'!$A$5:$A$8,0)))),0)),""))</f>
        <v/>
      </c>
      <c r="AP378" s="31">
        <f>IF(BC378&lt;&gt;1,"",IFERROR(IF(INDEX('分群統計'!$Q$5:$Q$8,MATCH(X378,'分群統計'!$A$5:$A$8,0))&lt;3,"",IF(INDEX('分群統計'!$S$5:$S$8,MATCH(X378,'分群統計'!$A$5:$A$8,0))&gt;0,MAX(-3,MIN(3,(BB378-INDEX('分群統計'!$R$5:$R$8,MATCH(X378,'分群統計'!$A$5:$A$8,0)))/INDEX('分群統計'!$S$5:$S$8,MATCH(X378,'分群統計'!$A$5:$A$8,0)))),0)),""))</f>
        <v/>
      </c>
      <c r="AQ378" s="31">
        <f>IF(Y378=1,(IF(ISNUMBER(AF378),AF378,0)*'參數'!$B$13+IF(ISNUMBER(AM378),AM378,0)*'參數'!$B$14+IF(ISNUMBER(AO378),AO378,0)*'參數'!$B$15+IF(ISNUMBER(AP378),AP378,0)*'參數'!$B$16)/('參數'!$B$13+'參數'!$B$14+'參數'!$B$15+'參數'!$B$16),"")</f>
        <v/>
      </c>
      <c r="AR378" s="35">
        <f>IF(Y378=1,(SUMPRODUCT(($X$5:$X$404=X378)*($Y$5:$Y$404=1)*($BD$5:$BD$404&gt;BD378))+1)/COUNTIFS($X$5:$X$404,X378,$Y$5:$Y$404,1),"")</f>
        <v/>
      </c>
      <c r="AS378" s="8">
        <f>IF(ISNUMBER(AR378),IF(AR378&lt;='參數'!$B$18,"加碼候選",IF(AR378&gt;'參數'!$B$19,"減碼候選","")),"")</f>
        <v/>
      </c>
      <c r="AT378" s="7">
        <f>IF(Y378=1,N378,0)</f>
        <v/>
      </c>
      <c r="AU378" s="7">
        <f>IF(Y378=1,LN(O378),0)</f>
        <v/>
      </c>
      <c r="AV378" s="36">
        <f>IF(Y378=1,IF(ISNUMBER(F378),F378,0),0)</f>
        <v/>
      </c>
      <c r="AW378" s="7">
        <f>IF(Y378=1,Z378,0)</f>
        <v/>
      </c>
      <c r="AX378" s="7">
        <f>IF(Y378=1,IF(ISNUMBER(AL378),AL378,0),0)</f>
        <v/>
      </c>
      <c r="AY378" s="7">
        <f>IF(Y378=1,IF(ISNUMBER(AL378),1,0),0)</f>
        <v/>
      </c>
      <c r="AZ378" s="7">
        <f>IF(Y378=1,IF(ISNUMBER(AN378),AN378,0),0)</f>
        <v/>
      </c>
      <c r="BA378" s="7">
        <f>IF(Y378=1,IF(ISNUMBER(AN378),1,0),0)</f>
        <v/>
      </c>
      <c r="BB378" s="7">
        <f>IF(Y378=1,IF(ISNUMBER(T378),T378,0),0)</f>
        <v/>
      </c>
      <c r="BC378" s="7">
        <f>IF(Y378=1,IF(ISNUMBER(T378),1,0),0)</f>
        <v/>
      </c>
      <c r="BD378" s="7">
        <f>IF(Y378=1,AQ378+ROW()/1E9,-1E9)</f>
        <v/>
      </c>
      <c r="BE378" s="7">
        <f>IF(Y378=1,AQ378+ROW()/1E9,1E9)</f>
        <v/>
      </c>
    </row>
    <row r="379">
      <c r="A379" s="16" t="n"/>
      <c r="B379" s="8">
        <f>IF($A379="","",BDP($A379,B$3))</f>
        <v/>
      </c>
      <c r="C379" s="8">
        <f>IF($A379="","",BDP($A379,C$3))</f>
        <v/>
      </c>
      <c r="D379" s="28">
        <f>IF($A379="","",BDP($A379,D$3))</f>
        <v/>
      </c>
      <c r="E379" s="29">
        <f>IF($A379="","",BDP($A379,E$3))</f>
        <v/>
      </c>
      <c r="F379" s="17">
        <f>IF($A379="","",BDP($A379,F$3))</f>
        <v/>
      </c>
      <c r="G379" s="8">
        <f>IF($A379="","",BDP($A379,G$3))</f>
        <v/>
      </c>
      <c r="H379" s="8">
        <f>IF($A379="","",BDP($A379,H$3))</f>
        <v/>
      </c>
      <c r="I379" s="8">
        <f>IF($A379="","",BDP($A379,I$3))</f>
        <v/>
      </c>
      <c r="J379" s="8">
        <f>IF($A379="","",BDP($A379,J$3))</f>
        <v/>
      </c>
      <c r="K379" s="8">
        <f>IF($A379="","",BDP($A379,K$3))</f>
        <v/>
      </c>
      <c r="L379" s="28">
        <f>IF($A379="","",BDP($A379,L$3))</f>
        <v/>
      </c>
      <c r="M379" s="28">
        <f>IF($A379="","",BDP($A379,M$3))</f>
        <v/>
      </c>
      <c r="N379" s="30">
        <f>IF($A379="","",BDP($A379,N$3))</f>
        <v/>
      </c>
      <c r="O379" s="31">
        <f>IF($A379="","",BDP($A379,O$3))</f>
        <v/>
      </c>
      <c r="P379" s="30">
        <f>IF($A379="","",BDH($A379,$N$3,'參數'!$B$5,'參數'!$B$5,"Days=A","Fill=P","Dates=H"))</f>
        <v/>
      </c>
      <c r="Q379" s="30">
        <f>IF($A379="","",BDH($A379,$N$3,'參數'!$B$6,'參數'!$B$6,"Days=A","Fill=P","Dates=H"))</f>
        <v/>
      </c>
      <c r="R379" s="30">
        <f>IF($A379="","",BDH($A379,$N$3,'參數'!$B$7,'參數'!$B$7,"Days=A","Fill=P","Dates=H"))</f>
        <v/>
      </c>
      <c r="S379" s="32">
        <f>IF($A379="","",IFERROR(INDEX('發行人'!$A$5:$A$44,MATCH(B379,'發行人'!$D$5:$D$44,0)),"未對應"))</f>
        <v/>
      </c>
      <c r="T379" s="24">
        <f>IF($A379="","",IFERROR(INDEX('發行人'!$G$5:$G$44,MATCH(B379,'發行人'!$D$5:$D$44,0))+0,""))</f>
        <v/>
      </c>
      <c r="U379" s="18">
        <f>IF(ISNUMBER(E379),YEARFRAC('參數'!$B$4,E379),"")</f>
        <v/>
      </c>
      <c r="V379" s="8">
        <f>IF(U379="","",IF(U379&lt;3,"1-3y",IF(U379&lt;5,"3-5y",IF(U379&lt;7,"5-7y",IF(U379&lt;10,"7-10y","10y+")))))</f>
        <v/>
      </c>
      <c r="W379" s="30">
        <f>IF($A379="","",IFERROR(INDEX('參數'!$B$24:$B$45,MATCH(G379,'參數'!$A$24:$A$45,0)),""))</f>
        <v/>
      </c>
      <c r="X379" s="8">
        <f>IF($A379="","",IFERROR(INDEX('參數'!$C$24:$C$45,MATCH(G379,'參數'!$A$24:$A$45,0)),""))</f>
        <v/>
      </c>
      <c r="Y379" s="30">
        <f>IF(AND(ISNUMBER(N379),ISNUMBER(O379),ISNUMBER(U379)),IF(AND(O379&gt;0,X379&lt;&gt;""),1,0),0)</f>
        <v/>
      </c>
      <c r="Z379" s="17">
        <f>IF(Y379=1,O379*N379,"")</f>
        <v/>
      </c>
      <c r="AA379" s="33">
        <f>IF(Y379=1,IF(ISNUMBER(Q379),N379-Q379,""),"")</f>
        <v/>
      </c>
      <c r="AB379" s="33">
        <f>IF(Y379=1,IF(AND(ISNUMBER(P379),ISNUMBER(R379)),R379*5/12-O379*(P379-R379),""),"")</f>
        <v/>
      </c>
      <c r="AC379" s="30">
        <f>IF(Y379=1,COUNTIFS($X$5:$X$404,X379,$V$5:$V$404,V379,$Y$5:$Y$404,1),"")</f>
        <v/>
      </c>
      <c r="AD379" s="30">
        <f>IF(Y379=1,IFERROR(IF(AC379&gt;='參數'!$B$9,INDEX('分群統計'!$G$13:$K$16,MATCH(X379,'分群統計'!$A$13:$A$16,0),MATCH(V379,'分群統計'!$G$12:$K$12,0)),INDEX('分群統計'!$I$5:$I$8,MATCH(X379,'分群統計'!$A$5:$A$8,0))),""),"")</f>
        <v/>
      </c>
      <c r="AE379" s="18">
        <f>IF(Y379=1,IFERROR(IF(AC379&gt;='參數'!$B$9,INDEX('分群統計'!$L$13:$P$16,MATCH(X379,'分群統計'!$A$13:$A$16,0),MATCH(V379,'分群統計'!$L$12:$P$12,0)),INDEX('分群統計'!$J$5:$J$8,MATCH(X379,'分群統計'!$A$5:$A$8,0))),""),"")</f>
        <v/>
      </c>
      <c r="AF379" s="31">
        <f>IF(ISNUMBER(AE379),IF(AE379&gt;0,MAX(-3,MIN(3,(N379-AD379)/AE379)),0),"")</f>
        <v/>
      </c>
      <c r="AG379" s="30">
        <f>IF(Y379=1,COUNTIFS($B$5:$B$404,B379,$Y$5:$Y$404,1),"")</f>
        <v/>
      </c>
      <c r="AH379" s="30">
        <f>IF(Y379=1,IFERROR(IF(ISNUMBER(INDEX('分群統計'!$G$20:$G$59,MATCH(B379,'分群統計'!$A$20:$A$59,0))),INDEX('分群統計'!$H$20:$H$59,MATCH(B379,'分群統計'!$A$20:$A$59,0))+INDEX('分群統計'!$G$20:$G$59,MATCH(B379,'分群統計'!$A$20:$A$59,0))*AU379,""),""),"")</f>
        <v/>
      </c>
      <c r="AI379" s="34">
        <f>IF(ISNUMBER(AH379),N379-AH379,"")</f>
        <v/>
      </c>
      <c r="AJ379" s="30">
        <f>IF(Y379=1,IFERROR(IF(ISNUMBER(INDEX('分群統計'!$G$5:$G$8,MATCH(X379,'分群統計'!$A$5:$A$8,0))),INDEX('分群統計'!$H$5:$H$8,MATCH(X379,'分群統計'!$A$5:$A$8,0))+INDEX('分群統計'!$G$5:$G$8,MATCH(X379,'分群統計'!$A$5:$A$8,0))*AU379,""),""),"")</f>
        <v/>
      </c>
      <c r="AK379" s="34">
        <f>IF(ISNUMBER(AJ379),N379-AJ379,"")</f>
        <v/>
      </c>
      <c r="AL379" s="21">
        <f>IF(ISNUMBER(AJ379),IF(AJ379&gt;0,AK379/AJ379,""),"")</f>
        <v/>
      </c>
      <c r="AM379" s="31">
        <f>IF(AY379&lt;&gt;1,"",IFERROR(IF(INDEX('分群統計'!$K$5:$K$8,MATCH(X379,'分群統計'!$A$5:$A$8,0))&lt;3,"",IF(INDEX('分群統計'!$M$5:$M$8,MATCH(X379,'分群統計'!$A$5:$A$8,0))&gt;0,MAX(-3,MIN(3,(AX379-INDEX('分群統計'!$L$5:$L$8,MATCH(X379,'分群統計'!$A$5:$A$8,0)))/INDEX('分群統計'!$M$5:$M$8,MATCH(X379,'分群統計'!$A$5:$A$8,0)))),0)),""))</f>
        <v/>
      </c>
      <c r="AN379" s="31">
        <f>IF(ISNUMBER(AB379),IF(Z379&gt;0,AB379/Z379*100,""),"")</f>
        <v/>
      </c>
      <c r="AO379" s="31">
        <f>IF(BA379&lt;&gt;1,"",IFERROR(IF(INDEX('分群統計'!$N$5:$N$8,MATCH(X379,'分群統計'!$A$5:$A$8,0))&lt;3,"",IF(INDEX('分群統計'!$P$5:$P$8,MATCH(X379,'分群統計'!$A$5:$A$8,0))&gt;0,MAX(-3,MIN(3,(AZ379-INDEX('分群統計'!$O$5:$O$8,MATCH(X379,'分群統計'!$A$5:$A$8,0)))/INDEX('分群統計'!$P$5:$P$8,MATCH(X379,'分群統計'!$A$5:$A$8,0)))),0)),""))</f>
        <v/>
      </c>
      <c r="AP379" s="31">
        <f>IF(BC379&lt;&gt;1,"",IFERROR(IF(INDEX('分群統計'!$Q$5:$Q$8,MATCH(X379,'分群統計'!$A$5:$A$8,0))&lt;3,"",IF(INDEX('分群統計'!$S$5:$S$8,MATCH(X379,'分群統計'!$A$5:$A$8,0))&gt;0,MAX(-3,MIN(3,(BB379-INDEX('分群統計'!$R$5:$R$8,MATCH(X379,'分群統計'!$A$5:$A$8,0)))/INDEX('分群統計'!$S$5:$S$8,MATCH(X379,'分群統計'!$A$5:$A$8,0)))),0)),""))</f>
        <v/>
      </c>
      <c r="AQ379" s="31">
        <f>IF(Y379=1,(IF(ISNUMBER(AF379),AF379,0)*'參數'!$B$13+IF(ISNUMBER(AM379),AM379,0)*'參數'!$B$14+IF(ISNUMBER(AO379),AO379,0)*'參數'!$B$15+IF(ISNUMBER(AP379),AP379,0)*'參數'!$B$16)/('參數'!$B$13+'參數'!$B$14+'參數'!$B$15+'參數'!$B$16),"")</f>
        <v/>
      </c>
      <c r="AR379" s="35">
        <f>IF(Y379=1,(SUMPRODUCT(($X$5:$X$404=X379)*($Y$5:$Y$404=1)*($BD$5:$BD$404&gt;BD379))+1)/COUNTIFS($X$5:$X$404,X379,$Y$5:$Y$404,1),"")</f>
        <v/>
      </c>
      <c r="AS379" s="8">
        <f>IF(ISNUMBER(AR379),IF(AR379&lt;='參數'!$B$18,"加碼候選",IF(AR379&gt;'參數'!$B$19,"減碼候選","")),"")</f>
        <v/>
      </c>
      <c r="AT379" s="7">
        <f>IF(Y379=1,N379,0)</f>
        <v/>
      </c>
      <c r="AU379" s="7">
        <f>IF(Y379=1,LN(O379),0)</f>
        <v/>
      </c>
      <c r="AV379" s="36">
        <f>IF(Y379=1,IF(ISNUMBER(F379),F379,0),0)</f>
        <v/>
      </c>
      <c r="AW379" s="7">
        <f>IF(Y379=1,Z379,0)</f>
        <v/>
      </c>
      <c r="AX379" s="7">
        <f>IF(Y379=1,IF(ISNUMBER(AL379),AL379,0),0)</f>
        <v/>
      </c>
      <c r="AY379" s="7">
        <f>IF(Y379=1,IF(ISNUMBER(AL379),1,0),0)</f>
        <v/>
      </c>
      <c r="AZ379" s="7">
        <f>IF(Y379=1,IF(ISNUMBER(AN379),AN379,0),0)</f>
        <v/>
      </c>
      <c r="BA379" s="7">
        <f>IF(Y379=1,IF(ISNUMBER(AN379),1,0),0)</f>
        <v/>
      </c>
      <c r="BB379" s="7">
        <f>IF(Y379=1,IF(ISNUMBER(T379),T379,0),0)</f>
        <v/>
      </c>
      <c r="BC379" s="7">
        <f>IF(Y379=1,IF(ISNUMBER(T379),1,0),0)</f>
        <v/>
      </c>
      <c r="BD379" s="7">
        <f>IF(Y379=1,AQ379+ROW()/1E9,-1E9)</f>
        <v/>
      </c>
      <c r="BE379" s="7">
        <f>IF(Y379=1,AQ379+ROW()/1E9,1E9)</f>
        <v/>
      </c>
    </row>
    <row r="380">
      <c r="A380" s="16" t="n"/>
      <c r="B380" s="8">
        <f>IF($A380="","",BDP($A380,B$3))</f>
        <v/>
      </c>
      <c r="C380" s="8">
        <f>IF($A380="","",BDP($A380,C$3))</f>
        <v/>
      </c>
      <c r="D380" s="28">
        <f>IF($A380="","",BDP($A380,D$3))</f>
        <v/>
      </c>
      <c r="E380" s="29">
        <f>IF($A380="","",BDP($A380,E$3))</f>
        <v/>
      </c>
      <c r="F380" s="17">
        <f>IF($A380="","",BDP($A380,F$3))</f>
        <v/>
      </c>
      <c r="G380" s="8">
        <f>IF($A380="","",BDP($A380,G$3))</f>
        <v/>
      </c>
      <c r="H380" s="8">
        <f>IF($A380="","",BDP($A380,H$3))</f>
        <v/>
      </c>
      <c r="I380" s="8">
        <f>IF($A380="","",BDP($A380,I$3))</f>
        <v/>
      </c>
      <c r="J380" s="8">
        <f>IF($A380="","",BDP($A380,J$3))</f>
        <v/>
      </c>
      <c r="K380" s="8">
        <f>IF($A380="","",BDP($A380,K$3))</f>
        <v/>
      </c>
      <c r="L380" s="28">
        <f>IF($A380="","",BDP($A380,L$3))</f>
        <v/>
      </c>
      <c r="M380" s="28">
        <f>IF($A380="","",BDP($A380,M$3))</f>
        <v/>
      </c>
      <c r="N380" s="30">
        <f>IF($A380="","",BDP($A380,N$3))</f>
        <v/>
      </c>
      <c r="O380" s="31">
        <f>IF($A380="","",BDP($A380,O$3))</f>
        <v/>
      </c>
      <c r="P380" s="30">
        <f>IF($A380="","",BDH($A380,$N$3,'參數'!$B$5,'參數'!$B$5,"Days=A","Fill=P","Dates=H"))</f>
        <v/>
      </c>
      <c r="Q380" s="30">
        <f>IF($A380="","",BDH($A380,$N$3,'參數'!$B$6,'參數'!$B$6,"Days=A","Fill=P","Dates=H"))</f>
        <v/>
      </c>
      <c r="R380" s="30">
        <f>IF($A380="","",BDH($A380,$N$3,'參數'!$B$7,'參數'!$B$7,"Days=A","Fill=P","Dates=H"))</f>
        <v/>
      </c>
      <c r="S380" s="32">
        <f>IF($A380="","",IFERROR(INDEX('發行人'!$A$5:$A$44,MATCH(B380,'發行人'!$D$5:$D$44,0)),"未對應"))</f>
        <v/>
      </c>
      <c r="T380" s="24">
        <f>IF($A380="","",IFERROR(INDEX('發行人'!$G$5:$G$44,MATCH(B380,'發行人'!$D$5:$D$44,0))+0,""))</f>
        <v/>
      </c>
      <c r="U380" s="18">
        <f>IF(ISNUMBER(E380),YEARFRAC('參數'!$B$4,E380),"")</f>
        <v/>
      </c>
      <c r="V380" s="8">
        <f>IF(U380="","",IF(U380&lt;3,"1-3y",IF(U380&lt;5,"3-5y",IF(U380&lt;7,"5-7y",IF(U380&lt;10,"7-10y","10y+")))))</f>
        <v/>
      </c>
      <c r="W380" s="30">
        <f>IF($A380="","",IFERROR(INDEX('參數'!$B$24:$B$45,MATCH(G380,'參數'!$A$24:$A$45,0)),""))</f>
        <v/>
      </c>
      <c r="X380" s="8">
        <f>IF($A380="","",IFERROR(INDEX('參數'!$C$24:$C$45,MATCH(G380,'參數'!$A$24:$A$45,0)),""))</f>
        <v/>
      </c>
      <c r="Y380" s="30">
        <f>IF(AND(ISNUMBER(N380),ISNUMBER(O380),ISNUMBER(U380)),IF(AND(O380&gt;0,X380&lt;&gt;""),1,0),0)</f>
        <v/>
      </c>
      <c r="Z380" s="17">
        <f>IF(Y380=1,O380*N380,"")</f>
        <v/>
      </c>
      <c r="AA380" s="33">
        <f>IF(Y380=1,IF(ISNUMBER(Q380),N380-Q380,""),"")</f>
        <v/>
      </c>
      <c r="AB380" s="33">
        <f>IF(Y380=1,IF(AND(ISNUMBER(P380),ISNUMBER(R380)),R380*5/12-O380*(P380-R380),""),"")</f>
        <v/>
      </c>
      <c r="AC380" s="30">
        <f>IF(Y380=1,COUNTIFS($X$5:$X$404,X380,$V$5:$V$404,V380,$Y$5:$Y$404,1),"")</f>
        <v/>
      </c>
      <c r="AD380" s="30">
        <f>IF(Y380=1,IFERROR(IF(AC380&gt;='參數'!$B$9,INDEX('分群統計'!$G$13:$K$16,MATCH(X380,'分群統計'!$A$13:$A$16,0),MATCH(V380,'分群統計'!$G$12:$K$12,0)),INDEX('分群統計'!$I$5:$I$8,MATCH(X380,'分群統計'!$A$5:$A$8,0))),""),"")</f>
        <v/>
      </c>
      <c r="AE380" s="18">
        <f>IF(Y380=1,IFERROR(IF(AC380&gt;='參數'!$B$9,INDEX('分群統計'!$L$13:$P$16,MATCH(X380,'分群統計'!$A$13:$A$16,0),MATCH(V380,'分群統計'!$L$12:$P$12,0)),INDEX('分群統計'!$J$5:$J$8,MATCH(X380,'分群統計'!$A$5:$A$8,0))),""),"")</f>
        <v/>
      </c>
      <c r="AF380" s="31">
        <f>IF(ISNUMBER(AE380),IF(AE380&gt;0,MAX(-3,MIN(3,(N380-AD380)/AE380)),0),"")</f>
        <v/>
      </c>
      <c r="AG380" s="30">
        <f>IF(Y380=1,COUNTIFS($B$5:$B$404,B380,$Y$5:$Y$404,1),"")</f>
        <v/>
      </c>
      <c r="AH380" s="30">
        <f>IF(Y380=1,IFERROR(IF(ISNUMBER(INDEX('分群統計'!$G$20:$G$59,MATCH(B380,'分群統計'!$A$20:$A$59,0))),INDEX('分群統計'!$H$20:$H$59,MATCH(B380,'分群統計'!$A$20:$A$59,0))+INDEX('分群統計'!$G$20:$G$59,MATCH(B380,'分群統計'!$A$20:$A$59,0))*AU380,""),""),"")</f>
        <v/>
      </c>
      <c r="AI380" s="34">
        <f>IF(ISNUMBER(AH380),N380-AH380,"")</f>
        <v/>
      </c>
      <c r="AJ380" s="30">
        <f>IF(Y380=1,IFERROR(IF(ISNUMBER(INDEX('分群統計'!$G$5:$G$8,MATCH(X380,'分群統計'!$A$5:$A$8,0))),INDEX('分群統計'!$H$5:$H$8,MATCH(X380,'分群統計'!$A$5:$A$8,0))+INDEX('分群統計'!$G$5:$G$8,MATCH(X380,'分群統計'!$A$5:$A$8,0))*AU380,""),""),"")</f>
        <v/>
      </c>
      <c r="AK380" s="34">
        <f>IF(ISNUMBER(AJ380),N380-AJ380,"")</f>
        <v/>
      </c>
      <c r="AL380" s="21">
        <f>IF(ISNUMBER(AJ380),IF(AJ380&gt;0,AK380/AJ380,""),"")</f>
        <v/>
      </c>
      <c r="AM380" s="31">
        <f>IF(AY380&lt;&gt;1,"",IFERROR(IF(INDEX('分群統計'!$K$5:$K$8,MATCH(X380,'分群統計'!$A$5:$A$8,0))&lt;3,"",IF(INDEX('分群統計'!$M$5:$M$8,MATCH(X380,'分群統計'!$A$5:$A$8,0))&gt;0,MAX(-3,MIN(3,(AX380-INDEX('分群統計'!$L$5:$L$8,MATCH(X380,'分群統計'!$A$5:$A$8,0)))/INDEX('分群統計'!$M$5:$M$8,MATCH(X380,'分群統計'!$A$5:$A$8,0)))),0)),""))</f>
        <v/>
      </c>
      <c r="AN380" s="31">
        <f>IF(ISNUMBER(AB380),IF(Z380&gt;0,AB380/Z380*100,""),"")</f>
        <v/>
      </c>
      <c r="AO380" s="31">
        <f>IF(BA380&lt;&gt;1,"",IFERROR(IF(INDEX('分群統計'!$N$5:$N$8,MATCH(X380,'分群統計'!$A$5:$A$8,0))&lt;3,"",IF(INDEX('分群統計'!$P$5:$P$8,MATCH(X380,'分群統計'!$A$5:$A$8,0))&gt;0,MAX(-3,MIN(3,(AZ380-INDEX('分群統計'!$O$5:$O$8,MATCH(X380,'分群統計'!$A$5:$A$8,0)))/INDEX('分群統計'!$P$5:$P$8,MATCH(X380,'分群統計'!$A$5:$A$8,0)))),0)),""))</f>
        <v/>
      </c>
      <c r="AP380" s="31">
        <f>IF(BC380&lt;&gt;1,"",IFERROR(IF(INDEX('分群統計'!$Q$5:$Q$8,MATCH(X380,'分群統計'!$A$5:$A$8,0))&lt;3,"",IF(INDEX('分群統計'!$S$5:$S$8,MATCH(X380,'分群統計'!$A$5:$A$8,0))&gt;0,MAX(-3,MIN(3,(BB380-INDEX('分群統計'!$R$5:$R$8,MATCH(X380,'分群統計'!$A$5:$A$8,0)))/INDEX('分群統計'!$S$5:$S$8,MATCH(X380,'分群統計'!$A$5:$A$8,0)))),0)),""))</f>
        <v/>
      </c>
      <c r="AQ380" s="31">
        <f>IF(Y380=1,(IF(ISNUMBER(AF380),AF380,0)*'參數'!$B$13+IF(ISNUMBER(AM380),AM380,0)*'參數'!$B$14+IF(ISNUMBER(AO380),AO380,0)*'參數'!$B$15+IF(ISNUMBER(AP380),AP380,0)*'參數'!$B$16)/('參數'!$B$13+'參數'!$B$14+'參數'!$B$15+'參數'!$B$16),"")</f>
        <v/>
      </c>
      <c r="AR380" s="35">
        <f>IF(Y380=1,(SUMPRODUCT(($X$5:$X$404=X380)*($Y$5:$Y$404=1)*($BD$5:$BD$404&gt;BD380))+1)/COUNTIFS($X$5:$X$404,X380,$Y$5:$Y$404,1),"")</f>
        <v/>
      </c>
      <c r="AS380" s="8">
        <f>IF(ISNUMBER(AR380),IF(AR380&lt;='參數'!$B$18,"加碼候選",IF(AR380&gt;'參數'!$B$19,"減碼候選","")),"")</f>
        <v/>
      </c>
      <c r="AT380" s="7">
        <f>IF(Y380=1,N380,0)</f>
        <v/>
      </c>
      <c r="AU380" s="7">
        <f>IF(Y380=1,LN(O380),0)</f>
        <v/>
      </c>
      <c r="AV380" s="36">
        <f>IF(Y380=1,IF(ISNUMBER(F380),F380,0),0)</f>
        <v/>
      </c>
      <c r="AW380" s="7">
        <f>IF(Y380=1,Z380,0)</f>
        <v/>
      </c>
      <c r="AX380" s="7">
        <f>IF(Y380=1,IF(ISNUMBER(AL380),AL380,0),0)</f>
        <v/>
      </c>
      <c r="AY380" s="7">
        <f>IF(Y380=1,IF(ISNUMBER(AL380),1,0),0)</f>
        <v/>
      </c>
      <c r="AZ380" s="7">
        <f>IF(Y380=1,IF(ISNUMBER(AN380),AN380,0),0)</f>
        <v/>
      </c>
      <c r="BA380" s="7">
        <f>IF(Y380=1,IF(ISNUMBER(AN380),1,0),0)</f>
        <v/>
      </c>
      <c r="BB380" s="7">
        <f>IF(Y380=1,IF(ISNUMBER(T380),T380,0),0)</f>
        <v/>
      </c>
      <c r="BC380" s="7">
        <f>IF(Y380=1,IF(ISNUMBER(T380),1,0),0)</f>
        <v/>
      </c>
      <c r="BD380" s="7">
        <f>IF(Y380=1,AQ380+ROW()/1E9,-1E9)</f>
        <v/>
      </c>
      <c r="BE380" s="7">
        <f>IF(Y380=1,AQ380+ROW()/1E9,1E9)</f>
        <v/>
      </c>
    </row>
    <row r="381">
      <c r="A381" s="16" t="n"/>
      <c r="B381" s="8">
        <f>IF($A381="","",BDP($A381,B$3))</f>
        <v/>
      </c>
      <c r="C381" s="8">
        <f>IF($A381="","",BDP($A381,C$3))</f>
        <v/>
      </c>
      <c r="D381" s="28">
        <f>IF($A381="","",BDP($A381,D$3))</f>
        <v/>
      </c>
      <c r="E381" s="29">
        <f>IF($A381="","",BDP($A381,E$3))</f>
        <v/>
      </c>
      <c r="F381" s="17">
        <f>IF($A381="","",BDP($A381,F$3))</f>
        <v/>
      </c>
      <c r="G381" s="8">
        <f>IF($A381="","",BDP($A381,G$3))</f>
        <v/>
      </c>
      <c r="H381" s="8">
        <f>IF($A381="","",BDP($A381,H$3))</f>
        <v/>
      </c>
      <c r="I381" s="8">
        <f>IF($A381="","",BDP($A381,I$3))</f>
        <v/>
      </c>
      <c r="J381" s="8">
        <f>IF($A381="","",BDP($A381,J$3))</f>
        <v/>
      </c>
      <c r="K381" s="8">
        <f>IF($A381="","",BDP($A381,K$3))</f>
        <v/>
      </c>
      <c r="L381" s="28">
        <f>IF($A381="","",BDP($A381,L$3))</f>
        <v/>
      </c>
      <c r="M381" s="28">
        <f>IF($A381="","",BDP($A381,M$3))</f>
        <v/>
      </c>
      <c r="N381" s="30">
        <f>IF($A381="","",BDP($A381,N$3))</f>
        <v/>
      </c>
      <c r="O381" s="31">
        <f>IF($A381="","",BDP($A381,O$3))</f>
        <v/>
      </c>
      <c r="P381" s="30">
        <f>IF($A381="","",BDH($A381,$N$3,'參數'!$B$5,'參數'!$B$5,"Days=A","Fill=P","Dates=H"))</f>
        <v/>
      </c>
      <c r="Q381" s="30">
        <f>IF($A381="","",BDH($A381,$N$3,'參數'!$B$6,'參數'!$B$6,"Days=A","Fill=P","Dates=H"))</f>
        <v/>
      </c>
      <c r="R381" s="30">
        <f>IF($A381="","",BDH($A381,$N$3,'參數'!$B$7,'參數'!$B$7,"Days=A","Fill=P","Dates=H"))</f>
        <v/>
      </c>
      <c r="S381" s="32">
        <f>IF($A381="","",IFERROR(INDEX('發行人'!$A$5:$A$44,MATCH(B381,'發行人'!$D$5:$D$44,0)),"未對應"))</f>
        <v/>
      </c>
      <c r="T381" s="24">
        <f>IF($A381="","",IFERROR(INDEX('發行人'!$G$5:$G$44,MATCH(B381,'發行人'!$D$5:$D$44,0))+0,""))</f>
        <v/>
      </c>
      <c r="U381" s="18">
        <f>IF(ISNUMBER(E381),YEARFRAC('參數'!$B$4,E381),"")</f>
        <v/>
      </c>
      <c r="V381" s="8">
        <f>IF(U381="","",IF(U381&lt;3,"1-3y",IF(U381&lt;5,"3-5y",IF(U381&lt;7,"5-7y",IF(U381&lt;10,"7-10y","10y+")))))</f>
        <v/>
      </c>
      <c r="W381" s="30">
        <f>IF($A381="","",IFERROR(INDEX('參數'!$B$24:$B$45,MATCH(G381,'參數'!$A$24:$A$45,0)),""))</f>
        <v/>
      </c>
      <c r="X381" s="8">
        <f>IF($A381="","",IFERROR(INDEX('參數'!$C$24:$C$45,MATCH(G381,'參數'!$A$24:$A$45,0)),""))</f>
        <v/>
      </c>
      <c r="Y381" s="30">
        <f>IF(AND(ISNUMBER(N381),ISNUMBER(O381),ISNUMBER(U381)),IF(AND(O381&gt;0,X381&lt;&gt;""),1,0),0)</f>
        <v/>
      </c>
      <c r="Z381" s="17">
        <f>IF(Y381=1,O381*N381,"")</f>
        <v/>
      </c>
      <c r="AA381" s="33">
        <f>IF(Y381=1,IF(ISNUMBER(Q381),N381-Q381,""),"")</f>
        <v/>
      </c>
      <c r="AB381" s="33">
        <f>IF(Y381=1,IF(AND(ISNUMBER(P381),ISNUMBER(R381)),R381*5/12-O381*(P381-R381),""),"")</f>
        <v/>
      </c>
      <c r="AC381" s="30">
        <f>IF(Y381=1,COUNTIFS($X$5:$X$404,X381,$V$5:$V$404,V381,$Y$5:$Y$404,1),"")</f>
        <v/>
      </c>
      <c r="AD381" s="30">
        <f>IF(Y381=1,IFERROR(IF(AC381&gt;='參數'!$B$9,INDEX('分群統計'!$G$13:$K$16,MATCH(X381,'分群統計'!$A$13:$A$16,0),MATCH(V381,'分群統計'!$G$12:$K$12,0)),INDEX('分群統計'!$I$5:$I$8,MATCH(X381,'分群統計'!$A$5:$A$8,0))),""),"")</f>
        <v/>
      </c>
      <c r="AE381" s="18">
        <f>IF(Y381=1,IFERROR(IF(AC381&gt;='參數'!$B$9,INDEX('分群統計'!$L$13:$P$16,MATCH(X381,'分群統計'!$A$13:$A$16,0),MATCH(V381,'分群統計'!$L$12:$P$12,0)),INDEX('分群統計'!$J$5:$J$8,MATCH(X381,'分群統計'!$A$5:$A$8,0))),""),"")</f>
        <v/>
      </c>
      <c r="AF381" s="31">
        <f>IF(ISNUMBER(AE381),IF(AE381&gt;0,MAX(-3,MIN(3,(N381-AD381)/AE381)),0),"")</f>
        <v/>
      </c>
      <c r="AG381" s="30">
        <f>IF(Y381=1,COUNTIFS($B$5:$B$404,B381,$Y$5:$Y$404,1),"")</f>
        <v/>
      </c>
      <c r="AH381" s="30">
        <f>IF(Y381=1,IFERROR(IF(ISNUMBER(INDEX('分群統計'!$G$20:$G$59,MATCH(B381,'分群統計'!$A$20:$A$59,0))),INDEX('分群統計'!$H$20:$H$59,MATCH(B381,'分群統計'!$A$20:$A$59,0))+INDEX('分群統計'!$G$20:$G$59,MATCH(B381,'分群統計'!$A$20:$A$59,0))*AU381,""),""),"")</f>
        <v/>
      </c>
      <c r="AI381" s="34">
        <f>IF(ISNUMBER(AH381),N381-AH381,"")</f>
        <v/>
      </c>
      <c r="AJ381" s="30">
        <f>IF(Y381=1,IFERROR(IF(ISNUMBER(INDEX('分群統計'!$G$5:$G$8,MATCH(X381,'分群統計'!$A$5:$A$8,0))),INDEX('分群統計'!$H$5:$H$8,MATCH(X381,'分群統計'!$A$5:$A$8,0))+INDEX('分群統計'!$G$5:$G$8,MATCH(X381,'分群統計'!$A$5:$A$8,0))*AU381,""),""),"")</f>
        <v/>
      </c>
      <c r="AK381" s="34">
        <f>IF(ISNUMBER(AJ381),N381-AJ381,"")</f>
        <v/>
      </c>
      <c r="AL381" s="21">
        <f>IF(ISNUMBER(AJ381),IF(AJ381&gt;0,AK381/AJ381,""),"")</f>
        <v/>
      </c>
      <c r="AM381" s="31">
        <f>IF(AY381&lt;&gt;1,"",IFERROR(IF(INDEX('分群統計'!$K$5:$K$8,MATCH(X381,'分群統計'!$A$5:$A$8,0))&lt;3,"",IF(INDEX('分群統計'!$M$5:$M$8,MATCH(X381,'分群統計'!$A$5:$A$8,0))&gt;0,MAX(-3,MIN(3,(AX381-INDEX('分群統計'!$L$5:$L$8,MATCH(X381,'分群統計'!$A$5:$A$8,0)))/INDEX('分群統計'!$M$5:$M$8,MATCH(X381,'分群統計'!$A$5:$A$8,0)))),0)),""))</f>
        <v/>
      </c>
      <c r="AN381" s="31">
        <f>IF(ISNUMBER(AB381),IF(Z381&gt;0,AB381/Z381*100,""),"")</f>
        <v/>
      </c>
      <c r="AO381" s="31">
        <f>IF(BA381&lt;&gt;1,"",IFERROR(IF(INDEX('分群統計'!$N$5:$N$8,MATCH(X381,'分群統計'!$A$5:$A$8,0))&lt;3,"",IF(INDEX('分群統計'!$P$5:$P$8,MATCH(X381,'分群統計'!$A$5:$A$8,0))&gt;0,MAX(-3,MIN(3,(AZ381-INDEX('分群統計'!$O$5:$O$8,MATCH(X381,'分群統計'!$A$5:$A$8,0)))/INDEX('分群統計'!$P$5:$P$8,MATCH(X381,'分群統計'!$A$5:$A$8,0)))),0)),""))</f>
        <v/>
      </c>
      <c r="AP381" s="31">
        <f>IF(BC381&lt;&gt;1,"",IFERROR(IF(INDEX('分群統計'!$Q$5:$Q$8,MATCH(X381,'分群統計'!$A$5:$A$8,0))&lt;3,"",IF(INDEX('分群統計'!$S$5:$S$8,MATCH(X381,'分群統計'!$A$5:$A$8,0))&gt;0,MAX(-3,MIN(3,(BB381-INDEX('分群統計'!$R$5:$R$8,MATCH(X381,'分群統計'!$A$5:$A$8,0)))/INDEX('分群統計'!$S$5:$S$8,MATCH(X381,'分群統計'!$A$5:$A$8,0)))),0)),""))</f>
        <v/>
      </c>
      <c r="AQ381" s="31">
        <f>IF(Y381=1,(IF(ISNUMBER(AF381),AF381,0)*'參數'!$B$13+IF(ISNUMBER(AM381),AM381,0)*'參數'!$B$14+IF(ISNUMBER(AO381),AO381,0)*'參數'!$B$15+IF(ISNUMBER(AP381),AP381,0)*'參數'!$B$16)/('參數'!$B$13+'參數'!$B$14+'參數'!$B$15+'參數'!$B$16),"")</f>
        <v/>
      </c>
      <c r="AR381" s="35">
        <f>IF(Y381=1,(SUMPRODUCT(($X$5:$X$404=X381)*($Y$5:$Y$404=1)*($BD$5:$BD$404&gt;BD381))+1)/COUNTIFS($X$5:$X$404,X381,$Y$5:$Y$404,1),"")</f>
        <v/>
      </c>
      <c r="AS381" s="8">
        <f>IF(ISNUMBER(AR381),IF(AR381&lt;='參數'!$B$18,"加碼候選",IF(AR381&gt;'參數'!$B$19,"減碼候選","")),"")</f>
        <v/>
      </c>
      <c r="AT381" s="7">
        <f>IF(Y381=1,N381,0)</f>
        <v/>
      </c>
      <c r="AU381" s="7">
        <f>IF(Y381=1,LN(O381),0)</f>
        <v/>
      </c>
      <c r="AV381" s="36">
        <f>IF(Y381=1,IF(ISNUMBER(F381),F381,0),0)</f>
        <v/>
      </c>
      <c r="AW381" s="7">
        <f>IF(Y381=1,Z381,0)</f>
        <v/>
      </c>
      <c r="AX381" s="7">
        <f>IF(Y381=1,IF(ISNUMBER(AL381),AL381,0),0)</f>
        <v/>
      </c>
      <c r="AY381" s="7">
        <f>IF(Y381=1,IF(ISNUMBER(AL381),1,0),0)</f>
        <v/>
      </c>
      <c r="AZ381" s="7">
        <f>IF(Y381=1,IF(ISNUMBER(AN381),AN381,0),0)</f>
        <v/>
      </c>
      <c r="BA381" s="7">
        <f>IF(Y381=1,IF(ISNUMBER(AN381),1,0),0)</f>
        <v/>
      </c>
      <c r="BB381" s="7">
        <f>IF(Y381=1,IF(ISNUMBER(T381),T381,0),0)</f>
        <v/>
      </c>
      <c r="BC381" s="7">
        <f>IF(Y381=1,IF(ISNUMBER(T381),1,0),0)</f>
        <v/>
      </c>
      <c r="BD381" s="7">
        <f>IF(Y381=1,AQ381+ROW()/1E9,-1E9)</f>
        <v/>
      </c>
      <c r="BE381" s="7">
        <f>IF(Y381=1,AQ381+ROW()/1E9,1E9)</f>
        <v/>
      </c>
    </row>
    <row r="382">
      <c r="A382" s="16" t="n"/>
      <c r="B382" s="8">
        <f>IF($A382="","",BDP($A382,B$3))</f>
        <v/>
      </c>
      <c r="C382" s="8">
        <f>IF($A382="","",BDP($A382,C$3))</f>
        <v/>
      </c>
      <c r="D382" s="28">
        <f>IF($A382="","",BDP($A382,D$3))</f>
        <v/>
      </c>
      <c r="E382" s="29">
        <f>IF($A382="","",BDP($A382,E$3))</f>
        <v/>
      </c>
      <c r="F382" s="17">
        <f>IF($A382="","",BDP($A382,F$3))</f>
        <v/>
      </c>
      <c r="G382" s="8">
        <f>IF($A382="","",BDP($A382,G$3))</f>
        <v/>
      </c>
      <c r="H382" s="8">
        <f>IF($A382="","",BDP($A382,H$3))</f>
        <v/>
      </c>
      <c r="I382" s="8">
        <f>IF($A382="","",BDP($A382,I$3))</f>
        <v/>
      </c>
      <c r="J382" s="8">
        <f>IF($A382="","",BDP($A382,J$3))</f>
        <v/>
      </c>
      <c r="K382" s="8">
        <f>IF($A382="","",BDP($A382,K$3))</f>
        <v/>
      </c>
      <c r="L382" s="28">
        <f>IF($A382="","",BDP($A382,L$3))</f>
        <v/>
      </c>
      <c r="M382" s="28">
        <f>IF($A382="","",BDP($A382,M$3))</f>
        <v/>
      </c>
      <c r="N382" s="30">
        <f>IF($A382="","",BDP($A382,N$3))</f>
        <v/>
      </c>
      <c r="O382" s="31">
        <f>IF($A382="","",BDP($A382,O$3))</f>
        <v/>
      </c>
      <c r="P382" s="30">
        <f>IF($A382="","",BDH($A382,$N$3,'參數'!$B$5,'參數'!$B$5,"Days=A","Fill=P","Dates=H"))</f>
        <v/>
      </c>
      <c r="Q382" s="30">
        <f>IF($A382="","",BDH($A382,$N$3,'參數'!$B$6,'參數'!$B$6,"Days=A","Fill=P","Dates=H"))</f>
        <v/>
      </c>
      <c r="R382" s="30">
        <f>IF($A382="","",BDH($A382,$N$3,'參數'!$B$7,'參數'!$B$7,"Days=A","Fill=P","Dates=H"))</f>
        <v/>
      </c>
      <c r="S382" s="32">
        <f>IF($A382="","",IFERROR(INDEX('發行人'!$A$5:$A$44,MATCH(B382,'發行人'!$D$5:$D$44,0)),"未對應"))</f>
        <v/>
      </c>
      <c r="T382" s="24">
        <f>IF($A382="","",IFERROR(INDEX('發行人'!$G$5:$G$44,MATCH(B382,'發行人'!$D$5:$D$44,0))+0,""))</f>
        <v/>
      </c>
      <c r="U382" s="18">
        <f>IF(ISNUMBER(E382),YEARFRAC('參數'!$B$4,E382),"")</f>
        <v/>
      </c>
      <c r="V382" s="8">
        <f>IF(U382="","",IF(U382&lt;3,"1-3y",IF(U382&lt;5,"3-5y",IF(U382&lt;7,"5-7y",IF(U382&lt;10,"7-10y","10y+")))))</f>
        <v/>
      </c>
      <c r="W382" s="30">
        <f>IF($A382="","",IFERROR(INDEX('參數'!$B$24:$B$45,MATCH(G382,'參數'!$A$24:$A$45,0)),""))</f>
        <v/>
      </c>
      <c r="X382" s="8">
        <f>IF($A382="","",IFERROR(INDEX('參數'!$C$24:$C$45,MATCH(G382,'參數'!$A$24:$A$45,0)),""))</f>
        <v/>
      </c>
      <c r="Y382" s="30">
        <f>IF(AND(ISNUMBER(N382),ISNUMBER(O382),ISNUMBER(U382)),IF(AND(O382&gt;0,X382&lt;&gt;""),1,0),0)</f>
        <v/>
      </c>
      <c r="Z382" s="17">
        <f>IF(Y382=1,O382*N382,"")</f>
        <v/>
      </c>
      <c r="AA382" s="33">
        <f>IF(Y382=1,IF(ISNUMBER(Q382),N382-Q382,""),"")</f>
        <v/>
      </c>
      <c r="AB382" s="33">
        <f>IF(Y382=1,IF(AND(ISNUMBER(P382),ISNUMBER(R382)),R382*5/12-O382*(P382-R382),""),"")</f>
        <v/>
      </c>
      <c r="AC382" s="30">
        <f>IF(Y382=1,COUNTIFS($X$5:$X$404,X382,$V$5:$V$404,V382,$Y$5:$Y$404,1),"")</f>
        <v/>
      </c>
      <c r="AD382" s="30">
        <f>IF(Y382=1,IFERROR(IF(AC382&gt;='參數'!$B$9,INDEX('分群統計'!$G$13:$K$16,MATCH(X382,'分群統計'!$A$13:$A$16,0),MATCH(V382,'分群統計'!$G$12:$K$12,0)),INDEX('分群統計'!$I$5:$I$8,MATCH(X382,'分群統計'!$A$5:$A$8,0))),""),"")</f>
        <v/>
      </c>
      <c r="AE382" s="18">
        <f>IF(Y382=1,IFERROR(IF(AC382&gt;='參數'!$B$9,INDEX('分群統計'!$L$13:$P$16,MATCH(X382,'分群統計'!$A$13:$A$16,0),MATCH(V382,'分群統計'!$L$12:$P$12,0)),INDEX('分群統計'!$J$5:$J$8,MATCH(X382,'分群統計'!$A$5:$A$8,0))),""),"")</f>
        <v/>
      </c>
      <c r="AF382" s="31">
        <f>IF(ISNUMBER(AE382),IF(AE382&gt;0,MAX(-3,MIN(3,(N382-AD382)/AE382)),0),"")</f>
        <v/>
      </c>
      <c r="AG382" s="30">
        <f>IF(Y382=1,COUNTIFS($B$5:$B$404,B382,$Y$5:$Y$404,1),"")</f>
        <v/>
      </c>
      <c r="AH382" s="30">
        <f>IF(Y382=1,IFERROR(IF(ISNUMBER(INDEX('分群統計'!$G$20:$G$59,MATCH(B382,'分群統計'!$A$20:$A$59,0))),INDEX('分群統計'!$H$20:$H$59,MATCH(B382,'分群統計'!$A$20:$A$59,0))+INDEX('分群統計'!$G$20:$G$59,MATCH(B382,'分群統計'!$A$20:$A$59,0))*AU382,""),""),"")</f>
        <v/>
      </c>
      <c r="AI382" s="34">
        <f>IF(ISNUMBER(AH382),N382-AH382,"")</f>
        <v/>
      </c>
      <c r="AJ382" s="30">
        <f>IF(Y382=1,IFERROR(IF(ISNUMBER(INDEX('分群統計'!$G$5:$G$8,MATCH(X382,'分群統計'!$A$5:$A$8,0))),INDEX('分群統計'!$H$5:$H$8,MATCH(X382,'分群統計'!$A$5:$A$8,0))+INDEX('分群統計'!$G$5:$G$8,MATCH(X382,'分群統計'!$A$5:$A$8,0))*AU382,""),""),"")</f>
        <v/>
      </c>
      <c r="AK382" s="34">
        <f>IF(ISNUMBER(AJ382),N382-AJ382,"")</f>
        <v/>
      </c>
      <c r="AL382" s="21">
        <f>IF(ISNUMBER(AJ382),IF(AJ382&gt;0,AK382/AJ382,""),"")</f>
        <v/>
      </c>
      <c r="AM382" s="31">
        <f>IF(AY382&lt;&gt;1,"",IFERROR(IF(INDEX('分群統計'!$K$5:$K$8,MATCH(X382,'分群統計'!$A$5:$A$8,0))&lt;3,"",IF(INDEX('分群統計'!$M$5:$M$8,MATCH(X382,'分群統計'!$A$5:$A$8,0))&gt;0,MAX(-3,MIN(3,(AX382-INDEX('分群統計'!$L$5:$L$8,MATCH(X382,'分群統計'!$A$5:$A$8,0)))/INDEX('分群統計'!$M$5:$M$8,MATCH(X382,'分群統計'!$A$5:$A$8,0)))),0)),""))</f>
        <v/>
      </c>
      <c r="AN382" s="31">
        <f>IF(ISNUMBER(AB382),IF(Z382&gt;0,AB382/Z382*100,""),"")</f>
        <v/>
      </c>
      <c r="AO382" s="31">
        <f>IF(BA382&lt;&gt;1,"",IFERROR(IF(INDEX('分群統計'!$N$5:$N$8,MATCH(X382,'分群統計'!$A$5:$A$8,0))&lt;3,"",IF(INDEX('分群統計'!$P$5:$P$8,MATCH(X382,'分群統計'!$A$5:$A$8,0))&gt;0,MAX(-3,MIN(3,(AZ382-INDEX('分群統計'!$O$5:$O$8,MATCH(X382,'分群統計'!$A$5:$A$8,0)))/INDEX('分群統計'!$P$5:$P$8,MATCH(X382,'分群統計'!$A$5:$A$8,0)))),0)),""))</f>
        <v/>
      </c>
      <c r="AP382" s="31">
        <f>IF(BC382&lt;&gt;1,"",IFERROR(IF(INDEX('分群統計'!$Q$5:$Q$8,MATCH(X382,'分群統計'!$A$5:$A$8,0))&lt;3,"",IF(INDEX('分群統計'!$S$5:$S$8,MATCH(X382,'分群統計'!$A$5:$A$8,0))&gt;0,MAX(-3,MIN(3,(BB382-INDEX('分群統計'!$R$5:$R$8,MATCH(X382,'分群統計'!$A$5:$A$8,0)))/INDEX('分群統計'!$S$5:$S$8,MATCH(X382,'分群統計'!$A$5:$A$8,0)))),0)),""))</f>
        <v/>
      </c>
      <c r="AQ382" s="31">
        <f>IF(Y382=1,(IF(ISNUMBER(AF382),AF382,0)*'參數'!$B$13+IF(ISNUMBER(AM382),AM382,0)*'參數'!$B$14+IF(ISNUMBER(AO382),AO382,0)*'參數'!$B$15+IF(ISNUMBER(AP382),AP382,0)*'參數'!$B$16)/('參數'!$B$13+'參數'!$B$14+'參數'!$B$15+'參數'!$B$16),"")</f>
        <v/>
      </c>
      <c r="AR382" s="35">
        <f>IF(Y382=1,(SUMPRODUCT(($X$5:$X$404=X382)*($Y$5:$Y$404=1)*($BD$5:$BD$404&gt;BD382))+1)/COUNTIFS($X$5:$X$404,X382,$Y$5:$Y$404,1),"")</f>
        <v/>
      </c>
      <c r="AS382" s="8">
        <f>IF(ISNUMBER(AR382),IF(AR382&lt;='參數'!$B$18,"加碼候選",IF(AR382&gt;'參數'!$B$19,"減碼候選","")),"")</f>
        <v/>
      </c>
      <c r="AT382" s="7">
        <f>IF(Y382=1,N382,0)</f>
        <v/>
      </c>
      <c r="AU382" s="7">
        <f>IF(Y382=1,LN(O382),0)</f>
        <v/>
      </c>
      <c r="AV382" s="36">
        <f>IF(Y382=1,IF(ISNUMBER(F382),F382,0),0)</f>
        <v/>
      </c>
      <c r="AW382" s="7">
        <f>IF(Y382=1,Z382,0)</f>
        <v/>
      </c>
      <c r="AX382" s="7">
        <f>IF(Y382=1,IF(ISNUMBER(AL382),AL382,0),0)</f>
        <v/>
      </c>
      <c r="AY382" s="7">
        <f>IF(Y382=1,IF(ISNUMBER(AL382),1,0),0)</f>
        <v/>
      </c>
      <c r="AZ382" s="7">
        <f>IF(Y382=1,IF(ISNUMBER(AN382),AN382,0),0)</f>
        <v/>
      </c>
      <c r="BA382" s="7">
        <f>IF(Y382=1,IF(ISNUMBER(AN382),1,0),0)</f>
        <v/>
      </c>
      <c r="BB382" s="7">
        <f>IF(Y382=1,IF(ISNUMBER(T382),T382,0),0)</f>
        <v/>
      </c>
      <c r="BC382" s="7">
        <f>IF(Y382=1,IF(ISNUMBER(T382),1,0),0)</f>
        <v/>
      </c>
      <c r="BD382" s="7">
        <f>IF(Y382=1,AQ382+ROW()/1E9,-1E9)</f>
        <v/>
      </c>
      <c r="BE382" s="7">
        <f>IF(Y382=1,AQ382+ROW()/1E9,1E9)</f>
        <v/>
      </c>
    </row>
    <row r="383">
      <c r="A383" s="16" t="n"/>
      <c r="B383" s="8">
        <f>IF($A383="","",BDP($A383,B$3))</f>
        <v/>
      </c>
      <c r="C383" s="8">
        <f>IF($A383="","",BDP($A383,C$3))</f>
        <v/>
      </c>
      <c r="D383" s="28">
        <f>IF($A383="","",BDP($A383,D$3))</f>
        <v/>
      </c>
      <c r="E383" s="29">
        <f>IF($A383="","",BDP($A383,E$3))</f>
        <v/>
      </c>
      <c r="F383" s="17">
        <f>IF($A383="","",BDP($A383,F$3))</f>
        <v/>
      </c>
      <c r="G383" s="8">
        <f>IF($A383="","",BDP($A383,G$3))</f>
        <v/>
      </c>
      <c r="H383" s="8">
        <f>IF($A383="","",BDP($A383,H$3))</f>
        <v/>
      </c>
      <c r="I383" s="8">
        <f>IF($A383="","",BDP($A383,I$3))</f>
        <v/>
      </c>
      <c r="J383" s="8">
        <f>IF($A383="","",BDP($A383,J$3))</f>
        <v/>
      </c>
      <c r="K383" s="8">
        <f>IF($A383="","",BDP($A383,K$3))</f>
        <v/>
      </c>
      <c r="L383" s="28">
        <f>IF($A383="","",BDP($A383,L$3))</f>
        <v/>
      </c>
      <c r="M383" s="28">
        <f>IF($A383="","",BDP($A383,M$3))</f>
        <v/>
      </c>
      <c r="N383" s="30">
        <f>IF($A383="","",BDP($A383,N$3))</f>
        <v/>
      </c>
      <c r="O383" s="31">
        <f>IF($A383="","",BDP($A383,O$3))</f>
        <v/>
      </c>
      <c r="P383" s="30">
        <f>IF($A383="","",BDH($A383,$N$3,'參數'!$B$5,'參數'!$B$5,"Days=A","Fill=P","Dates=H"))</f>
        <v/>
      </c>
      <c r="Q383" s="30">
        <f>IF($A383="","",BDH($A383,$N$3,'參數'!$B$6,'參數'!$B$6,"Days=A","Fill=P","Dates=H"))</f>
        <v/>
      </c>
      <c r="R383" s="30">
        <f>IF($A383="","",BDH($A383,$N$3,'參數'!$B$7,'參數'!$B$7,"Days=A","Fill=P","Dates=H"))</f>
        <v/>
      </c>
      <c r="S383" s="32">
        <f>IF($A383="","",IFERROR(INDEX('發行人'!$A$5:$A$44,MATCH(B383,'發行人'!$D$5:$D$44,0)),"未對應"))</f>
        <v/>
      </c>
      <c r="T383" s="24">
        <f>IF($A383="","",IFERROR(INDEX('發行人'!$G$5:$G$44,MATCH(B383,'發行人'!$D$5:$D$44,0))+0,""))</f>
        <v/>
      </c>
      <c r="U383" s="18">
        <f>IF(ISNUMBER(E383),YEARFRAC('參數'!$B$4,E383),"")</f>
        <v/>
      </c>
      <c r="V383" s="8">
        <f>IF(U383="","",IF(U383&lt;3,"1-3y",IF(U383&lt;5,"3-5y",IF(U383&lt;7,"5-7y",IF(U383&lt;10,"7-10y","10y+")))))</f>
        <v/>
      </c>
      <c r="W383" s="30">
        <f>IF($A383="","",IFERROR(INDEX('參數'!$B$24:$B$45,MATCH(G383,'參數'!$A$24:$A$45,0)),""))</f>
        <v/>
      </c>
      <c r="X383" s="8">
        <f>IF($A383="","",IFERROR(INDEX('參數'!$C$24:$C$45,MATCH(G383,'參數'!$A$24:$A$45,0)),""))</f>
        <v/>
      </c>
      <c r="Y383" s="30">
        <f>IF(AND(ISNUMBER(N383),ISNUMBER(O383),ISNUMBER(U383)),IF(AND(O383&gt;0,X383&lt;&gt;""),1,0),0)</f>
        <v/>
      </c>
      <c r="Z383" s="17">
        <f>IF(Y383=1,O383*N383,"")</f>
        <v/>
      </c>
      <c r="AA383" s="33">
        <f>IF(Y383=1,IF(ISNUMBER(Q383),N383-Q383,""),"")</f>
        <v/>
      </c>
      <c r="AB383" s="33">
        <f>IF(Y383=1,IF(AND(ISNUMBER(P383),ISNUMBER(R383)),R383*5/12-O383*(P383-R383),""),"")</f>
        <v/>
      </c>
      <c r="AC383" s="30">
        <f>IF(Y383=1,COUNTIFS($X$5:$X$404,X383,$V$5:$V$404,V383,$Y$5:$Y$404,1),"")</f>
        <v/>
      </c>
      <c r="AD383" s="30">
        <f>IF(Y383=1,IFERROR(IF(AC383&gt;='參數'!$B$9,INDEX('分群統計'!$G$13:$K$16,MATCH(X383,'分群統計'!$A$13:$A$16,0),MATCH(V383,'分群統計'!$G$12:$K$12,0)),INDEX('分群統計'!$I$5:$I$8,MATCH(X383,'分群統計'!$A$5:$A$8,0))),""),"")</f>
        <v/>
      </c>
      <c r="AE383" s="18">
        <f>IF(Y383=1,IFERROR(IF(AC383&gt;='參數'!$B$9,INDEX('分群統計'!$L$13:$P$16,MATCH(X383,'分群統計'!$A$13:$A$16,0),MATCH(V383,'分群統計'!$L$12:$P$12,0)),INDEX('分群統計'!$J$5:$J$8,MATCH(X383,'分群統計'!$A$5:$A$8,0))),""),"")</f>
        <v/>
      </c>
      <c r="AF383" s="31">
        <f>IF(ISNUMBER(AE383),IF(AE383&gt;0,MAX(-3,MIN(3,(N383-AD383)/AE383)),0),"")</f>
        <v/>
      </c>
      <c r="AG383" s="30">
        <f>IF(Y383=1,COUNTIFS($B$5:$B$404,B383,$Y$5:$Y$404,1),"")</f>
        <v/>
      </c>
      <c r="AH383" s="30">
        <f>IF(Y383=1,IFERROR(IF(ISNUMBER(INDEX('分群統計'!$G$20:$G$59,MATCH(B383,'分群統計'!$A$20:$A$59,0))),INDEX('分群統計'!$H$20:$H$59,MATCH(B383,'分群統計'!$A$20:$A$59,0))+INDEX('分群統計'!$G$20:$G$59,MATCH(B383,'分群統計'!$A$20:$A$59,0))*AU383,""),""),"")</f>
        <v/>
      </c>
      <c r="AI383" s="34">
        <f>IF(ISNUMBER(AH383),N383-AH383,"")</f>
        <v/>
      </c>
      <c r="AJ383" s="30">
        <f>IF(Y383=1,IFERROR(IF(ISNUMBER(INDEX('分群統計'!$G$5:$G$8,MATCH(X383,'分群統計'!$A$5:$A$8,0))),INDEX('分群統計'!$H$5:$H$8,MATCH(X383,'分群統計'!$A$5:$A$8,0))+INDEX('分群統計'!$G$5:$G$8,MATCH(X383,'分群統計'!$A$5:$A$8,0))*AU383,""),""),"")</f>
        <v/>
      </c>
      <c r="AK383" s="34">
        <f>IF(ISNUMBER(AJ383),N383-AJ383,"")</f>
        <v/>
      </c>
      <c r="AL383" s="21">
        <f>IF(ISNUMBER(AJ383),IF(AJ383&gt;0,AK383/AJ383,""),"")</f>
        <v/>
      </c>
      <c r="AM383" s="31">
        <f>IF(AY383&lt;&gt;1,"",IFERROR(IF(INDEX('分群統計'!$K$5:$K$8,MATCH(X383,'分群統計'!$A$5:$A$8,0))&lt;3,"",IF(INDEX('分群統計'!$M$5:$M$8,MATCH(X383,'分群統計'!$A$5:$A$8,0))&gt;0,MAX(-3,MIN(3,(AX383-INDEX('分群統計'!$L$5:$L$8,MATCH(X383,'分群統計'!$A$5:$A$8,0)))/INDEX('分群統計'!$M$5:$M$8,MATCH(X383,'分群統計'!$A$5:$A$8,0)))),0)),""))</f>
        <v/>
      </c>
      <c r="AN383" s="31">
        <f>IF(ISNUMBER(AB383),IF(Z383&gt;0,AB383/Z383*100,""),"")</f>
        <v/>
      </c>
      <c r="AO383" s="31">
        <f>IF(BA383&lt;&gt;1,"",IFERROR(IF(INDEX('分群統計'!$N$5:$N$8,MATCH(X383,'分群統計'!$A$5:$A$8,0))&lt;3,"",IF(INDEX('分群統計'!$P$5:$P$8,MATCH(X383,'分群統計'!$A$5:$A$8,0))&gt;0,MAX(-3,MIN(3,(AZ383-INDEX('分群統計'!$O$5:$O$8,MATCH(X383,'分群統計'!$A$5:$A$8,0)))/INDEX('分群統計'!$P$5:$P$8,MATCH(X383,'分群統計'!$A$5:$A$8,0)))),0)),""))</f>
        <v/>
      </c>
      <c r="AP383" s="31">
        <f>IF(BC383&lt;&gt;1,"",IFERROR(IF(INDEX('分群統計'!$Q$5:$Q$8,MATCH(X383,'分群統計'!$A$5:$A$8,0))&lt;3,"",IF(INDEX('分群統計'!$S$5:$S$8,MATCH(X383,'分群統計'!$A$5:$A$8,0))&gt;0,MAX(-3,MIN(3,(BB383-INDEX('分群統計'!$R$5:$R$8,MATCH(X383,'分群統計'!$A$5:$A$8,0)))/INDEX('分群統計'!$S$5:$S$8,MATCH(X383,'分群統計'!$A$5:$A$8,0)))),0)),""))</f>
        <v/>
      </c>
      <c r="AQ383" s="31">
        <f>IF(Y383=1,(IF(ISNUMBER(AF383),AF383,0)*'參數'!$B$13+IF(ISNUMBER(AM383),AM383,0)*'參數'!$B$14+IF(ISNUMBER(AO383),AO383,0)*'參數'!$B$15+IF(ISNUMBER(AP383),AP383,0)*'參數'!$B$16)/('參數'!$B$13+'參數'!$B$14+'參數'!$B$15+'參數'!$B$16),"")</f>
        <v/>
      </c>
      <c r="AR383" s="35">
        <f>IF(Y383=1,(SUMPRODUCT(($X$5:$X$404=X383)*($Y$5:$Y$404=1)*($BD$5:$BD$404&gt;BD383))+1)/COUNTIFS($X$5:$X$404,X383,$Y$5:$Y$404,1),"")</f>
        <v/>
      </c>
      <c r="AS383" s="8">
        <f>IF(ISNUMBER(AR383),IF(AR383&lt;='參數'!$B$18,"加碼候選",IF(AR383&gt;'參數'!$B$19,"減碼候選","")),"")</f>
        <v/>
      </c>
      <c r="AT383" s="7">
        <f>IF(Y383=1,N383,0)</f>
        <v/>
      </c>
      <c r="AU383" s="7">
        <f>IF(Y383=1,LN(O383),0)</f>
        <v/>
      </c>
      <c r="AV383" s="36">
        <f>IF(Y383=1,IF(ISNUMBER(F383),F383,0),0)</f>
        <v/>
      </c>
      <c r="AW383" s="7">
        <f>IF(Y383=1,Z383,0)</f>
        <v/>
      </c>
      <c r="AX383" s="7">
        <f>IF(Y383=1,IF(ISNUMBER(AL383),AL383,0),0)</f>
        <v/>
      </c>
      <c r="AY383" s="7">
        <f>IF(Y383=1,IF(ISNUMBER(AL383),1,0),0)</f>
        <v/>
      </c>
      <c r="AZ383" s="7">
        <f>IF(Y383=1,IF(ISNUMBER(AN383),AN383,0),0)</f>
        <v/>
      </c>
      <c r="BA383" s="7">
        <f>IF(Y383=1,IF(ISNUMBER(AN383),1,0),0)</f>
        <v/>
      </c>
      <c r="BB383" s="7">
        <f>IF(Y383=1,IF(ISNUMBER(T383),T383,0),0)</f>
        <v/>
      </c>
      <c r="BC383" s="7">
        <f>IF(Y383=1,IF(ISNUMBER(T383),1,0),0)</f>
        <v/>
      </c>
      <c r="BD383" s="7">
        <f>IF(Y383=1,AQ383+ROW()/1E9,-1E9)</f>
        <v/>
      </c>
      <c r="BE383" s="7">
        <f>IF(Y383=1,AQ383+ROW()/1E9,1E9)</f>
        <v/>
      </c>
    </row>
    <row r="384">
      <c r="A384" s="16" t="n"/>
      <c r="B384" s="8">
        <f>IF($A384="","",BDP($A384,B$3))</f>
        <v/>
      </c>
      <c r="C384" s="8">
        <f>IF($A384="","",BDP($A384,C$3))</f>
        <v/>
      </c>
      <c r="D384" s="28">
        <f>IF($A384="","",BDP($A384,D$3))</f>
        <v/>
      </c>
      <c r="E384" s="29">
        <f>IF($A384="","",BDP($A384,E$3))</f>
        <v/>
      </c>
      <c r="F384" s="17">
        <f>IF($A384="","",BDP($A384,F$3))</f>
        <v/>
      </c>
      <c r="G384" s="8">
        <f>IF($A384="","",BDP($A384,G$3))</f>
        <v/>
      </c>
      <c r="H384" s="8">
        <f>IF($A384="","",BDP($A384,H$3))</f>
        <v/>
      </c>
      <c r="I384" s="8">
        <f>IF($A384="","",BDP($A384,I$3))</f>
        <v/>
      </c>
      <c r="J384" s="8">
        <f>IF($A384="","",BDP($A384,J$3))</f>
        <v/>
      </c>
      <c r="K384" s="8">
        <f>IF($A384="","",BDP($A384,K$3))</f>
        <v/>
      </c>
      <c r="L384" s="28">
        <f>IF($A384="","",BDP($A384,L$3))</f>
        <v/>
      </c>
      <c r="M384" s="28">
        <f>IF($A384="","",BDP($A384,M$3))</f>
        <v/>
      </c>
      <c r="N384" s="30">
        <f>IF($A384="","",BDP($A384,N$3))</f>
        <v/>
      </c>
      <c r="O384" s="31">
        <f>IF($A384="","",BDP($A384,O$3))</f>
        <v/>
      </c>
      <c r="P384" s="30">
        <f>IF($A384="","",BDH($A384,$N$3,'參數'!$B$5,'參數'!$B$5,"Days=A","Fill=P","Dates=H"))</f>
        <v/>
      </c>
      <c r="Q384" s="30">
        <f>IF($A384="","",BDH($A384,$N$3,'參數'!$B$6,'參數'!$B$6,"Days=A","Fill=P","Dates=H"))</f>
        <v/>
      </c>
      <c r="R384" s="30">
        <f>IF($A384="","",BDH($A384,$N$3,'參數'!$B$7,'參數'!$B$7,"Days=A","Fill=P","Dates=H"))</f>
        <v/>
      </c>
      <c r="S384" s="32">
        <f>IF($A384="","",IFERROR(INDEX('發行人'!$A$5:$A$44,MATCH(B384,'發行人'!$D$5:$D$44,0)),"未對應"))</f>
        <v/>
      </c>
      <c r="T384" s="24">
        <f>IF($A384="","",IFERROR(INDEX('發行人'!$G$5:$G$44,MATCH(B384,'發行人'!$D$5:$D$44,0))+0,""))</f>
        <v/>
      </c>
      <c r="U384" s="18">
        <f>IF(ISNUMBER(E384),YEARFRAC('參數'!$B$4,E384),"")</f>
        <v/>
      </c>
      <c r="V384" s="8">
        <f>IF(U384="","",IF(U384&lt;3,"1-3y",IF(U384&lt;5,"3-5y",IF(U384&lt;7,"5-7y",IF(U384&lt;10,"7-10y","10y+")))))</f>
        <v/>
      </c>
      <c r="W384" s="30">
        <f>IF($A384="","",IFERROR(INDEX('參數'!$B$24:$B$45,MATCH(G384,'參數'!$A$24:$A$45,0)),""))</f>
        <v/>
      </c>
      <c r="X384" s="8">
        <f>IF($A384="","",IFERROR(INDEX('參數'!$C$24:$C$45,MATCH(G384,'參數'!$A$24:$A$45,0)),""))</f>
        <v/>
      </c>
      <c r="Y384" s="30">
        <f>IF(AND(ISNUMBER(N384),ISNUMBER(O384),ISNUMBER(U384)),IF(AND(O384&gt;0,X384&lt;&gt;""),1,0),0)</f>
        <v/>
      </c>
      <c r="Z384" s="17">
        <f>IF(Y384=1,O384*N384,"")</f>
        <v/>
      </c>
      <c r="AA384" s="33">
        <f>IF(Y384=1,IF(ISNUMBER(Q384),N384-Q384,""),"")</f>
        <v/>
      </c>
      <c r="AB384" s="33">
        <f>IF(Y384=1,IF(AND(ISNUMBER(P384),ISNUMBER(R384)),R384*5/12-O384*(P384-R384),""),"")</f>
        <v/>
      </c>
      <c r="AC384" s="30">
        <f>IF(Y384=1,COUNTIFS($X$5:$X$404,X384,$V$5:$V$404,V384,$Y$5:$Y$404,1),"")</f>
        <v/>
      </c>
      <c r="AD384" s="30">
        <f>IF(Y384=1,IFERROR(IF(AC384&gt;='參數'!$B$9,INDEX('分群統計'!$G$13:$K$16,MATCH(X384,'分群統計'!$A$13:$A$16,0),MATCH(V384,'分群統計'!$G$12:$K$12,0)),INDEX('分群統計'!$I$5:$I$8,MATCH(X384,'分群統計'!$A$5:$A$8,0))),""),"")</f>
        <v/>
      </c>
      <c r="AE384" s="18">
        <f>IF(Y384=1,IFERROR(IF(AC384&gt;='參數'!$B$9,INDEX('分群統計'!$L$13:$P$16,MATCH(X384,'分群統計'!$A$13:$A$16,0),MATCH(V384,'分群統計'!$L$12:$P$12,0)),INDEX('分群統計'!$J$5:$J$8,MATCH(X384,'分群統計'!$A$5:$A$8,0))),""),"")</f>
        <v/>
      </c>
      <c r="AF384" s="31">
        <f>IF(ISNUMBER(AE384),IF(AE384&gt;0,MAX(-3,MIN(3,(N384-AD384)/AE384)),0),"")</f>
        <v/>
      </c>
      <c r="AG384" s="30">
        <f>IF(Y384=1,COUNTIFS($B$5:$B$404,B384,$Y$5:$Y$404,1),"")</f>
        <v/>
      </c>
      <c r="AH384" s="30">
        <f>IF(Y384=1,IFERROR(IF(ISNUMBER(INDEX('分群統計'!$G$20:$G$59,MATCH(B384,'分群統計'!$A$20:$A$59,0))),INDEX('分群統計'!$H$20:$H$59,MATCH(B384,'分群統計'!$A$20:$A$59,0))+INDEX('分群統計'!$G$20:$G$59,MATCH(B384,'分群統計'!$A$20:$A$59,0))*AU384,""),""),"")</f>
        <v/>
      </c>
      <c r="AI384" s="34">
        <f>IF(ISNUMBER(AH384),N384-AH384,"")</f>
        <v/>
      </c>
      <c r="AJ384" s="30">
        <f>IF(Y384=1,IFERROR(IF(ISNUMBER(INDEX('分群統計'!$G$5:$G$8,MATCH(X384,'分群統計'!$A$5:$A$8,0))),INDEX('分群統計'!$H$5:$H$8,MATCH(X384,'分群統計'!$A$5:$A$8,0))+INDEX('分群統計'!$G$5:$G$8,MATCH(X384,'分群統計'!$A$5:$A$8,0))*AU384,""),""),"")</f>
        <v/>
      </c>
      <c r="AK384" s="34">
        <f>IF(ISNUMBER(AJ384),N384-AJ384,"")</f>
        <v/>
      </c>
      <c r="AL384" s="21">
        <f>IF(ISNUMBER(AJ384),IF(AJ384&gt;0,AK384/AJ384,""),"")</f>
        <v/>
      </c>
      <c r="AM384" s="31">
        <f>IF(AY384&lt;&gt;1,"",IFERROR(IF(INDEX('分群統計'!$K$5:$K$8,MATCH(X384,'分群統計'!$A$5:$A$8,0))&lt;3,"",IF(INDEX('分群統計'!$M$5:$M$8,MATCH(X384,'分群統計'!$A$5:$A$8,0))&gt;0,MAX(-3,MIN(3,(AX384-INDEX('分群統計'!$L$5:$L$8,MATCH(X384,'分群統計'!$A$5:$A$8,0)))/INDEX('分群統計'!$M$5:$M$8,MATCH(X384,'分群統計'!$A$5:$A$8,0)))),0)),""))</f>
        <v/>
      </c>
      <c r="AN384" s="31">
        <f>IF(ISNUMBER(AB384),IF(Z384&gt;0,AB384/Z384*100,""),"")</f>
        <v/>
      </c>
      <c r="AO384" s="31">
        <f>IF(BA384&lt;&gt;1,"",IFERROR(IF(INDEX('分群統計'!$N$5:$N$8,MATCH(X384,'分群統計'!$A$5:$A$8,0))&lt;3,"",IF(INDEX('分群統計'!$P$5:$P$8,MATCH(X384,'分群統計'!$A$5:$A$8,0))&gt;0,MAX(-3,MIN(3,(AZ384-INDEX('分群統計'!$O$5:$O$8,MATCH(X384,'分群統計'!$A$5:$A$8,0)))/INDEX('分群統計'!$P$5:$P$8,MATCH(X384,'分群統計'!$A$5:$A$8,0)))),0)),""))</f>
        <v/>
      </c>
      <c r="AP384" s="31">
        <f>IF(BC384&lt;&gt;1,"",IFERROR(IF(INDEX('分群統計'!$Q$5:$Q$8,MATCH(X384,'分群統計'!$A$5:$A$8,0))&lt;3,"",IF(INDEX('分群統計'!$S$5:$S$8,MATCH(X384,'分群統計'!$A$5:$A$8,0))&gt;0,MAX(-3,MIN(3,(BB384-INDEX('分群統計'!$R$5:$R$8,MATCH(X384,'分群統計'!$A$5:$A$8,0)))/INDEX('分群統計'!$S$5:$S$8,MATCH(X384,'分群統計'!$A$5:$A$8,0)))),0)),""))</f>
        <v/>
      </c>
      <c r="AQ384" s="31">
        <f>IF(Y384=1,(IF(ISNUMBER(AF384),AF384,0)*'參數'!$B$13+IF(ISNUMBER(AM384),AM384,0)*'參數'!$B$14+IF(ISNUMBER(AO384),AO384,0)*'參數'!$B$15+IF(ISNUMBER(AP384),AP384,0)*'參數'!$B$16)/('參數'!$B$13+'參數'!$B$14+'參數'!$B$15+'參數'!$B$16),"")</f>
        <v/>
      </c>
      <c r="AR384" s="35">
        <f>IF(Y384=1,(SUMPRODUCT(($X$5:$X$404=X384)*($Y$5:$Y$404=1)*($BD$5:$BD$404&gt;BD384))+1)/COUNTIFS($X$5:$X$404,X384,$Y$5:$Y$404,1),"")</f>
        <v/>
      </c>
      <c r="AS384" s="8">
        <f>IF(ISNUMBER(AR384),IF(AR384&lt;='參數'!$B$18,"加碼候選",IF(AR384&gt;'參數'!$B$19,"減碼候選","")),"")</f>
        <v/>
      </c>
      <c r="AT384" s="7">
        <f>IF(Y384=1,N384,0)</f>
        <v/>
      </c>
      <c r="AU384" s="7">
        <f>IF(Y384=1,LN(O384),0)</f>
        <v/>
      </c>
      <c r="AV384" s="36">
        <f>IF(Y384=1,IF(ISNUMBER(F384),F384,0),0)</f>
        <v/>
      </c>
      <c r="AW384" s="7">
        <f>IF(Y384=1,Z384,0)</f>
        <v/>
      </c>
      <c r="AX384" s="7">
        <f>IF(Y384=1,IF(ISNUMBER(AL384),AL384,0),0)</f>
        <v/>
      </c>
      <c r="AY384" s="7">
        <f>IF(Y384=1,IF(ISNUMBER(AL384),1,0),0)</f>
        <v/>
      </c>
      <c r="AZ384" s="7">
        <f>IF(Y384=1,IF(ISNUMBER(AN384),AN384,0),0)</f>
        <v/>
      </c>
      <c r="BA384" s="7">
        <f>IF(Y384=1,IF(ISNUMBER(AN384),1,0),0)</f>
        <v/>
      </c>
      <c r="BB384" s="7">
        <f>IF(Y384=1,IF(ISNUMBER(T384),T384,0),0)</f>
        <v/>
      </c>
      <c r="BC384" s="7">
        <f>IF(Y384=1,IF(ISNUMBER(T384),1,0),0)</f>
        <v/>
      </c>
      <c r="BD384" s="7">
        <f>IF(Y384=1,AQ384+ROW()/1E9,-1E9)</f>
        <v/>
      </c>
      <c r="BE384" s="7">
        <f>IF(Y384=1,AQ384+ROW()/1E9,1E9)</f>
        <v/>
      </c>
    </row>
    <row r="385">
      <c r="A385" s="16" t="n"/>
      <c r="B385" s="8">
        <f>IF($A385="","",BDP($A385,B$3))</f>
        <v/>
      </c>
      <c r="C385" s="8">
        <f>IF($A385="","",BDP($A385,C$3))</f>
        <v/>
      </c>
      <c r="D385" s="28">
        <f>IF($A385="","",BDP($A385,D$3))</f>
        <v/>
      </c>
      <c r="E385" s="29">
        <f>IF($A385="","",BDP($A385,E$3))</f>
        <v/>
      </c>
      <c r="F385" s="17">
        <f>IF($A385="","",BDP($A385,F$3))</f>
        <v/>
      </c>
      <c r="G385" s="8">
        <f>IF($A385="","",BDP($A385,G$3))</f>
        <v/>
      </c>
      <c r="H385" s="8">
        <f>IF($A385="","",BDP($A385,H$3))</f>
        <v/>
      </c>
      <c r="I385" s="8">
        <f>IF($A385="","",BDP($A385,I$3))</f>
        <v/>
      </c>
      <c r="J385" s="8">
        <f>IF($A385="","",BDP($A385,J$3))</f>
        <v/>
      </c>
      <c r="K385" s="8">
        <f>IF($A385="","",BDP($A385,K$3))</f>
        <v/>
      </c>
      <c r="L385" s="28">
        <f>IF($A385="","",BDP($A385,L$3))</f>
        <v/>
      </c>
      <c r="M385" s="28">
        <f>IF($A385="","",BDP($A385,M$3))</f>
        <v/>
      </c>
      <c r="N385" s="30">
        <f>IF($A385="","",BDP($A385,N$3))</f>
        <v/>
      </c>
      <c r="O385" s="31">
        <f>IF($A385="","",BDP($A385,O$3))</f>
        <v/>
      </c>
      <c r="P385" s="30">
        <f>IF($A385="","",BDH($A385,$N$3,'參數'!$B$5,'參數'!$B$5,"Days=A","Fill=P","Dates=H"))</f>
        <v/>
      </c>
      <c r="Q385" s="30">
        <f>IF($A385="","",BDH($A385,$N$3,'參數'!$B$6,'參數'!$B$6,"Days=A","Fill=P","Dates=H"))</f>
        <v/>
      </c>
      <c r="R385" s="30">
        <f>IF($A385="","",BDH($A385,$N$3,'參數'!$B$7,'參數'!$B$7,"Days=A","Fill=P","Dates=H"))</f>
        <v/>
      </c>
      <c r="S385" s="32">
        <f>IF($A385="","",IFERROR(INDEX('發行人'!$A$5:$A$44,MATCH(B385,'發行人'!$D$5:$D$44,0)),"未對應"))</f>
        <v/>
      </c>
      <c r="T385" s="24">
        <f>IF($A385="","",IFERROR(INDEX('發行人'!$G$5:$G$44,MATCH(B385,'發行人'!$D$5:$D$44,0))+0,""))</f>
        <v/>
      </c>
      <c r="U385" s="18">
        <f>IF(ISNUMBER(E385),YEARFRAC('參數'!$B$4,E385),"")</f>
        <v/>
      </c>
      <c r="V385" s="8">
        <f>IF(U385="","",IF(U385&lt;3,"1-3y",IF(U385&lt;5,"3-5y",IF(U385&lt;7,"5-7y",IF(U385&lt;10,"7-10y","10y+")))))</f>
        <v/>
      </c>
      <c r="W385" s="30">
        <f>IF($A385="","",IFERROR(INDEX('參數'!$B$24:$B$45,MATCH(G385,'參數'!$A$24:$A$45,0)),""))</f>
        <v/>
      </c>
      <c r="X385" s="8">
        <f>IF($A385="","",IFERROR(INDEX('參數'!$C$24:$C$45,MATCH(G385,'參數'!$A$24:$A$45,0)),""))</f>
        <v/>
      </c>
      <c r="Y385" s="30">
        <f>IF(AND(ISNUMBER(N385),ISNUMBER(O385),ISNUMBER(U385)),IF(AND(O385&gt;0,X385&lt;&gt;""),1,0),0)</f>
        <v/>
      </c>
      <c r="Z385" s="17">
        <f>IF(Y385=1,O385*N385,"")</f>
        <v/>
      </c>
      <c r="AA385" s="33">
        <f>IF(Y385=1,IF(ISNUMBER(Q385),N385-Q385,""),"")</f>
        <v/>
      </c>
      <c r="AB385" s="33">
        <f>IF(Y385=1,IF(AND(ISNUMBER(P385),ISNUMBER(R385)),R385*5/12-O385*(P385-R385),""),"")</f>
        <v/>
      </c>
      <c r="AC385" s="30">
        <f>IF(Y385=1,COUNTIFS($X$5:$X$404,X385,$V$5:$V$404,V385,$Y$5:$Y$404,1),"")</f>
        <v/>
      </c>
      <c r="AD385" s="30">
        <f>IF(Y385=1,IFERROR(IF(AC385&gt;='參數'!$B$9,INDEX('分群統計'!$G$13:$K$16,MATCH(X385,'分群統計'!$A$13:$A$16,0),MATCH(V385,'分群統計'!$G$12:$K$12,0)),INDEX('分群統計'!$I$5:$I$8,MATCH(X385,'分群統計'!$A$5:$A$8,0))),""),"")</f>
        <v/>
      </c>
      <c r="AE385" s="18">
        <f>IF(Y385=1,IFERROR(IF(AC385&gt;='參數'!$B$9,INDEX('分群統計'!$L$13:$P$16,MATCH(X385,'分群統計'!$A$13:$A$16,0),MATCH(V385,'分群統計'!$L$12:$P$12,0)),INDEX('分群統計'!$J$5:$J$8,MATCH(X385,'分群統計'!$A$5:$A$8,0))),""),"")</f>
        <v/>
      </c>
      <c r="AF385" s="31">
        <f>IF(ISNUMBER(AE385),IF(AE385&gt;0,MAX(-3,MIN(3,(N385-AD385)/AE385)),0),"")</f>
        <v/>
      </c>
      <c r="AG385" s="30">
        <f>IF(Y385=1,COUNTIFS($B$5:$B$404,B385,$Y$5:$Y$404,1),"")</f>
        <v/>
      </c>
      <c r="AH385" s="30">
        <f>IF(Y385=1,IFERROR(IF(ISNUMBER(INDEX('分群統計'!$G$20:$G$59,MATCH(B385,'分群統計'!$A$20:$A$59,0))),INDEX('分群統計'!$H$20:$H$59,MATCH(B385,'分群統計'!$A$20:$A$59,0))+INDEX('分群統計'!$G$20:$G$59,MATCH(B385,'分群統計'!$A$20:$A$59,0))*AU385,""),""),"")</f>
        <v/>
      </c>
      <c r="AI385" s="34">
        <f>IF(ISNUMBER(AH385),N385-AH385,"")</f>
        <v/>
      </c>
      <c r="AJ385" s="30">
        <f>IF(Y385=1,IFERROR(IF(ISNUMBER(INDEX('分群統計'!$G$5:$G$8,MATCH(X385,'分群統計'!$A$5:$A$8,0))),INDEX('分群統計'!$H$5:$H$8,MATCH(X385,'分群統計'!$A$5:$A$8,0))+INDEX('分群統計'!$G$5:$G$8,MATCH(X385,'分群統計'!$A$5:$A$8,0))*AU385,""),""),"")</f>
        <v/>
      </c>
      <c r="AK385" s="34">
        <f>IF(ISNUMBER(AJ385),N385-AJ385,"")</f>
        <v/>
      </c>
      <c r="AL385" s="21">
        <f>IF(ISNUMBER(AJ385),IF(AJ385&gt;0,AK385/AJ385,""),"")</f>
        <v/>
      </c>
      <c r="AM385" s="31">
        <f>IF(AY385&lt;&gt;1,"",IFERROR(IF(INDEX('分群統計'!$K$5:$K$8,MATCH(X385,'分群統計'!$A$5:$A$8,0))&lt;3,"",IF(INDEX('分群統計'!$M$5:$M$8,MATCH(X385,'分群統計'!$A$5:$A$8,0))&gt;0,MAX(-3,MIN(3,(AX385-INDEX('分群統計'!$L$5:$L$8,MATCH(X385,'分群統計'!$A$5:$A$8,0)))/INDEX('分群統計'!$M$5:$M$8,MATCH(X385,'分群統計'!$A$5:$A$8,0)))),0)),""))</f>
        <v/>
      </c>
      <c r="AN385" s="31">
        <f>IF(ISNUMBER(AB385),IF(Z385&gt;0,AB385/Z385*100,""),"")</f>
        <v/>
      </c>
      <c r="AO385" s="31">
        <f>IF(BA385&lt;&gt;1,"",IFERROR(IF(INDEX('分群統計'!$N$5:$N$8,MATCH(X385,'分群統計'!$A$5:$A$8,0))&lt;3,"",IF(INDEX('分群統計'!$P$5:$P$8,MATCH(X385,'分群統計'!$A$5:$A$8,0))&gt;0,MAX(-3,MIN(3,(AZ385-INDEX('分群統計'!$O$5:$O$8,MATCH(X385,'分群統計'!$A$5:$A$8,0)))/INDEX('分群統計'!$P$5:$P$8,MATCH(X385,'分群統計'!$A$5:$A$8,0)))),0)),""))</f>
        <v/>
      </c>
      <c r="AP385" s="31">
        <f>IF(BC385&lt;&gt;1,"",IFERROR(IF(INDEX('分群統計'!$Q$5:$Q$8,MATCH(X385,'分群統計'!$A$5:$A$8,0))&lt;3,"",IF(INDEX('分群統計'!$S$5:$S$8,MATCH(X385,'分群統計'!$A$5:$A$8,0))&gt;0,MAX(-3,MIN(3,(BB385-INDEX('分群統計'!$R$5:$R$8,MATCH(X385,'分群統計'!$A$5:$A$8,0)))/INDEX('分群統計'!$S$5:$S$8,MATCH(X385,'分群統計'!$A$5:$A$8,0)))),0)),""))</f>
        <v/>
      </c>
      <c r="AQ385" s="31">
        <f>IF(Y385=1,(IF(ISNUMBER(AF385),AF385,0)*'參數'!$B$13+IF(ISNUMBER(AM385),AM385,0)*'參數'!$B$14+IF(ISNUMBER(AO385),AO385,0)*'參數'!$B$15+IF(ISNUMBER(AP385),AP385,0)*'參數'!$B$16)/('參數'!$B$13+'參數'!$B$14+'參數'!$B$15+'參數'!$B$16),"")</f>
        <v/>
      </c>
      <c r="AR385" s="35">
        <f>IF(Y385=1,(SUMPRODUCT(($X$5:$X$404=X385)*($Y$5:$Y$404=1)*($BD$5:$BD$404&gt;BD385))+1)/COUNTIFS($X$5:$X$404,X385,$Y$5:$Y$404,1),"")</f>
        <v/>
      </c>
      <c r="AS385" s="8">
        <f>IF(ISNUMBER(AR385),IF(AR385&lt;='參數'!$B$18,"加碼候選",IF(AR385&gt;'參數'!$B$19,"減碼候選","")),"")</f>
        <v/>
      </c>
      <c r="AT385" s="7">
        <f>IF(Y385=1,N385,0)</f>
        <v/>
      </c>
      <c r="AU385" s="7">
        <f>IF(Y385=1,LN(O385),0)</f>
        <v/>
      </c>
      <c r="AV385" s="36">
        <f>IF(Y385=1,IF(ISNUMBER(F385),F385,0),0)</f>
        <v/>
      </c>
      <c r="AW385" s="7">
        <f>IF(Y385=1,Z385,0)</f>
        <v/>
      </c>
      <c r="AX385" s="7">
        <f>IF(Y385=1,IF(ISNUMBER(AL385),AL385,0),0)</f>
        <v/>
      </c>
      <c r="AY385" s="7">
        <f>IF(Y385=1,IF(ISNUMBER(AL385),1,0),0)</f>
        <v/>
      </c>
      <c r="AZ385" s="7">
        <f>IF(Y385=1,IF(ISNUMBER(AN385),AN385,0),0)</f>
        <v/>
      </c>
      <c r="BA385" s="7">
        <f>IF(Y385=1,IF(ISNUMBER(AN385),1,0),0)</f>
        <v/>
      </c>
      <c r="BB385" s="7">
        <f>IF(Y385=1,IF(ISNUMBER(T385),T385,0),0)</f>
        <v/>
      </c>
      <c r="BC385" s="7">
        <f>IF(Y385=1,IF(ISNUMBER(T385),1,0),0)</f>
        <v/>
      </c>
      <c r="BD385" s="7">
        <f>IF(Y385=1,AQ385+ROW()/1E9,-1E9)</f>
        <v/>
      </c>
      <c r="BE385" s="7">
        <f>IF(Y385=1,AQ385+ROW()/1E9,1E9)</f>
        <v/>
      </c>
    </row>
    <row r="386">
      <c r="A386" s="16" t="n"/>
      <c r="B386" s="8">
        <f>IF($A386="","",BDP($A386,B$3))</f>
        <v/>
      </c>
      <c r="C386" s="8">
        <f>IF($A386="","",BDP($A386,C$3))</f>
        <v/>
      </c>
      <c r="D386" s="28">
        <f>IF($A386="","",BDP($A386,D$3))</f>
        <v/>
      </c>
      <c r="E386" s="29">
        <f>IF($A386="","",BDP($A386,E$3))</f>
        <v/>
      </c>
      <c r="F386" s="17">
        <f>IF($A386="","",BDP($A386,F$3))</f>
        <v/>
      </c>
      <c r="G386" s="8">
        <f>IF($A386="","",BDP($A386,G$3))</f>
        <v/>
      </c>
      <c r="H386" s="8">
        <f>IF($A386="","",BDP($A386,H$3))</f>
        <v/>
      </c>
      <c r="I386" s="8">
        <f>IF($A386="","",BDP($A386,I$3))</f>
        <v/>
      </c>
      <c r="J386" s="8">
        <f>IF($A386="","",BDP($A386,J$3))</f>
        <v/>
      </c>
      <c r="K386" s="8">
        <f>IF($A386="","",BDP($A386,K$3))</f>
        <v/>
      </c>
      <c r="L386" s="28">
        <f>IF($A386="","",BDP($A386,L$3))</f>
        <v/>
      </c>
      <c r="M386" s="28">
        <f>IF($A386="","",BDP($A386,M$3))</f>
        <v/>
      </c>
      <c r="N386" s="30">
        <f>IF($A386="","",BDP($A386,N$3))</f>
        <v/>
      </c>
      <c r="O386" s="31">
        <f>IF($A386="","",BDP($A386,O$3))</f>
        <v/>
      </c>
      <c r="P386" s="30">
        <f>IF($A386="","",BDH($A386,$N$3,'參數'!$B$5,'參數'!$B$5,"Days=A","Fill=P","Dates=H"))</f>
        <v/>
      </c>
      <c r="Q386" s="30">
        <f>IF($A386="","",BDH($A386,$N$3,'參數'!$B$6,'參數'!$B$6,"Days=A","Fill=P","Dates=H"))</f>
        <v/>
      </c>
      <c r="R386" s="30">
        <f>IF($A386="","",BDH($A386,$N$3,'參數'!$B$7,'參數'!$B$7,"Days=A","Fill=P","Dates=H"))</f>
        <v/>
      </c>
      <c r="S386" s="32">
        <f>IF($A386="","",IFERROR(INDEX('發行人'!$A$5:$A$44,MATCH(B386,'發行人'!$D$5:$D$44,0)),"未對應"))</f>
        <v/>
      </c>
      <c r="T386" s="24">
        <f>IF($A386="","",IFERROR(INDEX('發行人'!$G$5:$G$44,MATCH(B386,'發行人'!$D$5:$D$44,0))+0,""))</f>
        <v/>
      </c>
      <c r="U386" s="18">
        <f>IF(ISNUMBER(E386),YEARFRAC('參數'!$B$4,E386),"")</f>
        <v/>
      </c>
      <c r="V386" s="8">
        <f>IF(U386="","",IF(U386&lt;3,"1-3y",IF(U386&lt;5,"3-5y",IF(U386&lt;7,"5-7y",IF(U386&lt;10,"7-10y","10y+")))))</f>
        <v/>
      </c>
      <c r="W386" s="30">
        <f>IF($A386="","",IFERROR(INDEX('參數'!$B$24:$B$45,MATCH(G386,'參數'!$A$24:$A$45,0)),""))</f>
        <v/>
      </c>
      <c r="X386" s="8">
        <f>IF($A386="","",IFERROR(INDEX('參數'!$C$24:$C$45,MATCH(G386,'參數'!$A$24:$A$45,0)),""))</f>
        <v/>
      </c>
      <c r="Y386" s="30">
        <f>IF(AND(ISNUMBER(N386),ISNUMBER(O386),ISNUMBER(U386)),IF(AND(O386&gt;0,X386&lt;&gt;""),1,0),0)</f>
        <v/>
      </c>
      <c r="Z386" s="17">
        <f>IF(Y386=1,O386*N386,"")</f>
        <v/>
      </c>
      <c r="AA386" s="33">
        <f>IF(Y386=1,IF(ISNUMBER(Q386),N386-Q386,""),"")</f>
        <v/>
      </c>
      <c r="AB386" s="33">
        <f>IF(Y386=1,IF(AND(ISNUMBER(P386),ISNUMBER(R386)),R386*5/12-O386*(P386-R386),""),"")</f>
        <v/>
      </c>
      <c r="AC386" s="30">
        <f>IF(Y386=1,COUNTIFS($X$5:$X$404,X386,$V$5:$V$404,V386,$Y$5:$Y$404,1),"")</f>
        <v/>
      </c>
      <c r="AD386" s="30">
        <f>IF(Y386=1,IFERROR(IF(AC386&gt;='參數'!$B$9,INDEX('分群統計'!$G$13:$K$16,MATCH(X386,'分群統計'!$A$13:$A$16,0),MATCH(V386,'分群統計'!$G$12:$K$12,0)),INDEX('分群統計'!$I$5:$I$8,MATCH(X386,'分群統計'!$A$5:$A$8,0))),""),"")</f>
        <v/>
      </c>
      <c r="AE386" s="18">
        <f>IF(Y386=1,IFERROR(IF(AC386&gt;='參數'!$B$9,INDEX('分群統計'!$L$13:$P$16,MATCH(X386,'分群統計'!$A$13:$A$16,0),MATCH(V386,'分群統計'!$L$12:$P$12,0)),INDEX('分群統計'!$J$5:$J$8,MATCH(X386,'分群統計'!$A$5:$A$8,0))),""),"")</f>
        <v/>
      </c>
      <c r="AF386" s="31">
        <f>IF(ISNUMBER(AE386),IF(AE386&gt;0,MAX(-3,MIN(3,(N386-AD386)/AE386)),0),"")</f>
        <v/>
      </c>
      <c r="AG386" s="30">
        <f>IF(Y386=1,COUNTIFS($B$5:$B$404,B386,$Y$5:$Y$404,1),"")</f>
        <v/>
      </c>
      <c r="AH386" s="30">
        <f>IF(Y386=1,IFERROR(IF(ISNUMBER(INDEX('分群統計'!$G$20:$G$59,MATCH(B386,'分群統計'!$A$20:$A$59,0))),INDEX('分群統計'!$H$20:$H$59,MATCH(B386,'分群統計'!$A$20:$A$59,0))+INDEX('分群統計'!$G$20:$G$59,MATCH(B386,'分群統計'!$A$20:$A$59,0))*AU386,""),""),"")</f>
        <v/>
      </c>
      <c r="AI386" s="34">
        <f>IF(ISNUMBER(AH386),N386-AH386,"")</f>
        <v/>
      </c>
      <c r="AJ386" s="30">
        <f>IF(Y386=1,IFERROR(IF(ISNUMBER(INDEX('分群統計'!$G$5:$G$8,MATCH(X386,'分群統計'!$A$5:$A$8,0))),INDEX('分群統計'!$H$5:$H$8,MATCH(X386,'分群統計'!$A$5:$A$8,0))+INDEX('分群統計'!$G$5:$G$8,MATCH(X386,'分群統計'!$A$5:$A$8,0))*AU386,""),""),"")</f>
        <v/>
      </c>
      <c r="AK386" s="34">
        <f>IF(ISNUMBER(AJ386),N386-AJ386,"")</f>
        <v/>
      </c>
      <c r="AL386" s="21">
        <f>IF(ISNUMBER(AJ386),IF(AJ386&gt;0,AK386/AJ386,""),"")</f>
        <v/>
      </c>
      <c r="AM386" s="31">
        <f>IF(AY386&lt;&gt;1,"",IFERROR(IF(INDEX('分群統計'!$K$5:$K$8,MATCH(X386,'分群統計'!$A$5:$A$8,0))&lt;3,"",IF(INDEX('分群統計'!$M$5:$M$8,MATCH(X386,'分群統計'!$A$5:$A$8,0))&gt;0,MAX(-3,MIN(3,(AX386-INDEX('分群統計'!$L$5:$L$8,MATCH(X386,'分群統計'!$A$5:$A$8,0)))/INDEX('分群統計'!$M$5:$M$8,MATCH(X386,'分群統計'!$A$5:$A$8,0)))),0)),""))</f>
        <v/>
      </c>
      <c r="AN386" s="31">
        <f>IF(ISNUMBER(AB386),IF(Z386&gt;0,AB386/Z386*100,""),"")</f>
        <v/>
      </c>
      <c r="AO386" s="31">
        <f>IF(BA386&lt;&gt;1,"",IFERROR(IF(INDEX('分群統計'!$N$5:$N$8,MATCH(X386,'分群統計'!$A$5:$A$8,0))&lt;3,"",IF(INDEX('分群統計'!$P$5:$P$8,MATCH(X386,'分群統計'!$A$5:$A$8,0))&gt;0,MAX(-3,MIN(3,(AZ386-INDEX('分群統計'!$O$5:$O$8,MATCH(X386,'分群統計'!$A$5:$A$8,0)))/INDEX('分群統計'!$P$5:$P$8,MATCH(X386,'分群統計'!$A$5:$A$8,0)))),0)),""))</f>
        <v/>
      </c>
      <c r="AP386" s="31">
        <f>IF(BC386&lt;&gt;1,"",IFERROR(IF(INDEX('分群統計'!$Q$5:$Q$8,MATCH(X386,'分群統計'!$A$5:$A$8,0))&lt;3,"",IF(INDEX('分群統計'!$S$5:$S$8,MATCH(X386,'分群統計'!$A$5:$A$8,0))&gt;0,MAX(-3,MIN(3,(BB386-INDEX('分群統計'!$R$5:$R$8,MATCH(X386,'分群統計'!$A$5:$A$8,0)))/INDEX('分群統計'!$S$5:$S$8,MATCH(X386,'分群統計'!$A$5:$A$8,0)))),0)),""))</f>
        <v/>
      </c>
      <c r="AQ386" s="31">
        <f>IF(Y386=1,(IF(ISNUMBER(AF386),AF386,0)*'參數'!$B$13+IF(ISNUMBER(AM386),AM386,0)*'參數'!$B$14+IF(ISNUMBER(AO386),AO386,0)*'參數'!$B$15+IF(ISNUMBER(AP386),AP386,0)*'參數'!$B$16)/('參數'!$B$13+'參數'!$B$14+'參數'!$B$15+'參數'!$B$16),"")</f>
        <v/>
      </c>
      <c r="AR386" s="35">
        <f>IF(Y386=1,(SUMPRODUCT(($X$5:$X$404=X386)*($Y$5:$Y$404=1)*($BD$5:$BD$404&gt;BD386))+1)/COUNTIFS($X$5:$X$404,X386,$Y$5:$Y$404,1),"")</f>
        <v/>
      </c>
      <c r="AS386" s="8">
        <f>IF(ISNUMBER(AR386),IF(AR386&lt;='參數'!$B$18,"加碼候選",IF(AR386&gt;'參數'!$B$19,"減碼候選","")),"")</f>
        <v/>
      </c>
      <c r="AT386" s="7">
        <f>IF(Y386=1,N386,0)</f>
        <v/>
      </c>
      <c r="AU386" s="7">
        <f>IF(Y386=1,LN(O386),0)</f>
        <v/>
      </c>
      <c r="AV386" s="36">
        <f>IF(Y386=1,IF(ISNUMBER(F386),F386,0),0)</f>
        <v/>
      </c>
      <c r="AW386" s="7">
        <f>IF(Y386=1,Z386,0)</f>
        <v/>
      </c>
      <c r="AX386" s="7">
        <f>IF(Y386=1,IF(ISNUMBER(AL386),AL386,0),0)</f>
        <v/>
      </c>
      <c r="AY386" s="7">
        <f>IF(Y386=1,IF(ISNUMBER(AL386),1,0),0)</f>
        <v/>
      </c>
      <c r="AZ386" s="7">
        <f>IF(Y386=1,IF(ISNUMBER(AN386),AN386,0),0)</f>
        <v/>
      </c>
      <c r="BA386" s="7">
        <f>IF(Y386=1,IF(ISNUMBER(AN386),1,0),0)</f>
        <v/>
      </c>
      <c r="BB386" s="7">
        <f>IF(Y386=1,IF(ISNUMBER(T386),T386,0),0)</f>
        <v/>
      </c>
      <c r="BC386" s="7">
        <f>IF(Y386=1,IF(ISNUMBER(T386),1,0),0)</f>
        <v/>
      </c>
      <c r="BD386" s="7">
        <f>IF(Y386=1,AQ386+ROW()/1E9,-1E9)</f>
        <v/>
      </c>
      <c r="BE386" s="7">
        <f>IF(Y386=1,AQ386+ROW()/1E9,1E9)</f>
        <v/>
      </c>
    </row>
    <row r="387">
      <c r="A387" s="16" t="n"/>
      <c r="B387" s="8">
        <f>IF($A387="","",BDP($A387,B$3))</f>
        <v/>
      </c>
      <c r="C387" s="8">
        <f>IF($A387="","",BDP($A387,C$3))</f>
        <v/>
      </c>
      <c r="D387" s="28">
        <f>IF($A387="","",BDP($A387,D$3))</f>
        <v/>
      </c>
      <c r="E387" s="29">
        <f>IF($A387="","",BDP($A387,E$3))</f>
        <v/>
      </c>
      <c r="F387" s="17">
        <f>IF($A387="","",BDP($A387,F$3))</f>
        <v/>
      </c>
      <c r="G387" s="8">
        <f>IF($A387="","",BDP($A387,G$3))</f>
        <v/>
      </c>
      <c r="H387" s="8">
        <f>IF($A387="","",BDP($A387,H$3))</f>
        <v/>
      </c>
      <c r="I387" s="8">
        <f>IF($A387="","",BDP($A387,I$3))</f>
        <v/>
      </c>
      <c r="J387" s="8">
        <f>IF($A387="","",BDP($A387,J$3))</f>
        <v/>
      </c>
      <c r="K387" s="8">
        <f>IF($A387="","",BDP($A387,K$3))</f>
        <v/>
      </c>
      <c r="L387" s="28">
        <f>IF($A387="","",BDP($A387,L$3))</f>
        <v/>
      </c>
      <c r="M387" s="28">
        <f>IF($A387="","",BDP($A387,M$3))</f>
        <v/>
      </c>
      <c r="N387" s="30">
        <f>IF($A387="","",BDP($A387,N$3))</f>
        <v/>
      </c>
      <c r="O387" s="31">
        <f>IF($A387="","",BDP($A387,O$3))</f>
        <v/>
      </c>
      <c r="P387" s="30">
        <f>IF($A387="","",BDH($A387,$N$3,'參數'!$B$5,'參數'!$B$5,"Days=A","Fill=P","Dates=H"))</f>
        <v/>
      </c>
      <c r="Q387" s="30">
        <f>IF($A387="","",BDH($A387,$N$3,'參數'!$B$6,'參數'!$B$6,"Days=A","Fill=P","Dates=H"))</f>
        <v/>
      </c>
      <c r="R387" s="30">
        <f>IF($A387="","",BDH($A387,$N$3,'參數'!$B$7,'參數'!$B$7,"Days=A","Fill=P","Dates=H"))</f>
        <v/>
      </c>
      <c r="S387" s="32">
        <f>IF($A387="","",IFERROR(INDEX('發行人'!$A$5:$A$44,MATCH(B387,'發行人'!$D$5:$D$44,0)),"未對應"))</f>
        <v/>
      </c>
      <c r="T387" s="24">
        <f>IF($A387="","",IFERROR(INDEX('發行人'!$G$5:$G$44,MATCH(B387,'發行人'!$D$5:$D$44,0))+0,""))</f>
        <v/>
      </c>
      <c r="U387" s="18">
        <f>IF(ISNUMBER(E387),YEARFRAC('參數'!$B$4,E387),"")</f>
        <v/>
      </c>
      <c r="V387" s="8">
        <f>IF(U387="","",IF(U387&lt;3,"1-3y",IF(U387&lt;5,"3-5y",IF(U387&lt;7,"5-7y",IF(U387&lt;10,"7-10y","10y+")))))</f>
        <v/>
      </c>
      <c r="W387" s="30">
        <f>IF($A387="","",IFERROR(INDEX('參數'!$B$24:$B$45,MATCH(G387,'參數'!$A$24:$A$45,0)),""))</f>
        <v/>
      </c>
      <c r="X387" s="8">
        <f>IF($A387="","",IFERROR(INDEX('參數'!$C$24:$C$45,MATCH(G387,'參數'!$A$24:$A$45,0)),""))</f>
        <v/>
      </c>
      <c r="Y387" s="30">
        <f>IF(AND(ISNUMBER(N387),ISNUMBER(O387),ISNUMBER(U387)),IF(AND(O387&gt;0,X387&lt;&gt;""),1,0),0)</f>
        <v/>
      </c>
      <c r="Z387" s="17">
        <f>IF(Y387=1,O387*N387,"")</f>
        <v/>
      </c>
      <c r="AA387" s="33">
        <f>IF(Y387=1,IF(ISNUMBER(Q387),N387-Q387,""),"")</f>
        <v/>
      </c>
      <c r="AB387" s="33">
        <f>IF(Y387=1,IF(AND(ISNUMBER(P387),ISNUMBER(R387)),R387*5/12-O387*(P387-R387),""),"")</f>
        <v/>
      </c>
      <c r="AC387" s="30">
        <f>IF(Y387=1,COUNTIFS($X$5:$X$404,X387,$V$5:$V$404,V387,$Y$5:$Y$404,1),"")</f>
        <v/>
      </c>
      <c r="AD387" s="30">
        <f>IF(Y387=1,IFERROR(IF(AC387&gt;='參數'!$B$9,INDEX('分群統計'!$G$13:$K$16,MATCH(X387,'分群統計'!$A$13:$A$16,0),MATCH(V387,'分群統計'!$G$12:$K$12,0)),INDEX('分群統計'!$I$5:$I$8,MATCH(X387,'分群統計'!$A$5:$A$8,0))),""),"")</f>
        <v/>
      </c>
      <c r="AE387" s="18">
        <f>IF(Y387=1,IFERROR(IF(AC387&gt;='參數'!$B$9,INDEX('分群統計'!$L$13:$P$16,MATCH(X387,'分群統計'!$A$13:$A$16,0),MATCH(V387,'分群統計'!$L$12:$P$12,0)),INDEX('分群統計'!$J$5:$J$8,MATCH(X387,'分群統計'!$A$5:$A$8,0))),""),"")</f>
        <v/>
      </c>
      <c r="AF387" s="31">
        <f>IF(ISNUMBER(AE387),IF(AE387&gt;0,MAX(-3,MIN(3,(N387-AD387)/AE387)),0),"")</f>
        <v/>
      </c>
      <c r="AG387" s="30">
        <f>IF(Y387=1,COUNTIFS($B$5:$B$404,B387,$Y$5:$Y$404,1),"")</f>
        <v/>
      </c>
      <c r="AH387" s="30">
        <f>IF(Y387=1,IFERROR(IF(ISNUMBER(INDEX('分群統計'!$G$20:$G$59,MATCH(B387,'分群統計'!$A$20:$A$59,0))),INDEX('分群統計'!$H$20:$H$59,MATCH(B387,'分群統計'!$A$20:$A$59,0))+INDEX('分群統計'!$G$20:$G$59,MATCH(B387,'分群統計'!$A$20:$A$59,0))*AU387,""),""),"")</f>
        <v/>
      </c>
      <c r="AI387" s="34">
        <f>IF(ISNUMBER(AH387),N387-AH387,"")</f>
        <v/>
      </c>
      <c r="AJ387" s="30">
        <f>IF(Y387=1,IFERROR(IF(ISNUMBER(INDEX('分群統計'!$G$5:$G$8,MATCH(X387,'分群統計'!$A$5:$A$8,0))),INDEX('分群統計'!$H$5:$H$8,MATCH(X387,'分群統計'!$A$5:$A$8,0))+INDEX('分群統計'!$G$5:$G$8,MATCH(X387,'分群統計'!$A$5:$A$8,0))*AU387,""),""),"")</f>
        <v/>
      </c>
      <c r="AK387" s="34">
        <f>IF(ISNUMBER(AJ387),N387-AJ387,"")</f>
        <v/>
      </c>
      <c r="AL387" s="21">
        <f>IF(ISNUMBER(AJ387),IF(AJ387&gt;0,AK387/AJ387,""),"")</f>
        <v/>
      </c>
      <c r="AM387" s="31">
        <f>IF(AY387&lt;&gt;1,"",IFERROR(IF(INDEX('分群統計'!$K$5:$K$8,MATCH(X387,'分群統計'!$A$5:$A$8,0))&lt;3,"",IF(INDEX('分群統計'!$M$5:$M$8,MATCH(X387,'分群統計'!$A$5:$A$8,0))&gt;0,MAX(-3,MIN(3,(AX387-INDEX('分群統計'!$L$5:$L$8,MATCH(X387,'分群統計'!$A$5:$A$8,0)))/INDEX('分群統計'!$M$5:$M$8,MATCH(X387,'分群統計'!$A$5:$A$8,0)))),0)),""))</f>
        <v/>
      </c>
      <c r="AN387" s="31">
        <f>IF(ISNUMBER(AB387),IF(Z387&gt;0,AB387/Z387*100,""),"")</f>
        <v/>
      </c>
      <c r="AO387" s="31">
        <f>IF(BA387&lt;&gt;1,"",IFERROR(IF(INDEX('分群統計'!$N$5:$N$8,MATCH(X387,'分群統計'!$A$5:$A$8,0))&lt;3,"",IF(INDEX('分群統計'!$P$5:$P$8,MATCH(X387,'分群統計'!$A$5:$A$8,0))&gt;0,MAX(-3,MIN(3,(AZ387-INDEX('分群統計'!$O$5:$O$8,MATCH(X387,'分群統計'!$A$5:$A$8,0)))/INDEX('分群統計'!$P$5:$P$8,MATCH(X387,'分群統計'!$A$5:$A$8,0)))),0)),""))</f>
        <v/>
      </c>
      <c r="AP387" s="31">
        <f>IF(BC387&lt;&gt;1,"",IFERROR(IF(INDEX('分群統計'!$Q$5:$Q$8,MATCH(X387,'分群統計'!$A$5:$A$8,0))&lt;3,"",IF(INDEX('分群統計'!$S$5:$S$8,MATCH(X387,'分群統計'!$A$5:$A$8,0))&gt;0,MAX(-3,MIN(3,(BB387-INDEX('分群統計'!$R$5:$R$8,MATCH(X387,'分群統計'!$A$5:$A$8,0)))/INDEX('分群統計'!$S$5:$S$8,MATCH(X387,'分群統計'!$A$5:$A$8,0)))),0)),""))</f>
        <v/>
      </c>
      <c r="AQ387" s="31">
        <f>IF(Y387=1,(IF(ISNUMBER(AF387),AF387,0)*'參數'!$B$13+IF(ISNUMBER(AM387),AM387,0)*'參數'!$B$14+IF(ISNUMBER(AO387),AO387,0)*'參數'!$B$15+IF(ISNUMBER(AP387),AP387,0)*'參數'!$B$16)/('參數'!$B$13+'參數'!$B$14+'參數'!$B$15+'參數'!$B$16),"")</f>
        <v/>
      </c>
      <c r="AR387" s="35">
        <f>IF(Y387=1,(SUMPRODUCT(($X$5:$X$404=X387)*($Y$5:$Y$404=1)*($BD$5:$BD$404&gt;BD387))+1)/COUNTIFS($X$5:$X$404,X387,$Y$5:$Y$404,1),"")</f>
        <v/>
      </c>
      <c r="AS387" s="8">
        <f>IF(ISNUMBER(AR387),IF(AR387&lt;='參數'!$B$18,"加碼候選",IF(AR387&gt;'參數'!$B$19,"減碼候選","")),"")</f>
        <v/>
      </c>
      <c r="AT387" s="7">
        <f>IF(Y387=1,N387,0)</f>
        <v/>
      </c>
      <c r="AU387" s="7">
        <f>IF(Y387=1,LN(O387),0)</f>
        <v/>
      </c>
      <c r="AV387" s="36">
        <f>IF(Y387=1,IF(ISNUMBER(F387),F387,0),0)</f>
        <v/>
      </c>
      <c r="AW387" s="7">
        <f>IF(Y387=1,Z387,0)</f>
        <v/>
      </c>
      <c r="AX387" s="7">
        <f>IF(Y387=1,IF(ISNUMBER(AL387),AL387,0),0)</f>
        <v/>
      </c>
      <c r="AY387" s="7">
        <f>IF(Y387=1,IF(ISNUMBER(AL387),1,0),0)</f>
        <v/>
      </c>
      <c r="AZ387" s="7">
        <f>IF(Y387=1,IF(ISNUMBER(AN387),AN387,0),0)</f>
        <v/>
      </c>
      <c r="BA387" s="7">
        <f>IF(Y387=1,IF(ISNUMBER(AN387),1,0),0)</f>
        <v/>
      </c>
      <c r="BB387" s="7">
        <f>IF(Y387=1,IF(ISNUMBER(T387),T387,0),0)</f>
        <v/>
      </c>
      <c r="BC387" s="7">
        <f>IF(Y387=1,IF(ISNUMBER(T387),1,0),0)</f>
        <v/>
      </c>
      <c r="BD387" s="7">
        <f>IF(Y387=1,AQ387+ROW()/1E9,-1E9)</f>
        <v/>
      </c>
      <c r="BE387" s="7">
        <f>IF(Y387=1,AQ387+ROW()/1E9,1E9)</f>
        <v/>
      </c>
    </row>
    <row r="388">
      <c r="A388" s="16" t="n"/>
      <c r="B388" s="8">
        <f>IF($A388="","",BDP($A388,B$3))</f>
        <v/>
      </c>
      <c r="C388" s="8">
        <f>IF($A388="","",BDP($A388,C$3))</f>
        <v/>
      </c>
      <c r="D388" s="28">
        <f>IF($A388="","",BDP($A388,D$3))</f>
        <v/>
      </c>
      <c r="E388" s="29">
        <f>IF($A388="","",BDP($A388,E$3))</f>
        <v/>
      </c>
      <c r="F388" s="17">
        <f>IF($A388="","",BDP($A388,F$3))</f>
        <v/>
      </c>
      <c r="G388" s="8">
        <f>IF($A388="","",BDP($A388,G$3))</f>
        <v/>
      </c>
      <c r="H388" s="8">
        <f>IF($A388="","",BDP($A388,H$3))</f>
        <v/>
      </c>
      <c r="I388" s="8">
        <f>IF($A388="","",BDP($A388,I$3))</f>
        <v/>
      </c>
      <c r="J388" s="8">
        <f>IF($A388="","",BDP($A388,J$3))</f>
        <v/>
      </c>
      <c r="K388" s="8">
        <f>IF($A388="","",BDP($A388,K$3))</f>
        <v/>
      </c>
      <c r="L388" s="28">
        <f>IF($A388="","",BDP($A388,L$3))</f>
        <v/>
      </c>
      <c r="M388" s="28">
        <f>IF($A388="","",BDP($A388,M$3))</f>
        <v/>
      </c>
      <c r="N388" s="30">
        <f>IF($A388="","",BDP($A388,N$3))</f>
        <v/>
      </c>
      <c r="O388" s="31">
        <f>IF($A388="","",BDP($A388,O$3))</f>
        <v/>
      </c>
      <c r="P388" s="30">
        <f>IF($A388="","",BDH($A388,$N$3,'參數'!$B$5,'參數'!$B$5,"Days=A","Fill=P","Dates=H"))</f>
        <v/>
      </c>
      <c r="Q388" s="30">
        <f>IF($A388="","",BDH($A388,$N$3,'參數'!$B$6,'參數'!$B$6,"Days=A","Fill=P","Dates=H"))</f>
        <v/>
      </c>
      <c r="R388" s="30">
        <f>IF($A388="","",BDH($A388,$N$3,'參數'!$B$7,'參數'!$B$7,"Days=A","Fill=P","Dates=H"))</f>
        <v/>
      </c>
      <c r="S388" s="32">
        <f>IF($A388="","",IFERROR(INDEX('發行人'!$A$5:$A$44,MATCH(B388,'發行人'!$D$5:$D$44,0)),"未對應"))</f>
        <v/>
      </c>
      <c r="T388" s="24">
        <f>IF($A388="","",IFERROR(INDEX('發行人'!$G$5:$G$44,MATCH(B388,'發行人'!$D$5:$D$44,0))+0,""))</f>
        <v/>
      </c>
      <c r="U388" s="18">
        <f>IF(ISNUMBER(E388),YEARFRAC('參數'!$B$4,E388),"")</f>
        <v/>
      </c>
      <c r="V388" s="8">
        <f>IF(U388="","",IF(U388&lt;3,"1-3y",IF(U388&lt;5,"3-5y",IF(U388&lt;7,"5-7y",IF(U388&lt;10,"7-10y","10y+")))))</f>
        <v/>
      </c>
      <c r="W388" s="30">
        <f>IF($A388="","",IFERROR(INDEX('參數'!$B$24:$B$45,MATCH(G388,'參數'!$A$24:$A$45,0)),""))</f>
        <v/>
      </c>
      <c r="X388" s="8">
        <f>IF($A388="","",IFERROR(INDEX('參數'!$C$24:$C$45,MATCH(G388,'參數'!$A$24:$A$45,0)),""))</f>
        <v/>
      </c>
      <c r="Y388" s="30">
        <f>IF(AND(ISNUMBER(N388),ISNUMBER(O388),ISNUMBER(U388)),IF(AND(O388&gt;0,X388&lt;&gt;""),1,0),0)</f>
        <v/>
      </c>
      <c r="Z388" s="17">
        <f>IF(Y388=1,O388*N388,"")</f>
        <v/>
      </c>
      <c r="AA388" s="33">
        <f>IF(Y388=1,IF(ISNUMBER(Q388),N388-Q388,""),"")</f>
        <v/>
      </c>
      <c r="AB388" s="33">
        <f>IF(Y388=1,IF(AND(ISNUMBER(P388),ISNUMBER(R388)),R388*5/12-O388*(P388-R388),""),"")</f>
        <v/>
      </c>
      <c r="AC388" s="30">
        <f>IF(Y388=1,COUNTIFS($X$5:$X$404,X388,$V$5:$V$404,V388,$Y$5:$Y$404,1),"")</f>
        <v/>
      </c>
      <c r="AD388" s="30">
        <f>IF(Y388=1,IFERROR(IF(AC388&gt;='參數'!$B$9,INDEX('分群統計'!$G$13:$K$16,MATCH(X388,'分群統計'!$A$13:$A$16,0),MATCH(V388,'分群統計'!$G$12:$K$12,0)),INDEX('分群統計'!$I$5:$I$8,MATCH(X388,'分群統計'!$A$5:$A$8,0))),""),"")</f>
        <v/>
      </c>
      <c r="AE388" s="18">
        <f>IF(Y388=1,IFERROR(IF(AC388&gt;='參數'!$B$9,INDEX('分群統計'!$L$13:$P$16,MATCH(X388,'分群統計'!$A$13:$A$16,0),MATCH(V388,'分群統計'!$L$12:$P$12,0)),INDEX('分群統計'!$J$5:$J$8,MATCH(X388,'分群統計'!$A$5:$A$8,0))),""),"")</f>
        <v/>
      </c>
      <c r="AF388" s="31">
        <f>IF(ISNUMBER(AE388),IF(AE388&gt;0,MAX(-3,MIN(3,(N388-AD388)/AE388)),0),"")</f>
        <v/>
      </c>
      <c r="AG388" s="30">
        <f>IF(Y388=1,COUNTIFS($B$5:$B$404,B388,$Y$5:$Y$404,1),"")</f>
        <v/>
      </c>
      <c r="AH388" s="30">
        <f>IF(Y388=1,IFERROR(IF(ISNUMBER(INDEX('分群統計'!$G$20:$G$59,MATCH(B388,'分群統計'!$A$20:$A$59,0))),INDEX('分群統計'!$H$20:$H$59,MATCH(B388,'分群統計'!$A$20:$A$59,0))+INDEX('分群統計'!$G$20:$G$59,MATCH(B388,'分群統計'!$A$20:$A$59,0))*AU388,""),""),"")</f>
        <v/>
      </c>
      <c r="AI388" s="34">
        <f>IF(ISNUMBER(AH388),N388-AH388,"")</f>
        <v/>
      </c>
      <c r="AJ388" s="30">
        <f>IF(Y388=1,IFERROR(IF(ISNUMBER(INDEX('分群統計'!$G$5:$G$8,MATCH(X388,'分群統計'!$A$5:$A$8,0))),INDEX('分群統計'!$H$5:$H$8,MATCH(X388,'分群統計'!$A$5:$A$8,0))+INDEX('分群統計'!$G$5:$G$8,MATCH(X388,'分群統計'!$A$5:$A$8,0))*AU388,""),""),"")</f>
        <v/>
      </c>
      <c r="AK388" s="34">
        <f>IF(ISNUMBER(AJ388),N388-AJ388,"")</f>
        <v/>
      </c>
      <c r="AL388" s="21">
        <f>IF(ISNUMBER(AJ388),IF(AJ388&gt;0,AK388/AJ388,""),"")</f>
        <v/>
      </c>
      <c r="AM388" s="31">
        <f>IF(AY388&lt;&gt;1,"",IFERROR(IF(INDEX('分群統計'!$K$5:$K$8,MATCH(X388,'分群統計'!$A$5:$A$8,0))&lt;3,"",IF(INDEX('分群統計'!$M$5:$M$8,MATCH(X388,'分群統計'!$A$5:$A$8,0))&gt;0,MAX(-3,MIN(3,(AX388-INDEX('分群統計'!$L$5:$L$8,MATCH(X388,'分群統計'!$A$5:$A$8,0)))/INDEX('分群統計'!$M$5:$M$8,MATCH(X388,'分群統計'!$A$5:$A$8,0)))),0)),""))</f>
        <v/>
      </c>
      <c r="AN388" s="31">
        <f>IF(ISNUMBER(AB388),IF(Z388&gt;0,AB388/Z388*100,""),"")</f>
        <v/>
      </c>
      <c r="AO388" s="31">
        <f>IF(BA388&lt;&gt;1,"",IFERROR(IF(INDEX('分群統計'!$N$5:$N$8,MATCH(X388,'分群統計'!$A$5:$A$8,0))&lt;3,"",IF(INDEX('分群統計'!$P$5:$P$8,MATCH(X388,'分群統計'!$A$5:$A$8,0))&gt;0,MAX(-3,MIN(3,(AZ388-INDEX('分群統計'!$O$5:$O$8,MATCH(X388,'分群統計'!$A$5:$A$8,0)))/INDEX('分群統計'!$P$5:$P$8,MATCH(X388,'分群統計'!$A$5:$A$8,0)))),0)),""))</f>
        <v/>
      </c>
      <c r="AP388" s="31">
        <f>IF(BC388&lt;&gt;1,"",IFERROR(IF(INDEX('分群統計'!$Q$5:$Q$8,MATCH(X388,'分群統計'!$A$5:$A$8,0))&lt;3,"",IF(INDEX('分群統計'!$S$5:$S$8,MATCH(X388,'分群統計'!$A$5:$A$8,0))&gt;0,MAX(-3,MIN(3,(BB388-INDEX('分群統計'!$R$5:$R$8,MATCH(X388,'分群統計'!$A$5:$A$8,0)))/INDEX('分群統計'!$S$5:$S$8,MATCH(X388,'分群統計'!$A$5:$A$8,0)))),0)),""))</f>
        <v/>
      </c>
      <c r="AQ388" s="31">
        <f>IF(Y388=1,(IF(ISNUMBER(AF388),AF388,0)*'參數'!$B$13+IF(ISNUMBER(AM388),AM388,0)*'參數'!$B$14+IF(ISNUMBER(AO388),AO388,0)*'參數'!$B$15+IF(ISNUMBER(AP388),AP388,0)*'參數'!$B$16)/('參數'!$B$13+'參數'!$B$14+'參數'!$B$15+'參數'!$B$16),"")</f>
        <v/>
      </c>
      <c r="AR388" s="35">
        <f>IF(Y388=1,(SUMPRODUCT(($X$5:$X$404=X388)*($Y$5:$Y$404=1)*($BD$5:$BD$404&gt;BD388))+1)/COUNTIFS($X$5:$X$404,X388,$Y$5:$Y$404,1),"")</f>
        <v/>
      </c>
      <c r="AS388" s="8">
        <f>IF(ISNUMBER(AR388),IF(AR388&lt;='參數'!$B$18,"加碼候選",IF(AR388&gt;'參數'!$B$19,"減碼候選","")),"")</f>
        <v/>
      </c>
      <c r="AT388" s="7">
        <f>IF(Y388=1,N388,0)</f>
        <v/>
      </c>
      <c r="AU388" s="7">
        <f>IF(Y388=1,LN(O388),0)</f>
        <v/>
      </c>
      <c r="AV388" s="36">
        <f>IF(Y388=1,IF(ISNUMBER(F388),F388,0),0)</f>
        <v/>
      </c>
      <c r="AW388" s="7">
        <f>IF(Y388=1,Z388,0)</f>
        <v/>
      </c>
      <c r="AX388" s="7">
        <f>IF(Y388=1,IF(ISNUMBER(AL388),AL388,0),0)</f>
        <v/>
      </c>
      <c r="AY388" s="7">
        <f>IF(Y388=1,IF(ISNUMBER(AL388),1,0),0)</f>
        <v/>
      </c>
      <c r="AZ388" s="7">
        <f>IF(Y388=1,IF(ISNUMBER(AN388),AN388,0),0)</f>
        <v/>
      </c>
      <c r="BA388" s="7">
        <f>IF(Y388=1,IF(ISNUMBER(AN388),1,0),0)</f>
        <v/>
      </c>
      <c r="BB388" s="7">
        <f>IF(Y388=1,IF(ISNUMBER(T388),T388,0),0)</f>
        <v/>
      </c>
      <c r="BC388" s="7">
        <f>IF(Y388=1,IF(ISNUMBER(T388),1,0),0)</f>
        <v/>
      </c>
      <c r="BD388" s="7">
        <f>IF(Y388=1,AQ388+ROW()/1E9,-1E9)</f>
        <v/>
      </c>
      <c r="BE388" s="7">
        <f>IF(Y388=1,AQ388+ROW()/1E9,1E9)</f>
        <v/>
      </c>
    </row>
    <row r="389">
      <c r="A389" s="16" t="n"/>
      <c r="B389" s="8">
        <f>IF($A389="","",BDP($A389,B$3))</f>
        <v/>
      </c>
      <c r="C389" s="8">
        <f>IF($A389="","",BDP($A389,C$3))</f>
        <v/>
      </c>
      <c r="D389" s="28">
        <f>IF($A389="","",BDP($A389,D$3))</f>
        <v/>
      </c>
      <c r="E389" s="29">
        <f>IF($A389="","",BDP($A389,E$3))</f>
        <v/>
      </c>
      <c r="F389" s="17">
        <f>IF($A389="","",BDP($A389,F$3))</f>
        <v/>
      </c>
      <c r="G389" s="8">
        <f>IF($A389="","",BDP($A389,G$3))</f>
        <v/>
      </c>
      <c r="H389" s="8">
        <f>IF($A389="","",BDP($A389,H$3))</f>
        <v/>
      </c>
      <c r="I389" s="8">
        <f>IF($A389="","",BDP($A389,I$3))</f>
        <v/>
      </c>
      <c r="J389" s="8">
        <f>IF($A389="","",BDP($A389,J$3))</f>
        <v/>
      </c>
      <c r="K389" s="8">
        <f>IF($A389="","",BDP($A389,K$3))</f>
        <v/>
      </c>
      <c r="L389" s="28">
        <f>IF($A389="","",BDP($A389,L$3))</f>
        <v/>
      </c>
      <c r="M389" s="28">
        <f>IF($A389="","",BDP($A389,M$3))</f>
        <v/>
      </c>
      <c r="N389" s="30">
        <f>IF($A389="","",BDP($A389,N$3))</f>
        <v/>
      </c>
      <c r="O389" s="31">
        <f>IF($A389="","",BDP($A389,O$3))</f>
        <v/>
      </c>
      <c r="P389" s="30">
        <f>IF($A389="","",BDH($A389,$N$3,'參數'!$B$5,'參數'!$B$5,"Days=A","Fill=P","Dates=H"))</f>
        <v/>
      </c>
      <c r="Q389" s="30">
        <f>IF($A389="","",BDH($A389,$N$3,'參數'!$B$6,'參數'!$B$6,"Days=A","Fill=P","Dates=H"))</f>
        <v/>
      </c>
      <c r="R389" s="30">
        <f>IF($A389="","",BDH($A389,$N$3,'參數'!$B$7,'參數'!$B$7,"Days=A","Fill=P","Dates=H"))</f>
        <v/>
      </c>
      <c r="S389" s="32">
        <f>IF($A389="","",IFERROR(INDEX('發行人'!$A$5:$A$44,MATCH(B389,'發行人'!$D$5:$D$44,0)),"未對應"))</f>
        <v/>
      </c>
      <c r="T389" s="24">
        <f>IF($A389="","",IFERROR(INDEX('發行人'!$G$5:$G$44,MATCH(B389,'發行人'!$D$5:$D$44,0))+0,""))</f>
        <v/>
      </c>
      <c r="U389" s="18">
        <f>IF(ISNUMBER(E389),YEARFRAC('參數'!$B$4,E389),"")</f>
        <v/>
      </c>
      <c r="V389" s="8">
        <f>IF(U389="","",IF(U389&lt;3,"1-3y",IF(U389&lt;5,"3-5y",IF(U389&lt;7,"5-7y",IF(U389&lt;10,"7-10y","10y+")))))</f>
        <v/>
      </c>
      <c r="W389" s="30">
        <f>IF($A389="","",IFERROR(INDEX('參數'!$B$24:$B$45,MATCH(G389,'參數'!$A$24:$A$45,0)),""))</f>
        <v/>
      </c>
      <c r="X389" s="8">
        <f>IF($A389="","",IFERROR(INDEX('參數'!$C$24:$C$45,MATCH(G389,'參數'!$A$24:$A$45,0)),""))</f>
        <v/>
      </c>
      <c r="Y389" s="30">
        <f>IF(AND(ISNUMBER(N389),ISNUMBER(O389),ISNUMBER(U389)),IF(AND(O389&gt;0,X389&lt;&gt;""),1,0),0)</f>
        <v/>
      </c>
      <c r="Z389" s="17">
        <f>IF(Y389=1,O389*N389,"")</f>
        <v/>
      </c>
      <c r="AA389" s="33">
        <f>IF(Y389=1,IF(ISNUMBER(Q389),N389-Q389,""),"")</f>
        <v/>
      </c>
      <c r="AB389" s="33">
        <f>IF(Y389=1,IF(AND(ISNUMBER(P389),ISNUMBER(R389)),R389*5/12-O389*(P389-R389),""),"")</f>
        <v/>
      </c>
      <c r="AC389" s="30">
        <f>IF(Y389=1,COUNTIFS($X$5:$X$404,X389,$V$5:$V$404,V389,$Y$5:$Y$404,1),"")</f>
        <v/>
      </c>
      <c r="AD389" s="30">
        <f>IF(Y389=1,IFERROR(IF(AC389&gt;='參數'!$B$9,INDEX('分群統計'!$G$13:$K$16,MATCH(X389,'分群統計'!$A$13:$A$16,0),MATCH(V389,'分群統計'!$G$12:$K$12,0)),INDEX('分群統計'!$I$5:$I$8,MATCH(X389,'分群統計'!$A$5:$A$8,0))),""),"")</f>
        <v/>
      </c>
      <c r="AE389" s="18">
        <f>IF(Y389=1,IFERROR(IF(AC389&gt;='參數'!$B$9,INDEX('分群統計'!$L$13:$P$16,MATCH(X389,'分群統計'!$A$13:$A$16,0),MATCH(V389,'分群統計'!$L$12:$P$12,0)),INDEX('分群統計'!$J$5:$J$8,MATCH(X389,'分群統計'!$A$5:$A$8,0))),""),"")</f>
        <v/>
      </c>
      <c r="AF389" s="31">
        <f>IF(ISNUMBER(AE389),IF(AE389&gt;0,MAX(-3,MIN(3,(N389-AD389)/AE389)),0),"")</f>
        <v/>
      </c>
      <c r="AG389" s="30">
        <f>IF(Y389=1,COUNTIFS($B$5:$B$404,B389,$Y$5:$Y$404,1),"")</f>
        <v/>
      </c>
      <c r="AH389" s="30">
        <f>IF(Y389=1,IFERROR(IF(ISNUMBER(INDEX('分群統計'!$G$20:$G$59,MATCH(B389,'分群統計'!$A$20:$A$59,0))),INDEX('分群統計'!$H$20:$H$59,MATCH(B389,'分群統計'!$A$20:$A$59,0))+INDEX('分群統計'!$G$20:$G$59,MATCH(B389,'分群統計'!$A$20:$A$59,0))*AU389,""),""),"")</f>
        <v/>
      </c>
      <c r="AI389" s="34">
        <f>IF(ISNUMBER(AH389),N389-AH389,"")</f>
        <v/>
      </c>
      <c r="AJ389" s="30">
        <f>IF(Y389=1,IFERROR(IF(ISNUMBER(INDEX('分群統計'!$G$5:$G$8,MATCH(X389,'分群統計'!$A$5:$A$8,0))),INDEX('分群統計'!$H$5:$H$8,MATCH(X389,'分群統計'!$A$5:$A$8,0))+INDEX('分群統計'!$G$5:$G$8,MATCH(X389,'分群統計'!$A$5:$A$8,0))*AU389,""),""),"")</f>
        <v/>
      </c>
      <c r="AK389" s="34">
        <f>IF(ISNUMBER(AJ389),N389-AJ389,"")</f>
        <v/>
      </c>
      <c r="AL389" s="21">
        <f>IF(ISNUMBER(AJ389),IF(AJ389&gt;0,AK389/AJ389,""),"")</f>
        <v/>
      </c>
      <c r="AM389" s="31">
        <f>IF(AY389&lt;&gt;1,"",IFERROR(IF(INDEX('分群統計'!$K$5:$K$8,MATCH(X389,'分群統計'!$A$5:$A$8,0))&lt;3,"",IF(INDEX('分群統計'!$M$5:$M$8,MATCH(X389,'分群統計'!$A$5:$A$8,0))&gt;0,MAX(-3,MIN(3,(AX389-INDEX('分群統計'!$L$5:$L$8,MATCH(X389,'分群統計'!$A$5:$A$8,0)))/INDEX('分群統計'!$M$5:$M$8,MATCH(X389,'分群統計'!$A$5:$A$8,0)))),0)),""))</f>
        <v/>
      </c>
      <c r="AN389" s="31">
        <f>IF(ISNUMBER(AB389),IF(Z389&gt;0,AB389/Z389*100,""),"")</f>
        <v/>
      </c>
      <c r="AO389" s="31">
        <f>IF(BA389&lt;&gt;1,"",IFERROR(IF(INDEX('分群統計'!$N$5:$N$8,MATCH(X389,'分群統計'!$A$5:$A$8,0))&lt;3,"",IF(INDEX('分群統計'!$P$5:$P$8,MATCH(X389,'分群統計'!$A$5:$A$8,0))&gt;0,MAX(-3,MIN(3,(AZ389-INDEX('分群統計'!$O$5:$O$8,MATCH(X389,'分群統計'!$A$5:$A$8,0)))/INDEX('分群統計'!$P$5:$P$8,MATCH(X389,'分群統計'!$A$5:$A$8,0)))),0)),""))</f>
        <v/>
      </c>
      <c r="AP389" s="31">
        <f>IF(BC389&lt;&gt;1,"",IFERROR(IF(INDEX('分群統計'!$Q$5:$Q$8,MATCH(X389,'分群統計'!$A$5:$A$8,0))&lt;3,"",IF(INDEX('分群統計'!$S$5:$S$8,MATCH(X389,'分群統計'!$A$5:$A$8,0))&gt;0,MAX(-3,MIN(3,(BB389-INDEX('分群統計'!$R$5:$R$8,MATCH(X389,'分群統計'!$A$5:$A$8,0)))/INDEX('分群統計'!$S$5:$S$8,MATCH(X389,'分群統計'!$A$5:$A$8,0)))),0)),""))</f>
        <v/>
      </c>
      <c r="AQ389" s="31">
        <f>IF(Y389=1,(IF(ISNUMBER(AF389),AF389,0)*'參數'!$B$13+IF(ISNUMBER(AM389),AM389,0)*'參數'!$B$14+IF(ISNUMBER(AO389),AO389,0)*'參數'!$B$15+IF(ISNUMBER(AP389),AP389,0)*'參數'!$B$16)/('參數'!$B$13+'參數'!$B$14+'參數'!$B$15+'參數'!$B$16),"")</f>
        <v/>
      </c>
      <c r="AR389" s="35">
        <f>IF(Y389=1,(SUMPRODUCT(($X$5:$X$404=X389)*($Y$5:$Y$404=1)*($BD$5:$BD$404&gt;BD389))+1)/COUNTIFS($X$5:$X$404,X389,$Y$5:$Y$404,1),"")</f>
        <v/>
      </c>
      <c r="AS389" s="8">
        <f>IF(ISNUMBER(AR389),IF(AR389&lt;='參數'!$B$18,"加碼候選",IF(AR389&gt;'參數'!$B$19,"減碼候選","")),"")</f>
        <v/>
      </c>
      <c r="AT389" s="7">
        <f>IF(Y389=1,N389,0)</f>
        <v/>
      </c>
      <c r="AU389" s="7">
        <f>IF(Y389=1,LN(O389),0)</f>
        <v/>
      </c>
      <c r="AV389" s="36">
        <f>IF(Y389=1,IF(ISNUMBER(F389),F389,0),0)</f>
        <v/>
      </c>
      <c r="AW389" s="7">
        <f>IF(Y389=1,Z389,0)</f>
        <v/>
      </c>
      <c r="AX389" s="7">
        <f>IF(Y389=1,IF(ISNUMBER(AL389),AL389,0),0)</f>
        <v/>
      </c>
      <c r="AY389" s="7">
        <f>IF(Y389=1,IF(ISNUMBER(AL389),1,0),0)</f>
        <v/>
      </c>
      <c r="AZ389" s="7">
        <f>IF(Y389=1,IF(ISNUMBER(AN389),AN389,0),0)</f>
        <v/>
      </c>
      <c r="BA389" s="7">
        <f>IF(Y389=1,IF(ISNUMBER(AN389),1,0),0)</f>
        <v/>
      </c>
      <c r="BB389" s="7">
        <f>IF(Y389=1,IF(ISNUMBER(T389),T389,0),0)</f>
        <v/>
      </c>
      <c r="BC389" s="7">
        <f>IF(Y389=1,IF(ISNUMBER(T389),1,0),0)</f>
        <v/>
      </c>
      <c r="BD389" s="7">
        <f>IF(Y389=1,AQ389+ROW()/1E9,-1E9)</f>
        <v/>
      </c>
      <c r="BE389" s="7">
        <f>IF(Y389=1,AQ389+ROW()/1E9,1E9)</f>
        <v/>
      </c>
    </row>
    <row r="390">
      <c r="A390" s="16" t="n"/>
      <c r="B390" s="8">
        <f>IF($A390="","",BDP($A390,B$3))</f>
        <v/>
      </c>
      <c r="C390" s="8">
        <f>IF($A390="","",BDP($A390,C$3))</f>
        <v/>
      </c>
      <c r="D390" s="28">
        <f>IF($A390="","",BDP($A390,D$3))</f>
        <v/>
      </c>
      <c r="E390" s="29">
        <f>IF($A390="","",BDP($A390,E$3))</f>
        <v/>
      </c>
      <c r="F390" s="17">
        <f>IF($A390="","",BDP($A390,F$3))</f>
        <v/>
      </c>
      <c r="G390" s="8">
        <f>IF($A390="","",BDP($A390,G$3))</f>
        <v/>
      </c>
      <c r="H390" s="8">
        <f>IF($A390="","",BDP($A390,H$3))</f>
        <v/>
      </c>
      <c r="I390" s="8">
        <f>IF($A390="","",BDP($A390,I$3))</f>
        <v/>
      </c>
      <c r="J390" s="8">
        <f>IF($A390="","",BDP($A390,J$3))</f>
        <v/>
      </c>
      <c r="K390" s="8">
        <f>IF($A390="","",BDP($A390,K$3))</f>
        <v/>
      </c>
      <c r="L390" s="28">
        <f>IF($A390="","",BDP($A390,L$3))</f>
        <v/>
      </c>
      <c r="M390" s="28">
        <f>IF($A390="","",BDP($A390,M$3))</f>
        <v/>
      </c>
      <c r="N390" s="30">
        <f>IF($A390="","",BDP($A390,N$3))</f>
        <v/>
      </c>
      <c r="O390" s="31">
        <f>IF($A390="","",BDP($A390,O$3))</f>
        <v/>
      </c>
      <c r="P390" s="30">
        <f>IF($A390="","",BDH($A390,$N$3,'參數'!$B$5,'參數'!$B$5,"Days=A","Fill=P","Dates=H"))</f>
        <v/>
      </c>
      <c r="Q390" s="30">
        <f>IF($A390="","",BDH($A390,$N$3,'參數'!$B$6,'參數'!$B$6,"Days=A","Fill=P","Dates=H"))</f>
        <v/>
      </c>
      <c r="R390" s="30">
        <f>IF($A390="","",BDH($A390,$N$3,'參數'!$B$7,'參數'!$B$7,"Days=A","Fill=P","Dates=H"))</f>
        <v/>
      </c>
      <c r="S390" s="32">
        <f>IF($A390="","",IFERROR(INDEX('發行人'!$A$5:$A$44,MATCH(B390,'發行人'!$D$5:$D$44,0)),"未對應"))</f>
        <v/>
      </c>
      <c r="T390" s="24">
        <f>IF($A390="","",IFERROR(INDEX('發行人'!$G$5:$G$44,MATCH(B390,'發行人'!$D$5:$D$44,0))+0,""))</f>
        <v/>
      </c>
      <c r="U390" s="18">
        <f>IF(ISNUMBER(E390),YEARFRAC('參數'!$B$4,E390),"")</f>
        <v/>
      </c>
      <c r="V390" s="8">
        <f>IF(U390="","",IF(U390&lt;3,"1-3y",IF(U390&lt;5,"3-5y",IF(U390&lt;7,"5-7y",IF(U390&lt;10,"7-10y","10y+")))))</f>
        <v/>
      </c>
      <c r="W390" s="30">
        <f>IF($A390="","",IFERROR(INDEX('參數'!$B$24:$B$45,MATCH(G390,'參數'!$A$24:$A$45,0)),""))</f>
        <v/>
      </c>
      <c r="X390" s="8">
        <f>IF($A390="","",IFERROR(INDEX('參數'!$C$24:$C$45,MATCH(G390,'參數'!$A$24:$A$45,0)),""))</f>
        <v/>
      </c>
      <c r="Y390" s="30">
        <f>IF(AND(ISNUMBER(N390),ISNUMBER(O390),ISNUMBER(U390)),IF(AND(O390&gt;0,X390&lt;&gt;""),1,0),0)</f>
        <v/>
      </c>
      <c r="Z390" s="17">
        <f>IF(Y390=1,O390*N390,"")</f>
        <v/>
      </c>
      <c r="AA390" s="33">
        <f>IF(Y390=1,IF(ISNUMBER(Q390),N390-Q390,""),"")</f>
        <v/>
      </c>
      <c r="AB390" s="33">
        <f>IF(Y390=1,IF(AND(ISNUMBER(P390),ISNUMBER(R390)),R390*5/12-O390*(P390-R390),""),"")</f>
        <v/>
      </c>
      <c r="AC390" s="30">
        <f>IF(Y390=1,COUNTIFS($X$5:$X$404,X390,$V$5:$V$404,V390,$Y$5:$Y$404,1),"")</f>
        <v/>
      </c>
      <c r="AD390" s="30">
        <f>IF(Y390=1,IFERROR(IF(AC390&gt;='參數'!$B$9,INDEX('分群統計'!$G$13:$K$16,MATCH(X390,'分群統計'!$A$13:$A$16,0),MATCH(V390,'分群統計'!$G$12:$K$12,0)),INDEX('分群統計'!$I$5:$I$8,MATCH(X390,'分群統計'!$A$5:$A$8,0))),""),"")</f>
        <v/>
      </c>
      <c r="AE390" s="18">
        <f>IF(Y390=1,IFERROR(IF(AC390&gt;='參數'!$B$9,INDEX('分群統計'!$L$13:$P$16,MATCH(X390,'分群統計'!$A$13:$A$16,0),MATCH(V390,'分群統計'!$L$12:$P$12,0)),INDEX('分群統計'!$J$5:$J$8,MATCH(X390,'分群統計'!$A$5:$A$8,0))),""),"")</f>
        <v/>
      </c>
      <c r="AF390" s="31">
        <f>IF(ISNUMBER(AE390),IF(AE390&gt;0,MAX(-3,MIN(3,(N390-AD390)/AE390)),0),"")</f>
        <v/>
      </c>
      <c r="AG390" s="30">
        <f>IF(Y390=1,COUNTIFS($B$5:$B$404,B390,$Y$5:$Y$404,1),"")</f>
        <v/>
      </c>
      <c r="AH390" s="30">
        <f>IF(Y390=1,IFERROR(IF(ISNUMBER(INDEX('分群統計'!$G$20:$G$59,MATCH(B390,'分群統計'!$A$20:$A$59,0))),INDEX('分群統計'!$H$20:$H$59,MATCH(B390,'分群統計'!$A$20:$A$59,0))+INDEX('分群統計'!$G$20:$G$59,MATCH(B390,'分群統計'!$A$20:$A$59,0))*AU390,""),""),"")</f>
        <v/>
      </c>
      <c r="AI390" s="34">
        <f>IF(ISNUMBER(AH390),N390-AH390,"")</f>
        <v/>
      </c>
      <c r="AJ390" s="30">
        <f>IF(Y390=1,IFERROR(IF(ISNUMBER(INDEX('分群統計'!$G$5:$G$8,MATCH(X390,'分群統計'!$A$5:$A$8,0))),INDEX('分群統計'!$H$5:$H$8,MATCH(X390,'分群統計'!$A$5:$A$8,0))+INDEX('分群統計'!$G$5:$G$8,MATCH(X390,'分群統計'!$A$5:$A$8,0))*AU390,""),""),"")</f>
        <v/>
      </c>
      <c r="AK390" s="34">
        <f>IF(ISNUMBER(AJ390),N390-AJ390,"")</f>
        <v/>
      </c>
      <c r="AL390" s="21">
        <f>IF(ISNUMBER(AJ390),IF(AJ390&gt;0,AK390/AJ390,""),"")</f>
        <v/>
      </c>
      <c r="AM390" s="31">
        <f>IF(AY390&lt;&gt;1,"",IFERROR(IF(INDEX('分群統計'!$K$5:$K$8,MATCH(X390,'分群統計'!$A$5:$A$8,0))&lt;3,"",IF(INDEX('分群統計'!$M$5:$M$8,MATCH(X390,'分群統計'!$A$5:$A$8,0))&gt;0,MAX(-3,MIN(3,(AX390-INDEX('分群統計'!$L$5:$L$8,MATCH(X390,'分群統計'!$A$5:$A$8,0)))/INDEX('分群統計'!$M$5:$M$8,MATCH(X390,'分群統計'!$A$5:$A$8,0)))),0)),""))</f>
        <v/>
      </c>
      <c r="AN390" s="31">
        <f>IF(ISNUMBER(AB390),IF(Z390&gt;0,AB390/Z390*100,""),"")</f>
        <v/>
      </c>
      <c r="AO390" s="31">
        <f>IF(BA390&lt;&gt;1,"",IFERROR(IF(INDEX('分群統計'!$N$5:$N$8,MATCH(X390,'分群統計'!$A$5:$A$8,0))&lt;3,"",IF(INDEX('分群統計'!$P$5:$P$8,MATCH(X390,'分群統計'!$A$5:$A$8,0))&gt;0,MAX(-3,MIN(3,(AZ390-INDEX('分群統計'!$O$5:$O$8,MATCH(X390,'分群統計'!$A$5:$A$8,0)))/INDEX('分群統計'!$P$5:$P$8,MATCH(X390,'分群統計'!$A$5:$A$8,0)))),0)),""))</f>
        <v/>
      </c>
      <c r="AP390" s="31">
        <f>IF(BC390&lt;&gt;1,"",IFERROR(IF(INDEX('分群統計'!$Q$5:$Q$8,MATCH(X390,'分群統計'!$A$5:$A$8,0))&lt;3,"",IF(INDEX('分群統計'!$S$5:$S$8,MATCH(X390,'分群統計'!$A$5:$A$8,0))&gt;0,MAX(-3,MIN(3,(BB390-INDEX('分群統計'!$R$5:$R$8,MATCH(X390,'分群統計'!$A$5:$A$8,0)))/INDEX('分群統計'!$S$5:$S$8,MATCH(X390,'分群統計'!$A$5:$A$8,0)))),0)),""))</f>
        <v/>
      </c>
      <c r="AQ390" s="31">
        <f>IF(Y390=1,(IF(ISNUMBER(AF390),AF390,0)*'參數'!$B$13+IF(ISNUMBER(AM390),AM390,0)*'參數'!$B$14+IF(ISNUMBER(AO390),AO390,0)*'參數'!$B$15+IF(ISNUMBER(AP390),AP390,0)*'參數'!$B$16)/('參數'!$B$13+'參數'!$B$14+'參數'!$B$15+'參數'!$B$16),"")</f>
        <v/>
      </c>
      <c r="AR390" s="35">
        <f>IF(Y390=1,(SUMPRODUCT(($X$5:$X$404=X390)*($Y$5:$Y$404=1)*($BD$5:$BD$404&gt;BD390))+1)/COUNTIFS($X$5:$X$404,X390,$Y$5:$Y$404,1),"")</f>
        <v/>
      </c>
      <c r="AS390" s="8">
        <f>IF(ISNUMBER(AR390),IF(AR390&lt;='參數'!$B$18,"加碼候選",IF(AR390&gt;'參數'!$B$19,"減碼候選","")),"")</f>
        <v/>
      </c>
      <c r="AT390" s="7">
        <f>IF(Y390=1,N390,0)</f>
        <v/>
      </c>
      <c r="AU390" s="7">
        <f>IF(Y390=1,LN(O390),0)</f>
        <v/>
      </c>
      <c r="AV390" s="36">
        <f>IF(Y390=1,IF(ISNUMBER(F390),F390,0),0)</f>
        <v/>
      </c>
      <c r="AW390" s="7">
        <f>IF(Y390=1,Z390,0)</f>
        <v/>
      </c>
      <c r="AX390" s="7">
        <f>IF(Y390=1,IF(ISNUMBER(AL390),AL390,0),0)</f>
        <v/>
      </c>
      <c r="AY390" s="7">
        <f>IF(Y390=1,IF(ISNUMBER(AL390),1,0),0)</f>
        <v/>
      </c>
      <c r="AZ390" s="7">
        <f>IF(Y390=1,IF(ISNUMBER(AN390),AN390,0),0)</f>
        <v/>
      </c>
      <c r="BA390" s="7">
        <f>IF(Y390=1,IF(ISNUMBER(AN390),1,0),0)</f>
        <v/>
      </c>
      <c r="BB390" s="7">
        <f>IF(Y390=1,IF(ISNUMBER(T390),T390,0),0)</f>
        <v/>
      </c>
      <c r="BC390" s="7">
        <f>IF(Y390=1,IF(ISNUMBER(T390),1,0),0)</f>
        <v/>
      </c>
      <c r="BD390" s="7">
        <f>IF(Y390=1,AQ390+ROW()/1E9,-1E9)</f>
        <v/>
      </c>
      <c r="BE390" s="7">
        <f>IF(Y390=1,AQ390+ROW()/1E9,1E9)</f>
        <v/>
      </c>
    </row>
    <row r="391">
      <c r="A391" s="16" t="n"/>
      <c r="B391" s="8">
        <f>IF($A391="","",BDP($A391,B$3))</f>
        <v/>
      </c>
      <c r="C391" s="8">
        <f>IF($A391="","",BDP($A391,C$3))</f>
        <v/>
      </c>
      <c r="D391" s="28">
        <f>IF($A391="","",BDP($A391,D$3))</f>
        <v/>
      </c>
      <c r="E391" s="29">
        <f>IF($A391="","",BDP($A391,E$3))</f>
        <v/>
      </c>
      <c r="F391" s="17">
        <f>IF($A391="","",BDP($A391,F$3))</f>
        <v/>
      </c>
      <c r="G391" s="8">
        <f>IF($A391="","",BDP($A391,G$3))</f>
        <v/>
      </c>
      <c r="H391" s="8">
        <f>IF($A391="","",BDP($A391,H$3))</f>
        <v/>
      </c>
      <c r="I391" s="8">
        <f>IF($A391="","",BDP($A391,I$3))</f>
        <v/>
      </c>
      <c r="J391" s="8">
        <f>IF($A391="","",BDP($A391,J$3))</f>
        <v/>
      </c>
      <c r="K391" s="8">
        <f>IF($A391="","",BDP($A391,K$3))</f>
        <v/>
      </c>
      <c r="L391" s="28">
        <f>IF($A391="","",BDP($A391,L$3))</f>
        <v/>
      </c>
      <c r="M391" s="28">
        <f>IF($A391="","",BDP($A391,M$3))</f>
        <v/>
      </c>
      <c r="N391" s="30">
        <f>IF($A391="","",BDP($A391,N$3))</f>
        <v/>
      </c>
      <c r="O391" s="31">
        <f>IF($A391="","",BDP($A391,O$3))</f>
        <v/>
      </c>
      <c r="P391" s="30">
        <f>IF($A391="","",BDH($A391,$N$3,'參數'!$B$5,'參數'!$B$5,"Days=A","Fill=P","Dates=H"))</f>
        <v/>
      </c>
      <c r="Q391" s="30">
        <f>IF($A391="","",BDH($A391,$N$3,'參數'!$B$6,'參數'!$B$6,"Days=A","Fill=P","Dates=H"))</f>
        <v/>
      </c>
      <c r="R391" s="30">
        <f>IF($A391="","",BDH($A391,$N$3,'參數'!$B$7,'參數'!$B$7,"Days=A","Fill=P","Dates=H"))</f>
        <v/>
      </c>
      <c r="S391" s="32">
        <f>IF($A391="","",IFERROR(INDEX('發行人'!$A$5:$A$44,MATCH(B391,'發行人'!$D$5:$D$44,0)),"未對應"))</f>
        <v/>
      </c>
      <c r="T391" s="24">
        <f>IF($A391="","",IFERROR(INDEX('發行人'!$G$5:$G$44,MATCH(B391,'發行人'!$D$5:$D$44,0))+0,""))</f>
        <v/>
      </c>
      <c r="U391" s="18">
        <f>IF(ISNUMBER(E391),YEARFRAC('參數'!$B$4,E391),"")</f>
        <v/>
      </c>
      <c r="V391" s="8">
        <f>IF(U391="","",IF(U391&lt;3,"1-3y",IF(U391&lt;5,"3-5y",IF(U391&lt;7,"5-7y",IF(U391&lt;10,"7-10y","10y+")))))</f>
        <v/>
      </c>
      <c r="W391" s="30">
        <f>IF($A391="","",IFERROR(INDEX('參數'!$B$24:$B$45,MATCH(G391,'參數'!$A$24:$A$45,0)),""))</f>
        <v/>
      </c>
      <c r="X391" s="8">
        <f>IF($A391="","",IFERROR(INDEX('參數'!$C$24:$C$45,MATCH(G391,'參數'!$A$24:$A$45,0)),""))</f>
        <v/>
      </c>
      <c r="Y391" s="30">
        <f>IF(AND(ISNUMBER(N391),ISNUMBER(O391),ISNUMBER(U391)),IF(AND(O391&gt;0,X391&lt;&gt;""),1,0),0)</f>
        <v/>
      </c>
      <c r="Z391" s="17">
        <f>IF(Y391=1,O391*N391,"")</f>
        <v/>
      </c>
      <c r="AA391" s="33">
        <f>IF(Y391=1,IF(ISNUMBER(Q391),N391-Q391,""),"")</f>
        <v/>
      </c>
      <c r="AB391" s="33">
        <f>IF(Y391=1,IF(AND(ISNUMBER(P391),ISNUMBER(R391)),R391*5/12-O391*(P391-R391),""),"")</f>
        <v/>
      </c>
      <c r="AC391" s="30">
        <f>IF(Y391=1,COUNTIFS($X$5:$X$404,X391,$V$5:$V$404,V391,$Y$5:$Y$404,1),"")</f>
        <v/>
      </c>
      <c r="AD391" s="30">
        <f>IF(Y391=1,IFERROR(IF(AC391&gt;='參數'!$B$9,INDEX('分群統計'!$G$13:$K$16,MATCH(X391,'分群統計'!$A$13:$A$16,0),MATCH(V391,'分群統計'!$G$12:$K$12,0)),INDEX('分群統計'!$I$5:$I$8,MATCH(X391,'分群統計'!$A$5:$A$8,0))),""),"")</f>
        <v/>
      </c>
      <c r="AE391" s="18">
        <f>IF(Y391=1,IFERROR(IF(AC391&gt;='參數'!$B$9,INDEX('分群統計'!$L$13:$P$16,MATCH(X391,'分群統計'!$A$13:$A$16,0),MATCH(V391,'分群統計'!$L$12:$P$12,0)),INDEX('分群統計'!$J$5:$J$8,MATCH(X391,'分群統計'!$A$5:$A$8,0))),""),"")</f>
        <v/>
      </c>
      <c r="AF391" s="31">
        <f>IF(ISNUMBER(AE391),IF(AE391&gt;0,MAX(-3,MIN(3,(N391-AD391)/AE391)),0),"")</f>
        <v/>
      </c>
      <c r="AG391" s="30">
        <f>IF(Y391=1,COUNTIFS($B$5:$B$404,B391,$Y$5:$Y$404,1),"")</f>
        <v/>
      </c>
      <c r="AH391" s="30">
        <f>IF(Y391=1,IFERROR(IF(ISNUMBER(INDEX('分群統計'!$G$20:$G$59,MATCH(B391,'分群統計'!$A$20:$A$59,0))),INDEX('分群統計'!$H$20:$H$59,MATCH(B391,'分群統計'!$A$20:$A$59,0))+INDEX('分群統計'!$G$20:$G$59,MATCH(B391,'分群統計'!$A$20:$A$59,0))*AU391,""),""),"")</f>
        <v/>
      </c>
      <c r="AI391" s="34">
        <f>IF(ISNUMBER(AH391),N391-AH391,"")</f>
        <v/>
      </c>
      <c r="AJ391" s="30">
        <f>IF(Y391=1,IFERROR(IF(ISNUMBER(INDEX('分群統計'!$G$5:$G$8,MATCH(X391,'分群統計'!$A$5:$A$8,0))),INDEX('分群統計'!$H$5:$H$8,MATCH(X391,'分群統計'!$A$5:$A$8,0))+INDEX('分群統計'!$G$5:$G$8,MATCH(X391,'分群統計'!$A$5:$A$8,0))*AU391,""),""),"")</f>
        <v/>
      </c>
      <c r="AK391" s="34">
        <f>IF(ISNUMBER(AJ391),N391-AJ391,"")</f>
        <v/>
      </c>
      <c r="AL391" s="21">
        <f>IF(ISNUMBER(AJ391),IF(AJ391&gt;0,AK391/AJ391,""),"")</f>
        <v/>
      </c>
      <c r="AM391" s="31">
        <f>IF(AY391&lt;&gt;1,"",IFERROR(IF(INDEX('分群統計'!$K$5:$K$8,MATCH(X391,'分群統計'!$A$5:$A$8,0))&lt;3,"",IF(INDEX('分群統計'!$M$5:$M$8,MATCH(X391,'分群統計'!$A$5:$A$8,0))&gt;0,MAX(-3,MIN(3,(AX391-INDEX('分群統計'!$L$5:$L$8,MATCH(X391,'分群統計'!$A$5:$A$8,0)))/INDEX('分群統計'!$M$5:$M$8,MATCH(X391,'分群統計'!$A$5:$A$8,0)))),0)),""))</f>
        <v/>
      </c>
      <c r="AN391" s="31">
        <f>IF(ISNUMBER(AB391),IF(Z391&gt;0,AB391/Z391*100,""),"")</f>
        <v/>
      </c>
      <c r="AO391" s="31">
        <f>IF(BA391&lt;&gt;1,"",IFERROR(IF(INDEX('分群統計'!$N$5:$N$8,MATCH(X391,'分群統計'!$A$5:$A$8,0))&lt;3,"",IF(INDEX('分群統計'!$P$5:$P$8,MATCH(X391,'分群統計'!$A$5:$A$8,0))&gt;0,MAX(-3,MIN(3,(AZ391-INDEX('分群統計'!$O$5:$O$8,MATCH(X391,'分群統計'!$A$5:$A$8,0)))/INDEX('分群統計'!$P$5:$P$8,MATCH(X391,'分群統計'!$A$5:$A$8,0)))),0)),""))</f>
        <v/>
      </c>
      <c r="AP391" s="31">
        <f>IF(BC391&lt;&gt;1,"",IFERROR(IF(INDEX('分群統計'!$Q$5:$Q$8,MATCH(X391,'分群統計'!$A$5:$A$8,0))&lt;3,"",IF(INDEX('分群統計'!$S$5:$S$8,MATCH(X391,'分群統計'!$A$5:$A$8,0))&gt;0,MAX(-3,MIN(3,(BB391-INDEX('分群統計'!$R$5:$R$8,MATCH(X391,'分群統計'!$A$5:$A$8,0)))/INDEX('分群統計'!$S$5:$S$8,MATCH(X391,'分群統計'!$A$5:$A$8,0)))),0)),""))</f>
        <v/>
      </c>
      <c r="AQ391" s="31">
        <f>IF(Y391=1,(IF(ISNUMBER(AF391),AF391,0)*'參數'!$B$13+IF(ISNUMBER(AM391),AM391,0)*'參數'!$B$14+IF(ISNUMBER(AO391),AO391,0)*'參數'!$B$15+IF(ISNUMBER(AP391),AP391,0)*'參數'!$B$16)/('參數'!$B$13+'參數'!$B$14+'參數'!$B$15+'參數'!$B$16),"")</f>
        <v/>
      </c>
      <c r="AR391" s="35">
        <f>IF(Y391=1,(SUMPRODUCT(($X$5:$X$404=X391)*($Y$5:$Y$404=1)*($BD$5:$BD$404&gt;BD391))+1)/COUNTIFS($X$5:$X$404,X391,$Y$5:$Y$404,1),"")</f>
        <v/>
      </c>
      <c r="AS391" s="8">
        <f>IF(ISNUMBER(AR391),IF(AR391&lt;='參數'!$B$18,"加碼候選",IF(AR391&gt;'參數'!$B$19,"減碼候選","")),"")</f>
        <v/>
      </c>
      <c r="AT391" s="7">
        <f>IF(Y391=1,N391,0)</f>
        <v/>
      </c>
      <c r="AU391" s="7">
        <f>IF(Y391=1,LN(O391),0)</f>
        <v/>
      </c>
      <c r="AV391" s="36">
        <f>IF(Y391=1,IF(ISNUMBER(F391),F391,0),0)</f>
        <v/>
      </c>
      <c r="AW391" s="7">
        <f>IF(Y391=1,Z391,0)</f>
        <v/>
      </c>
      <c r="AX391" s="7">
        <f>IF(Y391=1,IF(ISNUMBER(AL391),AL391,0),0)</f>
        <v/>
      </c>
      <c r="AY391" s="7">
        <f>IF(Y391=1,IF(ISNUMBER(AL391),1,0),0)</f>
        <v/>
      </c>
      <c r="AZ391" s="7">
        <f>IF(Y391=1,IF(ISNUMBER(AN391),AN391,0),0)</f>
        <v/>
      </c>
      <c r="BA391" s="7">
        <f>IF(Y391=1,IF(ISNUMBER(AN391),1,0),0)</f>
        <v/>
      </c>
      <c r="BB391" s="7">
        <f>IF(Y391=1,IF(ISNUMBER(T391),T391,0),0)</f>
        <v/>
      </c>
      <c r="BC391" s="7">
        <f>IF(Y391=1,IF(ISNUMBER(T391),1,0),0)</f>
        <v/>
      </c>
      <c r="BD391" s="7">
        <f>IF(Y391=1,AQ391+ROW()/1E9,-1E9)</f>
        <v/>
      </c>
      <c r="BE391" s="7">
        <f>IF(Y391=1,AQ391+ROW()/1E9,1E9)</f>
        <v/>
      </c>
    </row>
    <row r="392">
      <c r="A392" s="16" t="n"/>
      <c r="B392" s="8">
        <f>IF($A392="","",BDP($A392,B$3))</f>
        <v/>
      </c>
      <c r="C392" s="8">
        <f>IF($A392="","",BDP($A392,C$3))</f>
        <v/>
      </c>
      <c r="D392" s="28">
        <f>IF($A392="","",BDP($A392,D$3))</f>
        <v/>
      </c>
      <c r="E392" s="29">
        <f>IF($A392="","",BDP($A392,E$3))</f>
        <v/>
      </c>
      <c r="F392" s="17">
        <f>IF($A392="","",BDP($A392,F$3))</f>
        <v/>
      </c>
      <c r="G392" s="8">
        <f>IF($A392="","",BDP($A392,G$3))</f>
        <v/>
      </c>
      <c r="H392" s="8">
        <f>IF($A392="","",BDP($A392,H$3))</f>
        <v/>
      </c>
      <c r="I392" s="8">
        <f>IF($A392="","",BDP($A392,I$3))</f>
        <v/>
      </c>
      <c r="J392" s="8">
        <f>IF($A392="","",BDP($A392,J$3))</f>
        <v/>
      </c>
      <c r="K392" s="8">
        <f>IF($A392="","",BDP($A392,K$3))</f>
        <v/>
      </c>
      <c r="L392" s="28">
        <f>IF($A392="","",BDP($A392,L$3))</f>
        <v/>
      </c>
      <c r="M392" s="28">
        <f>IF($A392="","",BDP($A392,M$3))</f>
        <v/>
      </c>
      <c r="N392" s="30">
        <f>IF($A392="","",BDP($A392,N$3))</f>
        <v/>
      </c>
      <c r="O392" s="31">
        <f>IF($A392="","",BDP($A392,O$3))</f>
        <v/>
      </c>
      <c r="P392" s="30">
        <f>IF($A392="","",BDH($A392,$N$3,'參數'!$B$5,'參數'!$B$5,"Days=A","Fill=P","Dates=H"))</f>
        <v/>
      </c>
      <c r="Q392" s="30">
        <f>IF($A392="","",BDH($A392,$N$3,'參數'!$B$6,'參數'!$B$6,"Days=A","Fill=P","Dates=H"))</f>
        <v/>
      </c>
      <c r="R392" s="30">
        <f>IF($A392="","",BDH($A392,$N$3,'參數'!$B$7,'參數'!$B$7,"Days=A","Fill=P","Dates=H"))</f>
        <v/>
      </c>
      <c r="S392" s="32">
        <f>IF($A392="","",IFERROR(INDEX('發行人'!$A$5:$A$44,MATCH(B392,'發行人'!$D$5:$D$44,0)),"未對應"))</f>
        <v/>
      </c>
      <c r="T392" s="24">
        <f>IF($A392="","",IFERROR(INDEX('發行人'!$G$5:$G$44,MATCH(B392,'發行人'!$D$5:$D$44,0))+0,""))</f>
        <v/>
      </c>
      <c r="U392" s="18">
        <f>IF(ISNUMBER(E392),YEARFRAC('參數'!$B$4,E392),"")</f>
        <v/>
      </c>
      <c r="V392" s="8">
        <f>IF(U392="","",IF(U392&lt;3,"1-3y",IF(U392&lt;5,"3-5y",IF(U392&lt;7,"5-7y",IF(U392&lt;10,"7-10y","10y+")))))</f>
        <v/>
      </c>
      <c r="W392" s="30">
        <f>IF($A392="","",IFERROR(INDEX('參數'!$B$24:$B$45,MATCH(G392,'參數'!$A$24:$A$45,0)),""))</f>
        <v/>
      </c>
      <c r="X392" s="8">
        <f>IF($A392="","",IFERROR(INDEX('參數'!$C$24:$C$45,MATCH(G392,'參數'!$A$24:$A$45,0)),""))</f>
        <v/>
      </c>
      <c r="Y392" s="30">
        <f>IF(AND(ISNUMBER(N392),ISNUMBER(O392),ISNUMBER(U392)),IF(AND(O392&gt;0,X392&lt;&gt;""),1,0),0)</f>
        <v/>
      </c>
      <c r="Z392" s="17">
        <f>IF(Y392=1,O392*N392,"")</f>
        <v/>
      </c>
      <c r="AA392" s="33">
        <f>IF(Y392=1,IF(ISNUMBER(Q392),N392-Q392,""),"")</f>
        <v/>
      </c>
      <c r="AB392" s="33">
        <f>IF(Y392=1,IF(AND(ISNUMBER(P392),ISNUMBER(R392)),R392*5/12-O392*(P392-R392),""),"")</f>
        <v/>
      </c>
      <c r="AC392" s="30">
        <f>IF(Y392=1,COUNTIFS($X$5:$X$404,X392,$V$5:$V$404,V392,$Y$5:$Y$404,1),"")</f>
        <v/>
      </c>
      <c r="AD392" s="30">
        <f>IF(Y392=1,IFERROR(IF(AC392&gt;='參數'!$B$9,INDEX('分群統計'!$G$13:$K$16,MATCH(X392,'分群統計'!$A$13:$A$16,0),MATCH(V392,'分群統計'!$G$12:$K$12,0)),INDEX('分群統計'!$I$5:$I$8,MATCH(X392,'分群統計'!$A$5:$A$8,0))),""),"")</f>
        <v/>
      </c>
      <c r="AE392" s="18">
        <f>IF(Y392=1,IFERROR(IF(AC392&gt;='參數'!$B$9,INDEX('分群統計'!$L$13:$P$16,MATCH(X392,'分群統計'!$A$13:$A$16,0),MATCH(V392,'分群統計'!$L$12:$P$12,0)),INDEX('分群統計'!$J$5:$J$8,MATCH(X392,'分群統計'!$A$5:$A$8,0))),""),"")</f>
        <v/>
      </c>
      <c r="AF392" s="31">
        <f>IF(ISNUMBER(AE392),IF(AE392&gt;0,MAX(-3,MIN(3,(N392-AD392)/AE392)),0),"")</f>
        <v/>
      </c>
      <c r="AG392" s="30">
        <f>IF(Y392=1,COUNTIFS($B$5:$B$404,B392,$Y$5:$Y$404,1),"")</f>
        <v/>
      </c>
      <c r="AH392" s="30">
        <f>IF(Y392=1,IFERROR(IF(ISNUMBER(INDEX('分群統計'!$G$20:$G$59,MATCH(B392,'分群統計'!$A$20:$A$59,0))),INDEX('分群統計'!$H$20:$H$59,MATCH(B392,'分群統計'!$A$20:$A$59,0))+INDEX('分群統計'!$G$20:$G$59,MATCH(B392,'分群統計'!$A$20:$A$59,0))*AU392,""),""),"")</f>
        <v/>
      </c>
      <c r="AI392" s="34">
        <f>IF(ISNUMBER(AH392),N392-AH392,"")</f>
        <v/>
      </c>
      <c r="AJ392" s="30">
        <f>IF(Y392=1,IFERROR(IF(ISNUMBER(INDEX('分群統計'!$G$5:$G$8,MATCH(X392,'分群統計'!$A$5:$A$8,0))),INDEX('分群統計'!$H$5:$H$8,MATCH(X392,'分群統計'!$A$5:$A$8,0))+INDEX('分群統計'!$G$5:$G$8,MATCH(X392,'分群統計'!$A$5:$A$8,0))*AU392,""),""),"")</f>
        <v/>
      </c>
      <c r="AK392" s="34">
        <f>IF(ISNUMBER(AJ392),N392-AJ392,"")</f>
        <v/>
      </c>
      <c r="AL392" s="21">
        <f>IF(ISNUMBER(AJ392),IF(AJ392&gt;0,AK392/AJ392,""),"")</f>
        <v/>
      </c>
      <c r="AM392" s="31">
        <f>IF(AY392&lt;&gt;1,"",IFERROR(IF(INDEX('分群統計'!$K$5:$K$8,MATCH(X392,'分群統計'!$A$5:$A$8,0))&lt;3,"",IF(INDEX('分群統計'!$M$5:$M$8,MATCH(X392,'分群統計'!$A$5:$A$8,0))&gt;0,MAX(-3,MIN(3,(AX392-INDEX('分群統計'!$L$5:$L$8,MATCH(X392,'分群統計'!$A$5:$A$8,0)))/INDEX('分群統計'!$M$5:$M$8,MATCH(X392,'分群統計'!$A$5:$A$8,0)))),0)),""))</f>
        <v/>
      </c>
      <c r="AN392" s="31">
        <f>IF(ISNUMBER(AB392),IF(Z392&gt;0,AB392/Z392*100,""),"")</f>
        <v/>
      </c>
      <c r="AO392" s="31">
        <f>IF(BA392&lt;&gt;1,"",IFERROR(IF(INDEX('分群統計'!$N$5:$N$8,MATCH(X392,'分群統計'!$A$5:$A$8,0))&lt;3,"",IF(INDEX('分群統計'!$P$5:$P$8,MATCH(X392,'分群統計'!$A$5:$A$8,0))&gt;0,MAX(-3,MIN(3,(AZ392-INDEX('分群統計'!$O$5:$O$8,MATCH(X392,'分群統計'!$A$5:$A$8,0)))/INDEX('分群統計'!$P$5:$P$8,MATCH(X392,'分群統計'!$A$5:$A$8,0)))),0)),""))</f>
        <v/>
      </c>
      <c r="AP392" s="31">
        <f>IF(BC392&lt;&gt;1,"",IFERROR(IF(INDEX('分群統計'!$Q$5:$Q$8,MATCH(X392,'分群統計'!$A$5:$A$8,0))&lt;3,"",IF(INDEX('分群統計'!$S$5:$S$8,MATCH(X392,'分群統計'!$A$5:$A$8,0))&gt;0,MAX(-3,MIN(3,(BB392-INDEX('分群統計'!$R$5:$R$8,MATCH(X392,'分群統計'!$A$5:$A$8,0)))/INDEX('分群統計'!$S$5:$S$8,MATCH(X392,'分群統計'!$A$5:$A$8,0)))),0)),""))</f>
        <v/>
      </c>
      <c r="AQ392" s="31">
        <f>IF(Y392=1,(IF(ISNUMBER(AF392),AF392,0)*'參數'!$B$13+IF(ISNUMBER(AM392),AM392,0)*'參數'!$B$14+IF(ISNUMBER(AO392),AO392,0)*'參數'!$B$15+IF(ISNUMBER(AP392),AP392,0)*'參數'!$B$16)/('參數'!$B$13+'參數'!$B$14+'參數'!$B$15+'參數'!$B$16),"")</f>
        <v/>
      </c>
      <c r="AR392" s="35">
        <f>IF(Y392=1,(SUMPRODUCT(($X$5:$X$404=X392)*($Y$5:$Y$404=1)*($BD$5:$BD$404&gt;BD392))+1)/COUNTIFS($X$5:$X$404,X392,$Y$5:$Y$404,1),"")</f>
        <v/>
      </c>
      <c r="AS392" s="8">
        <f>IF(ISNUMBER(AR392),IF(AR392&lt;='參數'!$B$18,"加碼候選",IF(AR392&gt;'參數'!$B$19,"減碼候選","")),"")</f>
        <v/>
      </c>
      <c r="AT392" s="7">
        <f>IF(Y392=1,N392,0)</f>
        <v/>
      </c>
      <c r="AU392" s="7">
        <f>IF(Y392=1,LN(O392),0)</f>
        <v/>
      </c>
      <c r="AV392" s="36">
        <f>IF(Y392=1,IF(ISNUMBER(F392),F392,0),0)</f>
        <v/>
      </c>
      <c r="AW392" s="7">
        <f>IF(Y392=1,Z392,0)</f>
        <v/>
      </c>
      <c r="AX392" s="7">
        <f>IF(Y392=1,IF(ISNUMBER(AL392),AL392,0),0)</f>
        <v/>
      </c>
      <c r="AY392" s="7">
        <f>IF(Y392=1,IF(ISNUMBER(AL392),1,0),0)</f>
        <v/>
      </c>
      <c r="AZ392" s="7">
        <f>IF(Y392=1,IF(ISNUMBER(AN392),AN392,0),0)</f>
        <v/>
      </c>
      <c r="BA392" s="7">
        <f>IF(Y392=1,IF(ISNUMBER(AN392),1,0),0)</f>
        <v/>
      </c>
      <c r="BB392" s="7">
        <f>IF(Y392=1,IF(ISNUMBER(T392),T392,0),0)</f>
        <v/>
      </c>
      <c r="BC392" s="7">
        <f>IF(Y392=1,IF(ISNUMBER(T392),1,0),0)</f>
        <v/>
      </c>
      <c r="BD392" s="7">
        <f>IF(Y392=1,AQ392+ROW()/1E9,-1E9)</f>
        <v/>
      </c>
      <c r="BE392" s="7">
        <f>IF(Y392=1,AQ392+ROW()/1E9,1E9)</f>
        <v/>
      </c>
    </row>
    <row r="393">
      <c r="A393" s="16" t="n"/>
      <c r="B393" s="8">
        <f>IF($A393="","",BDP($A393,B$3))</f>
        <v/>
      </c>
      <c r="C393" s="8">
        <f>IF($A393="","",BDP($A393,C$3))</f>
        <v/>
      </c>
      <c r="D393" s="28">
        <f>IF($A393="","",BDP($A393,D$3))</f>
        <v/>
      </c>
      <c r="E393" s="29">
        <f>IF($A393="","",BDP($A393,E$3))</f>
        <v/>
      </c>
      <c r="F393" s="17">
        <f>IF($A393="","",BDP($A393,F$3))</f>
        <v/>
      </c>
      <c r="G393" s="8">
        <f>IF($A393="","",BDP($A393,G$3))</f>
        <v/>
      </c>
      <c r="H393" s="8">
        <f>IF($A393="","",BDP($A393,H$3))</f>
        <v/>
      </c>
      <c r="I393" s="8">
        <f>IF($A393="","",BDP($A393,I$3))</f>
        <v/>
      </c>
      <c r="J393" s="8">
        <f>IF($A393="","",BDP($A393,J$3))</f>
        <v/>
      </c>
      <c r="K393" s="8">
        <f>IF($A393="","",BDP($A393,K$3))</f>
        <v/>
      </c>
      <c r="L393" s="28">
        <f>IF($A393="","",BDP($A393,L$3))</f>
        <v/>
      </c>
      <c r="M393" s="28">
        <f>IF($A393="","",BDP($A393,M$3))</f>
        <v/>
      </c>
      <c r="N393" s="30">
        <f>IF($A393="","",BDP($A393,N$3))</f>
        <v/>
      </c>
      <c r="O393" s="31">
        <f>IF($A393="","",BDP($A393,O$3))</f>
        <v/>
      </c>
      <c r="P393" s="30">
        <f>IF($A393="","",BDH($A393,$N$3,'參數'!$B$5,'參數'!$B$5,"Days=A","Fill=P","Dates=H"))</f>
        <v/>
      </c>
      <c r="Q393" s="30">
        <f>IF($A393="","",BDH($A393,$N$3,'參數'!$B$6,'參數'!$B$6,"Days=A","Fill=P","Dates=H"))</f>
        <v/>
      </c>
      <c r="R393" s="30">
        <f>IF($A393="","",BDH($A393,$N$3,'參數'!$B$7,'參數'!$B$7,"Days=A","Fill=P","Dates=H"))</f>
        <v/>
      </c>
      <c r="S393" s="32">
        <f>IF($A393="","",IFERROR(INDEX('發行人'!$A$5:$A$44,MATCH(B393,'發行人'!$D$5:$D$44,0)),"未對應"))</f>
        <v/>
      </c>
      <c r="T393" s="24">
        <f>IF($A393="","",IFERROR(INDEX('發行人'!$G$5:$G$44,MATCH(B393,'發行人'!$D$5:$D$44,0))+0,""))</f>
        <v/>
      </c>
      <c r="U393" s="18">
        <f>IF(ISNUMBER(E393),YEARFRAC('參數'!$B$4,E393),"")</f>
        <v/>
      </c>
      <c r="V393" s="8">
        <f>IF(U393="","",IF(U393&lt;3,"1-3y",IF(U393&lt;5,"3-5y",IF(U393&lt;7,"5-7y",IF(U393&lt;10,"7-10y","10y+")))))</f>
        <v/>
      </c>
      <c r="W393" s="30">
        <f>IF($A393="","",IFERROR(INDEX('參數'!$B$24:$B$45,MATCH(G393,'參數'!$A$24:$A$45,0)),""))</f>
        <v/>
      </c>
      <c r="X393" s="8">
        <f>IF($A393="","",IFERROR(INDEX('參數'!$C$24:$C$45,MATCH(G393,'參數'!$A$24:$A$45,0)),""))</f>
        <v/>
      </c>
      <c r="Y393" s="30">
        <f>IF(AND(ISNUMBER(N393),ISNUMBER(O393),ISNUMBER(U393)),IF(AND(O393&gt;0,X393&lt;&gt;""),1,0),0)</f>
        <v/>
      </c>
      <c r="Z393" s="17">
        <f>IF(Y393=1,O393*N393,"")</f>
        <v/>
      </c>
      <c r="AA393" s="33">
        <f>IF(Y393=1,IF(ISNUMBER(Q393),N393-Q393,""),"")</f>
        <v/>
      </c>
      <c r="AB393" s="33">
        <f>IF(Y393=1,IF(AND(ISNUMBER(P393),ISNUMBER(R393)),R393*5/12-O393*(P393-R393),""),"")</f>
        <v/>
      </c>
      <c r="AC393" s="30">
        <f>IF(Y393=1,COUNTIFS($X$5:$X$404,X393,$V$5:$V$404,V393,$Y$5:$Y$404,1),"")</f>
        <v/>
      </c>
      <c r="AD393" s="30">
        <f>IF(Y393=1,IFERROR(IF(AC393&gt;='參數'!$B$9,INDEX('分群統計'!$G$13:$K$16,MATCH(X393,'分群統計'!$A$13:$A$16,0),MATCH(V393,'分群統計'!$G$12:$K$12,0)),INDEX('分群統計'!$I$5:$I$8,MATCH(X393,'分群統計'!$A$5:$A$8,0))),""),"")</f>
        <v/>
      </c>
      <c r="AE393" s="18">
        <f>IF(Y393=1,IFERROR(IF(AC393&gt;='參數'!$B$9,INDEX('分群統計'!$L$13:$P$16,MATCH(X393,'分群統計'!$A$13:$A$16,0),MATCH(V393,'分群統計'!$L$12:$P$12,0)),INDEX('分群統計'!$J$5:$J$8,MATCH(X393,'分群統計'!$A$5:$A$8,0))),""),"")</f>
        <v/>
      </c>
      <c r="AF393" s="31">
        <f>IF(ISNUMBER(AE393),IF(AE393&gt;0,MAX(-3,MIN(3,(N393-AD393)/AE393)),0),"")</f>
        <v/>
      </c>
      <c r="AG393" s="30">
        <f>IF(Y393=1,COUNTIFS($B$5:$B$404,B393,$Y$5:$Y$404,1),"")</f>
        <v/>
      </c>
      <c r="AH393" s="30">
        <f>IF(Y393=1,IFERROR(IF(ISNUMBER(INDEX('分群統計'!$G$20:$G$59,MATCH(B393,'分群統計'!$A$20:$A$59,0))),INDEX('分群統計'!$H$20:$H$59,MATCH(B393,'分群統計'!$A$20:$A$59,0))+INDEX('分群統計'!$G$20:$G$59,MATCH(B393,'分群統計'!$A$20:$A$59,0))*AU393,""),""),"")</f>
        <v/>
      </c>
      <c r="AI393" s="34">
        <f>IF(ISNUMBER(AH393),N393-AH393,"")</f>
        <v/>
      </c>
      <c r="AJ393" s="30">
        <f>IF(Y393=1,IFERROR(IF(ISNUMBER(INDEX('分群統計'!$G$5:$G$8,MATCH(X393,'分群統計'!$A$5:$A$8,0))),INDEX('分群統計'!$H$5:$H$8,MATCH(X393,'分群統計'!$A$5:$A$8,0))+INDEX('分群統計'!$G$5:$G$8,MATCH(X393,'分群統計'!$A$5:$A$8,0))*AU393,""),""),"")</f>
        <v/>
      </c>
      <c r="AK393" s="34">
        <f>IF(ISNUMBER(AJ393),N393-AJ393,"")</f>
        <v/>
      </c>
      <c r="AL393" s="21">
        <f>IF(ISNUMBER(AJ393),IF(AJ393&gt;0,AK393/AJ393,""),"")</f>
        <v/>
      </c>
      <c r="AM393" s="31">
        <f>IF(AY393&lt;&gt;1,"",IFERROR(IF(INDEX('分群統計'!$K$5:$K$8,MATCH(X393,'分群統計'!$A$5:$A$8,0))&lt;3,"",IF(INDEX('分群統計'!$M$5:$M$8,MATCH(X393,'分群統計'!$A$5:$A$8,0))&gt;0,MAX(-3,MIN(3,(AX393-INDEX('分群統計'!$L$5:$L$8,MATCH(X393,'分群統計'!$A$5:$A$8,0)))/INDEX('分群統計'!$M$5:$M$8,MATCH(X393,'分群統計'!$A$5:$A$8,0)))),0)),""))</f>
        <v/>
      </c>
      <c r="AN393" s="31">
        <f>IF(ISNUMBER(AB393),IF(Z393&gt;0,AB393/Z393*100,""),"")</f>
        <v/>
      </c>
      <c r="AO393" s="31">
        <f>IF(BA393&lt;&gt;1,"",IFERROR(IF(INDEX('分群統計'!$N$5:$N$8,MATCH(X393,'分群統計'!$A$5:$A$8,0))&lt;3,"",IF(INDEX('分群統計'!$P$5:$P$8,MATCH(X393,'分群統計'!$A$5:$A$8,0))&gt;0,MAX(-3,MIN(3,(AZ393-INDEX('分群統計'!$O$5:$O$8,MATCH(X393,'分群統計'!$A$5:$A$8,0)))/INDEX('分群統計'!$P$5:$P$8,MATCH(X393,'分群統計'!$A$5:$A$8,0)))),0)),""))</f>
        <v/>
      </c>
      <c r="AP393" s="31">
        <f>IF(BC393&lt;&gt;1,"",IFERROR(IF(INDEX('分群統計'!$Q$5:$Q$8,MATCH(X393,'分群統計'!$A$5:$A$8,0))&lt;3,"",IF(INDEX('分群統計'!$S$5:$S$8,MATCH(X393,'分群統計'!$A$5:$A$8,0))&gt;0,MAX(-3,MIN(3,(BB393-INDEX('分群統計'!$R$5:$R$8,MATCH(X393,'分群統計'!$A$5:$A$8,0)))/INDEX('分群統計'!$S$5:$S$8,MATCH(X393,'分群統計'!$A$5:$A$8,0)))),0)),""))</f>
        <v/>
      </c>
      <c r="AQ393" s="31">
        <f>IF(Y393=1,(IF(ISNUMBER(AF393),AF393,0)*'參數'!$B$13+IF(ISNUMBER(AM393),AM393,0)*'參數'!$B$14+IF(ISNUMBER(AO393),AO393,0)*'參數'!$B$15+IF(ISNUMBER(AP393),AP393,0)*'參數'!$B$16)/('參數'!$B$13+'參數'!$B$14+'參數'!$B$15+'參數'!$B$16),"")</f>
        <v/>
      </c>
      <c r="AR393" s="35">
        <f>IF(Y393=1,(SUMPRODUCT(($X$5:$X$404=X393)*($Y$5:$Y$404=1)*($BD$5:$BD$404&gt;BD393))+1)/COUNTIFS($X$5:$X$404,X393,$Y$5:$Y$404,1),"")</f>
        <v/>
      </c>
      <c r="AS393" s="8">
        <f>IF(ISNUMBER(AR393),IF(AR393&lt;='參數'!$B$18,"加碼候選",IF(AR393&gt;'參數'!$B$19,"減碼候選","")),"")</f>
        <v/>
      </c>
      <c r="AT393" s="7">
        <f>IF(Y393=1,N393,0)</f>
        <v/>
      </c>
      <c r="AU393" s="7">
        <f>IF(Y393=1,LN(O393),0)</f>
        <v/>
      </c>
      <c r="AV393" s="36">
        <f>IF(Y393=1,IF(ISNUMBER(F393),F393,0),0)</f>
        <v/>
      </c>
      <c r="AW393" s="7">
        <f>IF(Y393=1,Z393,0)</f>
        <v/>
      </c>
      <c r="AX393" s="7">
        <f>IF(Y393=1,IF(ISNUMBER(AL393),AL393,0),0)</f>
        <v/>
      </c>
      <c r="AY393" s="7">
        <f>IF(Y393=1,IF(ISNUMBER(AL393),1,0),0)</f>
        <v/>
      </c>
      <c r="AZ393" s="7">
        <f>IF(Y393=1,IF(ISNUMBER(AN393),AN393,0),0)</f>
        <v/>
      </c>
      <c r="BA393" s="7">
        <f>IF(Y393=1,IF(ISNUMBER(AN393),1,0),0)</f>
        <v/>
      </c>
      <c r="BB393" s="7">
        <f>IF(Y393=1,IF(ISNUMBER(T393),T393,0),0)</f>
        <v/>
      </c>
      <c r="BC393" s="7">
        <f>IF(Y393=1,IF(ISNUMBER(T393),1,0),0)</f>
        <v/>
      </c>
      <c r="BD393" s="7">
        <f>IF(Y393=1,AQ393+ROW()/1E9,-1E9)</f>
        <v/>
      </c>
      <c r="BE393" s="7">
        <f>IF(Y393=1,AQ393+ROW()/1E9,1E9)</f>
        <v/>
      </c>
    </row>
    <row r="394">
      <c r="A394" s="16" t="n"/>
      <c r="B394" s="8">
        <f>IF($A394="","",BDP($A394,B$3))</f>
        <v/>
      </c>
      <c r="C394" s="8">
        <f>IF($A394="","",BDP($A394,C$3))</f>
        <v/>
      </c>
      <c r="D394" s="28">
        <f>IF($A394="","",BDP($A394,D$3))</f>
        <v/>
      </c>
      <c r="E394" s="29">
        <f>IF($A394="","",BDP($A394,E$3))</f>
        <v/>
      </c>
      <c r="F394" s="17">
        <f>IF($A394="","",BDP($A394,F$3))</f>
        <v/>
      </c>
      <c r="G394" s="8">
        <f>IF($A394="","",BDP($A394,G$3))</f>
        <v/>
      </c>
      <c r="H394" s="8">
        <f>IF($A394="","",BDP($A394,H$3))</f>
        <v/>
      </c>
      <c r="I394" s="8">
        <f>IF($A394="","",BDP($A394,I$3))</f>
        <v/>
      </c>
      <c r="J394" s="8">
        <f>IF($A394="","",BDP($A394,J$3))</f>
        <v/>
      </c>
      <c r="K394" s="8">
        <f>IF($A394="","",BDP($A394,K$3))</f>
        <v/>
      </c>
      <c r="L394" s="28">
        <f>IF($A394="","",BDP($A394,L$3))</f>
        <v/>
      </c>
      <c r="M394" s="28">
        <f>IF($A394="","",BDP($A394,M$3))</f>
        <v/>
      </c>
      <c r="N394" s="30">
        <f>IF($A394="","",BDP($A394,N$3))</f>
        <v/>
      </c>
      <c r="O394" s="31">
        <f>IF($A394="","",BDP($A394,O$3))</f>
        <v/>
      </c>
      <c r="P394" s="30">
        <f>IF($A394="","",BDH($A394,$N$3,'參數'!$B$5,'參數'!$B$5,"Days=A","Fill=P","Dates=H"))</f>
        <v/>
      </c>
      <c r="Q394" s="30">
        <f>IF($A394="","",BDH($A394,$N$3,'參數'!$B$6,'參數'!$B$6,"Days=A","Fill=P","Dates=H"))</f>
        <v/>
      </c>
      <c r="R394" s="30">
        <f>IF($A394="","",BDH($A394,$N$3,'參數'!$B$7,'參數'!$B$7,"Days=A","Fill=P","Dates=H"))</f>
        <v/>
      </c>
      <c r="S394" s="32">
        <f>IF($A394="","",IFERROR(INDEX('發行人'!$A$5:$A$44,MATCH(B394,'發行人'!$D$5:$D$44,0)),"未對應"))</f>
        <v/>
      </c>
      <c r="T394" s="24">
        <f>IF($A394="","",IFERROR(INDEX('發行人'!$G$5:$G$44,MATCH(B394,'發行人'!$D$5:$D$44,0))+0,""))</f>
        <v/>
      </c>
      <c r="U394" s="18">
        <f>IF(ISNUMBER(E394),YEARFRAC('參數'!$B$4,E394),"")</f>
        <v/>
      </c>
      <c r="V394" s="8">
        <f>IF(U394="","",IF(U394&lt;3,"1-3y",IF(U394&lt;5,"3-5y",IF(U394&lt;7,"5-7y",IF(U394&lt;10,"7-10y","10y+")))))</f>
        <v/>
      </c>
      <c r="W394" s="30">
        <f>IF($A394="","",IFERROR(INDEX('參數'!$B$24:$B$45,MATCH(G394,'參數'!$A$24:$A$45,0)),""))</f>
        <v/>
      </c>
      <c r="X394" s="8">
        <f>IF($A394="","",IFERROR(INDEX('參數'!$C$24:$C$45,MATCH(G394,'參數'!$A$24:$A$45,0)),""))</f>
        <v/>
      </c>
      <c r="Y394" s="30">
        <f>IF(AND(ISNUMBER(N394),ISNUMBER(O394),ISNUMBER(U394)),IF(AND(O394&gt;0,X394&lt;&gt;""),1,0),0)</f>
        <v/>
      </c>
      <c r="Z394" s="17">
        <f>IF(Y394=1,O394*N394,"")</f>
        <v/>
      </c>
      <c r="AA394" s="33">
        <f>IF(Y394=1,IF(ISNUMBER(Q394),N394-Q394,""),"")</f>
        <v/>
      </c>
      <c r="AB394" s="33">
        <f>IF(Y394=1,IF(AND(ISNUMBER(P394),ISNUMBER(R394)),R394*5/12-O394*(P394-R394),""),"")</f>
        <v/>
      </c>
      <c r="AC394" s="30">
        <f>IF(Y394=1,COUNTIFS($X$5:$X$404,X394,$V$5:$V$404,V394,$Y$5:$Y$404,1),"")</f>
        <v/>
      </c>
      <c r="AD394" s="30">
        <f>IF(Y394=1,IFERROR(IF(AC394&gt;='參數'!$B$9,INDEX('分群統計'!$G$13:$K$16,MATCH(X394,'分群統計'!$A$13:$A$16,0),MATCH(V394,'分群統計'!$G$12:$K$12,0)),INDEX('分群統計'!$I$5:$I$8,MATCH(X394,'分群統計'!$A$5:$A$8,0))),""),"")</f>
        <v/>
      </c>
      <c r="AE394" s="18">
        <f>IF(Y394=1,IFERROR(IF(AC394&gt;='參數'!$B$9,INDEX('分群統計'!$L$13:$P$16,MATCH(X394,'分群統計'!$A$13:$A$16,0),MATCH(V394,'分群統計'!$L$12:$P$12,0)),INDEX('分群統計'!$J$5:$J$8,MATCH(X394,'分群統計'!$A$5:$A$8,0))),""),"")</f>
        <v/>
      </c>
      <c r="AF394" s="31">
        <f>IF(ISNUMBER(AE394),IF(AE394&gt;0,MAX(-3,MIN(3,(N394-AD394)/AE394)),0),"")</f>
        <v/>
      </c>
      <c r="AG394" s="30">
        <f>IF(Y394=1,COUNTIFS($B$5:$B$404,B394,$Y$5:$Y$404,1),"")</f>
        <v/>
      </c>
      <c r="AH394" s="30">
        <f>IF(Y394=1,IFERROR(IF(ISNUMBER(INDEX('分群統計'!$G$20:$G$59,MATCH(B394,'分群統計'!$A$20:$A$59,0))),INDEX('分群統計'!$H$20:$H$59,MATCH(B394,'分群統計'!$A$20:$A$59,0))+INDEX('分群統計'!$G$20:$G$59,MATCH(B394,'分群統計'!$A$20:$A$59,0))*AU394,""),""),"")</f>
        <v/>
      </c>
      <c r="AI394" s="34">
        <f>IF(ISNUMBER(AH394),N394-AH394,"")</f>
        <v/>
      </c>
      <c r="AJ394" s="30">
        <f>IF(Y394=1,IFERROR(IF(ISNUMBER(INDEX('分群統計'!$G$5:$G$8,MATCH(X394,'分群統計'!$A$5:$A$8,0))),INDEX('分群統計'!$H$5:$H$8,MATCH(X394,'分群統計'!$A$5:$A$8,0))+INDEX('分群統計'!$G$5:$G$8,MATCH(X394,'分群統計'!$A$5:$A$8,0))*AU394,""),""),"")</f>
        <v/>
      </c>
      <c r="AK394" s="34">
        <f>IF(ISNUMBER(AJ394),N394-AJ394,"")</f>
        <v/>
      </c>
      <c r="AL394" s="21">
        <f>IF(ISNUMBER(AJ394),IF(AJ394&gt;0,AK394/AJ394,""),"")</f>
        <v/>
      </c>
      <c r="AM394" s="31">
        <f>IF(AY394&lt;&gt;1,"",IFERROR(IF(INDEX('分群統計'!$K$5:$K$8,MATCH(X394,'分群統計'!$A$5:$A$8,0))&lt;3,"",IF(INDEX('分群統計'!$M$5:$M$8,MATCH(X394,'分群統計'!$A$5:$A$8,0))&gt;0,MAX(-3,MIN(3,(AX394-INDEX('分群統計'!$L$5:$L$8,MATCH(X394,'分群統計'!$A$5:$A$8,0)))/INDEX('分群統計'!$M$5:$M$8,MATCH(X394,'分群統計'!$A$5:$A$8,0)))),0)),""))</f>
        <v/>
      </c>
      <c r="AN394" s="31">
        <f>IF(ISNUMBER(AB394),IF(Z394&gt;0,AB394/Z394*100,""),"")</f>
        <v/>
      </c>
      <c r="AO394" s="31">
        <f>IF(BA394&lt;&gt;1,"",IFERROR(IF(INDEX('分群統計'!$N$5:$N$8,MATCH(X394,'分群統計'!$A$5:$A$8,0))&lt;3,"",IF(INDEX('分群統計'!$P$5:$P$8,MATCH(X394,'分群統計'!$A$5:$A$8,0))&gt;0,MAX(-3,MIN(3,(AZ394-INDEX('分群統計'!$O$5:$O$8,MATCH(X394,'分群統計'!$A$5:$A$8,0)))/INDEX('分群統計'!$P$5:$P$8,MATCH(X394,'分群統計'!$A$5:$A$8,0)))),0)),""))</f>
        <v/>
      </c>
      <c r="AP394" s="31">
        <f>IF(BC394&lt;&gt;1,"",IFERROR(IF(INDEX('分群統計'!$Q$5:$Q$8,MATCH(X394,'分群統計'!$A$5:$A$8,0))&lt;3,"",IF(INDEX('分群統計'!$S$5:$S$8,MATCH(X394,'分群統計'!$A$5:$A$8,0))&gt;0,MAX(-3,MIN(3,(BB394-INDEX('分群統計'!$R$5:$R$8,MATCH(X394,'分群統計'!$A$5:$A$8,0)))/INDEX('分群統計'!$S$5:$S$8,MATCH(X394,'分群統計'!$A$5:$A$8,0)))),0)),""))</f>
        <v/>
      </c>
      <c r="AQ394" s="31">
        <f>IF(Y394=1,(IF(ISNUMBER(AF394),AF394,0)*'參數'!$B$13+IF(ISNUMBER(AM394),AM394,0)*'參數'!$B$14+IF(ISNUMBER(AO394),AO394,0)*'參數'!$B$15+IF(ISNUMBER(AP394),AP394,0)*'參數'!$B$16)/('參數'!$B$13+'參數'!$B$14+'參數'!$B$15+'參數'!$B$16),"")</f>
        <v/>
      </c>
      <c r="AR394" s="35">
        <f>IF(Y394=1,(SUMPRODUCT(($X$5:$X$404=X394)*($Y$5:$Y$404=1)*($BD$5:$BD$404&gt;BD394))+1)/COUNTIFS($X$5:$X$404,X394,$Y$5:$Y$404,1),"")</f>
        <v/>
      </c>
      <c r="AS394" s="8">
        <f>IF(ISNUMBER(AR394),IF(AR394&lt;='參數'!$B$18,"加碼候選",IF(AR394&gt;'參數'!$B$19,"減碼候選","")),"")</f>
        <v/>
      </c>
      <c r="AT394" s="7">
        <f>IF(Y394=1,N394,0)</f>
        <v/>
      </c>
      <c r="AU394" s="7">
        <f>IF(Y394=1,LN(O394),0)</f>
        <v/>
      </c>
      <c r="AV394" s="36">
        <f>IF(Y394=1,IF(ISNUMBER(F394),F394,0),0)</f>
        <v/>
      </c>
      <c r="AW394" s="7">
        <f>IF(Y394=1,Z394,0)</f>
        <v/>
      </c>
      <c r="AX394" s="7">
        <f>IF(Y394=1,IF(ISNUMBER(AL394),AL394,0),0)</f>
        <v/>
      </c>
      <c r="AY394" s="7">
        <f>IF(Y394=1,IF(ISNUMBER(AL394),1,0),0)</f>
        <v/>
      </c>
      <c r="AZ394" s="7">
        <f>IF(Y394=1,IF(ISNUMBER(AN394),AN394,0),0)</f>
        <v/>
      </c>
      <c r="BA394" s="7">
        <f>IF(Y394=1,IF(ISNUMBER(AN394),1,0),0)</f>
        <v/>
      </c>
      <c r="BB394" s="7">
        <f>IF(Y394=1,IF(ISNUMBER(T394),T394,0),0)</f>
        <v/>
      </c>
      <c r="BC394" s="7">
        <f>IF(Y394=1,IF(ISNUMBER(T394),1,0),0)</f>
        <v/>
      </c>
      <c r="BD394" s="7">
        <f>IF(Y394=1,AQ394+ROW()/1E9,-1E9)</f>
        <v/>
      </c>
      <c r="BE394" s="7">
        <f>IF(Y394=1,AQ394+ROW()/1E9,1E9)</f>
        <v/>
      </c>
    </row>
    <row r="395">
      <c r="A395" s="16" t="n"/>
      <c r="B395" s="8">
        <f>IF($A395="","",BDP($A395,B$3))</f>
        <v/>
      </c>
      <c r="C395" s="8">
        <f>IF($A395="","",BDP($A395,C$3))</f>
        <v/>
      </c>
      <c r="D395" s="28">
        <f>IF($A395="","",BDP($A395,D$3))</f>
        <v/>
      </c>
      <c r="E395" s="29">
        <f>IF($A395="","",BDP($A395,E$3))</f>
        <v/>
      </c>
      <c r="F395" s="17">
        <f>IF($A395="","",BDP($A395,F$3))</f>
        <v/>
      </c>
      <c r="G395" s="8">
        <f>IF($A395="","",BDP($A395,G$3))</f>
        <v/>
      </c>
      <c r="H395" s="8">
        <f>IF($A395="","",BDP($A395,H$3))</f>
        <v/>
      </c>
      <c r="I395" s="8">
        <f>IF($A395="","",BDP($A395,I$3))</f>
        <v/>
      </c>
      <c r="J395" s="8">
        <f>IF($A395="","",BDP($A395,J$3))</f>
        <v/>
      </c>
      <c r="K395" s="8">
        <f>IF($A395="","",BDP($A395,K$3))</f>
        <v/>
      </c>
      <c r="L395" s="28">
        <f>IF($A395="","",BDP($A395,L$3))</f>
        <v/>
      </c>
      <c r="M395" s="28">
        <f>IF($A395="","",BDP($A395,M$3))</f>
        <v/>
      </c>
      <c r="N395" s="30">
        <f>IF($A395="","",BDP($A395,N$3))</f>
        <v/>
      </c>
      <c r="O395" s="31">
        <f>IF($A395="","",BDP($A395,O$3))</f>
        <v/>
      </c>
      <c r="P395" s="30">
        <f>IF($A395="","",BDH($A395,$N$3,'參數'!$B$5,'參數'!$B$5,"Days=A","Fill=P","Dates=H"))</f>
        <v/>
      </c>
      <c r="Q395" s="30">
        <f>IF($A395="","",BDH($A395,$N$3,'參數'!$B$6,'參數'!$B$6,"Days=A","Fill=P","Dates=H"))</f>
        <v/>
      </c>
      <c r="R395" s="30">
        <f>IF($A395="","",BDH($A395,$N$3,'參數'!$B$7,'參數'!$B$7,"Days=A","Fill=P","Dates=H"))</f>
        <v/>
      </c>
      <c r="S395" s="32">
        <f>IF($A395="","",IFERROR(INDEX('發行人'!$A$5:$A$44,MATCH(B395,'發行人'!$D$5:$D$44,0)),"未對應"))</f>
        <v/>
      </c>
      <c r="T395" s="24">
        <f>IF($A395="","",IFERROR(INDEX('發行人'!$G$5:$G$44,MATCH(B395,'發行人'!$D$5:$D$44,0))+0,""))</f>
        <v/>
      </c>
      <c r="U395" s="18">
        <f>IF(ISNUMBER(E395),YEARFRAC('參數'!$B$4,E395),"")</f>
        <v/>
      </c>
      <c r="V395" s="8">
        <f>IF(U395="","",IF(U395&lt;3,"1-3y",IF(U395&lt;5,"3-5y",IF(U395&lt;7,"5-7y",IF(U395&lt;10,"7-10y","10y+")))))</f>
        <v/>
      </c>
      <c r="W395" s="30">
        <f>IF($A395="","",IFERROR(INDEX('參數'!$B$24:$B$45,MATCH(G395,'參數'!$A$24:$A$45,0)),""))</f>
        <v/>
      </c>
      <c r="X395" s="8">
        <f>IF($A395="","",IFERROR(INDEX('參數'!$C$24:$C$45,MATCH(G395,'參數'!$A$24:$A$45,0)),""))</f>
        <v/>
      </c>
      <c r="Y395" s="30">
        <f>IF(AND(ISNUMBER(N395),ISNUMBER(O395),ISNUMBER(U395)),IF(AND(O395&gt;0,X395&lt;&gt;""),1,0),0)</f>
        <v/>
      </c>
      <c r="Z395" s="17">
        <f>IF(Y395=1,O395*N395,"")</f>
        <v/>
      </c>
      <c r="AA395" s="33">
        <f>IF(Y395=1,IF(ISNUMBER(Q395),N395-Q395,""),"")</f>
        <v/>
      </c>
      <c r="AB395" s="33">
        <f>IF(Y395=1,IF(AND(ISNUMBER(P395),ISNUMBER(R395)),R395*5/12-O395*(P395-R395),""),"")</f>
        <v/>
      </c>
      <c r="AC395" s="30">
        <f>IF(Y395=1,COUNTIFS($X$5:$X$404,X395,$V$5:$V$404,V395,$Y$5:$Y$404,1),"")</f>
        <v/>
      </c>
      <c r="AD395" s="30">
        <f>IF(Y395=1,IFERROR(IF(AC395&gt;='參數'!$B$9,INDEX('分群統計'!$G$13:$K$16,MATCH(X395,'分群統計'!$A$13:$A$16,0),MATCH(V395,'分群統計'!$G$12:$K$12,0)),INDEX('分群統計'!$I$5:$I$8,MATCH(X395,'分群統計'!$A$5:$A$8,0))),""),"")</f>
        <v/>
      </c>
      <c r="AE395" s="18">
        <f>IF(Y395=1,IFERROR(IF(AC395&gt;='參數'!$B$9,INDEX('分群統計'!$L$13:$P$16,MATCH(X395,'分群統計'!$A$13:$A$16,0),MATCH(V395,'分群統計'!$L$12:$P$12,0)),INDEX('分群統計'!$J$5:$J$8,MATCH(X395,'分群統計'!$A$5:$A$8,0))),""),"")</f>
        <v/>
      </c>
      <c r="AF395" s="31">
        <f>IF(ISNUMBER(AE395),IF(AE395&gt;0,MAX(-3,MIN(3,(N395-AD395)/AE395)),0),"")</f>
        <v/>
      </c>
      <c r="AG395" s="30">
        <f>IF(Y395=1,COUNTIFS($B$5:$B$404,B395,$Y$5:$Y$404,1),"")</f>
        <v/>
      </c>
      <c r="AH395" s="30">
        <f>IF(Y395=1,IFERROR(IF(ISNUMBER(INDEX('分群統計'!$G$20:$G$59,MATCH(B395,'分群統計'!$A$20:$A$59,0))),INDEX('分群統計'!$H$20:$H$59,MATCH(B395,'分群統計'!$A$20:$A$59,0))+INDEX('分群統計'!$G$20:$G$59,MATCH(B395,'分群統計'!$A$20:$A$59,0))*AU395,""),""),"")</f>
        <v/>
      </c>
      <c r="AI395" s="34">
        <f>IF(ISNUMBER(AH395),N395-AH395,"")</f>
        <v/>
      </c>
      <c r="AJ395" s="30">
        <f>IF(Y395=1,IFERROR(IF(ISNUMBER(INDEX('分群統計'!$G$5:$G$8,MATCH(X395,'分群統計'!$A$5:$A$8,0))),INDEX('分群統計'!$H$5:$H$8,MATCH(X395,'分群統計'!$A$5:$A$8,0))+INDEX('分群統計'!$G$5:$G$8,MATCH(X395,'分群統計'!$A$5:$A$8,0))*AU395,""),""),"")</f>
        <v/>
      </c>
      <c r="AK395" s="34">
        <f>IF(ISNUMBER(AJ395),N395-AJ395,"")</f>
        <v/>
      </c>
      <c r="AL395" s="21">
        <f>IF(ISNUMBER(AJ395),IF(AJ395&gt;0,AK395/AJ395,""),"")</f>
        <v/>
      </c>
      <c r="AM395" s="31">
        <f>IF(AY395&lt;&gt;1,"",IFERROR(IF(INDEX('分群統計'!$K$5:$K$8,MATCH(X395,'分群統計'!$A$5:$A$8,0))&lt;3,"",IF(INDEX('分群統計'!$M$5:$M$8,MATCH(X395,'分群統計'!$A$5:$A$8,0))&gt;0,MAX(-3,MIN(3,(AX395-INDEX('分群統計'!$L$5:$L$8,MATCH(X395,'分群統計'!$A$5:$A$8,0)))/INDEX('分群統計'!$M$5:$M$8,MATCH(X395,'分群統計'!$A$5:$A$8,0)))),0)),""))</f>
        <v/>
      </c>
      <c r="AN395" s="31">
        <f>IF(ISNUMBER(AB395),IF(Z395&gt;0,AB395/Z395*100,""),"")</f>
        <v/>
      </c>
      <c r="AO395" s="31">
        <f>IF(BA395&lt;&gt;1,"",IFERROR(IF(INDEX('分群統計'!$N$5:$N$8,MATCH(X395,'分群統計'!$A$5:$A$8,0))&lt;3,"",IF(INDEX('分群統計'!$P$5:$P$8,MATCH(X395,'分群統計'!$A$5:$A$8,0))&gt;0,MAX(-3,MIN(3,(AZ395-INDEX('分群統計'!$O$5:$O$8,MATCH(X395,'分群統計'!$A$5:$A$8,0)))/INDEX('分群統計'!$P$5:$P$8,MATCH(X395,'分群統計'!$A$5:$A$8,0)))),0)),""))</f>
        <v/>
      </c>
      <c r="AP395" s="31">
        <f>IF(BC395&lt;&gt;1,"",IFERROR(IF(INDEX('分群統計'!$Q$5:$Q$8,MATCH(X395,'分群統計'!$A$5:$A$8,0))&lt;3,"",IF(INDEX('分群統計'!$S$5:$S$8,MATCH(X395,'分群統計'!$A$5:$A$8,0))&gt;0,MAX(-3,MIN(3,(BB395-INDEX('分群統計'!$R$5:$R$8,MATCH(X395,'分群統計'!$A$5:$A$8,0)))/INDEX('分群統計'!$S$5:$S$8,MATCH(X395,'分群統計'!$A$5:$A$8,0)))),0)),""))</f>
        <v/>
      </c>
      <c r="AQ395" s="31">
        <f>IF(Y395=1,(IF(ISNUMBER(AF395),AF395,0)*'參數'!$B$13+IF(ISNUMBER(AM395),AM395,0)*'參數'!$B$14+IF(ISNUMBER(AO395),AO395,0)*'參數'!$B$15+IF(ISNUMBER(AP395),AP395,0)*'參數'!$B$16)/('參數'!$B$13+'參數'!$B$14+'參數'!$B$15+'參數'!$B$16),"")</f>
        <v/>
      </c>
      <c r="AR395" s="35">
        <f>IF(Y395=1,(SUMPRODUCT(($X$5:$X$404=X395)*($Y$5:$Y$404=1)*($BD$5:$BD$404&gt;BD395))+1)/COUNTIFS($X$5:$X$404,X395,$Y$5:$Y$404,1),"")</f>
        <v/>
      </c>
      <c r="AS395" s="8">
        <f>IF(ISNUMBER(AR395),IF(AR395&lt;='參數'!$B$18,"加碼候選",IF(AR395&gt;'參數'!$B$19,"減碼候選","")),"")</f>
        <v/>
      </c>
      <c r="AT395" s="7">
        <f>IF(Y395=1,N395,0)</f>
        <v/>
      </c>
      <c r="AU395" s="7">
        <f>IF(Y395=1,LN(O395),0)</f>
        <v/>
      </c>
      <c r="AV395" s="36">
        <f>IF(Y395=1,IF(ISNUMBER(F395),F395,0),0)</f>
        <v/>
      </c>
      <c r="AW395" s="7">
        <f>IF(Y395=1,Z395,0)</f>
        <v/>
      </c>
      <c r="AX395" s="7">
        <f>IF(Y395=1,IF(ISNUMBER(AL395),AL395,0),0)</f>
        <v/>
      </c>
      <c r="AY395" s="7">
        <f>IF(Y395=1,IF(ISNUMBER(AL395),1,0),0)</f>
        <v/>
      </c>
      <c r="AZ395" s="7">
        <f>IF(Y395=1,IF(ISNUMBER(AN395),AN395,0),0)</f>
        <v/>
      </c>
      <c r="BA395" s="7">
        <f>IF(Y395=1,IF(ISNUMBER(AN395),1,0),0)</f>
        <v/>
      </c>
      <c r="BB395" s="7">
        <f>IF(Y395=1,IF(ISNUMBER(T395),T395,0),0)</f>
        <v/>
      </c>
      <c r="BC395" s="7">
        <f>IF(Y395=1,IF(ISNUMBER(T395),1,0),0)</f>
        <v/>
      </c>
      <c r="BD395" s="7">
        <f>IF(Y395=1,AQ395+ROW()/1E9,-1E9)</f>
        <v/>
      </c>
      <c r="BE395" s="7">
        <f>IF(Y395=1,AQ395+ROW()/1E9,1E9)</f>
        <v/>
      </c>
    </row>
    <row r="396">
      <c r="A396" s="16" t="n"/>
      <c r="B396" s="8">
        <f>IF($A396="","",BDP($A396,B$3))</f>
        <v/>
      </c>
      <c r="C396" s="8">
        <f>IF($A396="","",BDP($A396,C$3))</f>
        <v/>
      </c>
      <c r="D396" s="28">
        <f>IF($A396="","",BDP($A396,D$3))</f>
        <v/>
      </c>
      <c r="E396" s="29">
        <f>IF($A396="","",BDP($A396,E$3))</f>
        <v/>
      </c>
      <c r="F396" s="17">
        <f>IF($A396="","",BDP($A396,F$3))</f>
        <v/>
      </c>
      <c r="G396" s="8">
        <f>IF($A396="","",BDP($A396,G$3))</f>
        <v/>
      </c>
      <c r="H396" s="8">
        <f>IF($A396="","",BDP($A396,H$3))</f>
        <v/>
      </c>
      <c r="I396" s="8">
        <f>IF($A396="","",BDP($A396,I$3))</f>
        <v/>
      </c>
      <c r="J396" s="8">
        <f>IF($A396="","",BDP($A396,J$3))</f>
        <v/>
      </c>
      <c r="K396" s="8">
        <f>IF($A396="","",BDP($A396,K$3))</f>
        <v/>
      </c>
      <c r="L396" s="28">
        <f>IF($A396="","",BDP($A396,L$3))</f>
        <v/>
      </c>
      <c r="M396" s="28">
        <f>IF($A396="","",BDP($A396,M$3))</f>
        <v/>
      </c>
      <c r="N396" s="30">
        <f>IF($A396="","",BDP($A396,N$3))</f>
        <v/>
      </c>
      <c r="O396" s="31">
        <f>IF($A396="","",BDP($A396,O$3))</f>
        <v/>
      </c>
      <c r="P396" s="30">
        <f>IF($A396="","",BDH($A396,$N$3,'參數'!$B$5,'參數'!$B$5,"Days=A","Fill=P","Dates=H"))</f>
        <v/>
      </c>
      <c r="Q396" s="30">
        <f>IF($A396="","",BDH($A396,$N$3,'參數'!$B$6,'參數'!$B$6,"Days=A","Fill=P","Dates=H"))</f>
        <v/>
      </c>
      <c r="R396" s="30">
        <f>IF($A396="","",BDH($A396,$N$3,'參數'!$B$7,'參數'!$B$7,"Days=A","Fill=P","Dates=H"))</f>
        <v/>
      </c>
      <c r="S396" s="32">
        <f>IF($A396="","",IFERROR(INDEX('發行人'!$A$5:$A$44,MATCH(B396,'發行人'!$D$5:$D$44,0)),"未對應"))</f>
        <v/>
      </c>
      <c r="T396" s="24">
        <f>IF($A396="","",IFERROR(INDEX('發行人'!$G$5:$G$44,MATCH(B396,'發行人'!$D$5:$D$44,0))+0,""))</f>
        <v/>
      </c>
      <c r="U396" s="18">
        <f>IF(ISNUMBER(E396),YEARFRAC('參數'!$B$4,E396),"")</f>
        <v/>
      </c>
      <c r="V396" s="8">
        <f>IF(U396="","",IF(U396&lt;3,"1-3y",IF(U396&lt;5,"3-5y",IF(U396&lt;7,"5-7y",IF(U396&lt;10,"7-10y","10y+")))))</f>
        <v/>
      </c>
      <c r="W396" s="30">
        <f>IF($A396="","",IFERROR(INDEX('參數'!$B$24:$B$45,MATCH(G396,'參數'!$A$24:$A$45,0)),""))</f>
        <v/>
      </c>
      <c r="X396" s="8">
        <f>IF($A396="","",IFERROR(INDEX('參數'!$C$24:$C$45,MATCH(G396,'參數'!$A$24:$A$45,0)),""))</f>
        <v/>
      </c>
      <c r="Y396" s="30">
        <f>IF(AND(ISNUMBER(N396),ISNUMBER(O396),ISNUMBER(U396)),IF(AND(O396&gt;0,X396&lt;&gt;""),1,0),0)</f>
        <v/>
      </c>
      <c r="Z396" s="17">
        <f>IF(Y396=1,O396*N396,"")</f>
        <v/>
      </c>
      <c r="AA396" s="33">
        <f>IF(Y396=1,IF(ISNUMBER(Q396),N396-Q396,""),"")</f>
        <v/>
      </c>
      <c r="AB396" s="33">
        <f>IF(Y396=1,IF(AND(ISNUMBER(P396),ISNUMBER(R396)),R396*5/12-O396*(P396-R396),""),"")</f>
        <v/>
      </c>
      <c r="AC396" s="30">
        <f>IF(Y396=1,COUNTIFS($X$5:$X$404,X396,$V$5:$V$404,V396,$Y$5:$Y$404,1),"")</f>
        <v/>
      </c>
      <c r="AD396" s="30">
        <f>IF(Y396=1,IFERROR(IF(AC396&gt;='參數'!$B$9,INDEX('分群統計'!$G$13:$K$16,MATCH(X396,'分群統計'!$A$13:$A$16,0),MATCH(V396,'分群統計'!$G$12:$K$12,0)),INDEX('分群統計'!$I$5:$I$8,MATCH(X396,'分群統計'!$A$5:$A$8,0))),""),"")</f>
        <v/>
      </c>
      <c r="AE396" s="18">
        <f>IF(Y396=1,IFERROR(IF(AC396&gt;='參數'!$B$9,INDEX('分群統計'!$L$13:$P$16,MATCH(X396,'分群統計'!$A$13:$A$16,0),MATCH(V396,'分群統計'!$L$12:$P$12,0)),INDEX('分群統計'!$J$5:$J$8,MATCH(X396,'分群統計'!$A$5:$A$8,0))),""),"")</f>
        <v/>
      </c>
      <c r="AF396" s="31">
        <f>IF(ISNUMBER(AE396),IF(AE396&gt;0,MAX(-3,MIN(3,(N396-AD396)/AE396)),0),"")</f>
        <v/>
      </c>
      <c r="AG396" s="30">
        <f>IF(Y396=1,COUNTIFS($B$5:$B$404,B396,$Y$5:$Y$404,1),"")</f>
        <v/>
      </c>
      <c r="AH396" s="30">
        <f>IF(Y396=1,IFERROR(IF(ISNUMBER(INDEX('分群統計'!$G$20:$G$59,MATCH(B396,'分群統計'!$A$20:$A$59,0))),INDEX('分群統計'!$H$20:$H$59,MATCH(B396,'分群統計'!$A$20:$A$59,0))+INDEX('分群統計'!$G$20:$G$59,MATCH(B396,'分群統計'!$A$20:$A$59,0))*AU396,""),""),"")</f>
        <v/>
      </c>
      <c r="AI396" s="34">
        <f>IF(ISNUMBER(AH396),N396-AH396,"")</f>
        <v/>
      </c>
      <c r="AJ396" s="30">
        <f>IF(Y396=1,IFERROR(IF(ISNUMBER(INDEX('分群統計'!$G$5:$G$8,MATCH(X396,'分群統計'!$A$5:$A$8,0))),INDEX('分群統計'!$H$5:$H$8,MATCH(X396,'分群統計'!$A$5:$A$8,0))+INDEX('分群統計'!$G$5:$G$8,MATCH(X396,'分群統計'!$A$5:$A$8,0))*AU396,""),""),"")</f>
        <v/>
      </c>
      <c r="AK396" s="34">
        <f>IF(ISNUMBER(AJ396),N396-AJ396,"")</f>
        <v/>
      </c>
      <c r="AL396" s="21">
        <f>IF(ISNUMBER(AJ396),IF(AJ396&gt;0,AK396/AJ396,""),"")</f>
        <v/>
      </c>
      <c r="AM396" s="31">
        <f>IF(AY396&lt;&gt;1,"",IFERROR(IF(INDEX('分群統計'!$K$5:$K$8,MATCH(X396,'分群統計'!$A$5:$A$8,0))&lt;3,"",IF(INDEX('分群統計'!$M$5:$M$8,MATCH(X396,'分群統計'!$A$5:$A$8,0))&gt;0,MAX(-3,MIN(3,(AX396-INDEX('分群統計'!$L$5:$L$8,MATCH(X396,'分群統計'!$A$5:$A$8,0)))/INDEX('分群統計'!$M$5:$M$8,MATCH(X396,'分群統計'!$A$5:$A$8,0)))),0)),""))</f>
        <v/>
      </c>
      <c r="AN396" s="31">
        <f>IF(ISNUMBER(AB396),IF(Z396&gt;0,AB396/Z396*100,""),"")</f>
        <v/>
      </c>
      <c r="AO396" s="31">
        <f>IF(BA396&lt;&gt;1,"",IFERROR(IF(INDEX('分群統計'!$N$5:$N$8,MATCH(X396,'分群統計'!$A$5:$A$8,0))&lt;3,"",IF(INDEX('分群統計'!$P$5:$P$8,MATCH(X396,'分群統計'!$A$5:$A$8,0))&gt;0,MAX(-3,MIN(3,(AZ396-INDEX('分群統計'!$O$5:$O$8,MATCH(X396,'分群統計'!$A$5:$A$8,0)))/INDEX('分群統計'!$P$5:$P$8,MATCH(X396,'分群統計'!$A$5:$A$8,0)))),0)),""))</f>
        <v/>
      </c>
      <c r="AP396" s="31">
        <f>IF(BC396&lt;&gt;1,"",IFERROR(IF(INDEX('分群統計'!$Q$5:$Q$8,MATCH(X396,'分群統計'!$A$5:$A$8,0))&lt;3,"",IF(INDEX('分群統計'!$S$5:$S$8,MATCH(X396,'分群統計'!$A$5:$A$8,0))&gt;0,MAX(-3,MIN(3,(BB396-INDEX('分群統計'!$R$5:$R$8,MATCH(X396,'分群統計'!$A$5:$A$8,0)))/INDEX('分群統計'!$S$5:$S$8,MATCH(X396,'分群統計'!$A$5:$A$8,0)))),0)),""))</f>
        <v/>
      </c>
      <c r="AQ396" s="31">
        <f>IF(Y396=1,(IF(ISNUMBER(AF396),AF396,0)*'參數'!$B$13+IF(ISNUMBER(AM396),AM396,0)*'參數'!$B$14+IF(ISNUMBER(AO396),AO396,0)*'參數'!$B$15+IF(ISNUMBER(AP396),AP396,0)*'參數'!$B$16)/('參數'!$B$13+'參數'!$B$14+'參數'!$B$15+'參數'!$B$16),"")</f>
        <v/>
      </c>
      <c r="AR396" s="35">
        <f>IF(Y396=1,(SUMPRODUCT(($X$5:$X$404=X396)*($Y$5:$Y$404=1)*($BD$5:$BD$404&gt;BD396))+1)/COUNTIFS($X$5:$X$404,X396,$Y$5:$Y$404,1),"")</f>
        <v/>
      </c>
      <c r="AS396" s="8">
        <f>IF(ISNUMBER(AR396),IF(AR396&lt;='參數'!$B$18,"加碼候選",IF(AR396&gt;'參數'!$B$19,"減碼候選","")),"")</f>
        <v/>
      </c>
      <c r="AT396" s="7">
        <f>IF(Y396=1,N396,0)</f>
        <v/>
      </c>
      <c r="AU396" s="7">
        <f>IF(Y396=1,LN(O396),0)</f>
        <v/>
      </c>
      <c r="AV396" s="36">
        <f>IF(Y396=1,IF(ISNUMBER(F396),F396,0),0)</f>
        <v/>
      </c>
      <c r="AW396" s="7">
        <f>IF(Y396=1,Z396,0)</f>
        <v/>
      </c>
      <c r="AX396" s="7">
        <f>IF(Y396=1,IF(ISNUMBER(AL396),AL396,0),0)</f>
        <v/>
      </c>
      <c r="AY396" s="7">
        <f>IF(Y396=1,IF(ISNUMBER(AL396),1,0),0)</f>
        <v/>
      </c>
      <c r="AZ396" s="7">
        <f>IF(Y396=1,IF(ISNUMBER(AN396),AN396,0),0)</f>
        <v/>
      </c>
      <c r="BA396" s="7">
        <f>IF(Y396=1,IF(ISNUMBER(AN396),1,0),0)</f>
        <v/>
      </c>
      <c r="BB396" s="7">
        <f>IF(Y396=1,IF(ISNUMBER(T396),T396,0),0)</f>
        <v/>
      </c>
      <c r="BC396" s="7">
        <f>IF(Y396=1,IF(ISNUMBER(T396),1,0),0)</f>
        <v/>
      </c>
      <c r="BD396" s="7">
        <f>IF(Y396=1,AQ396+ROW()/1E9,-1E9)</f>
        <v/>
      </c>
      <c r="BE396" s="7">
        <f>IF(Y396=1,AQ396+ROW()/1E9,1E9)</f>
        <v/>
      </c>
    </row>
    <row r="397">
      <c r="A397" s="16" t="n"/>
      <c r="B397" s="8">
        <f>IF($A397="","",BDP($A397,B$3))</f>
        <v/>
      </c>
      <c r="C397" s="8">
        <f>IF($A397="","",BDP($A397,C$3))</f>
        <v/>
      </c>
      <c r="D397" s="28">
        <f>IF($A397="","",BDP($A397,D$3))</f>
        <v/>
      </c>
      <c r="E397" s="29">
        <f>IF($A397="","",BDP($A397,E$3))</f>
        <v/>
      </c>
      <c r="F397" s="17">
        <f>IF($A397="","",BDP($A397,F$3))</f>
        <v/>
      </c>
      <c r="G397" s="8">
        <f>IF($A397="","",BDP($A397,G$3))</f>
        <v/>
      </c>
      <c r="H397" s="8">
        <f>IF($A397="","",BDP($A397,H$3))</f>
        <v/>
      </c>
      <c r="I397" s="8">
        <f>IF($A397="","",BDP($A397,I$3))</f>
        <v/>
      </c>
      <c r="J397" s="8">
        <f>IF($A397="","",BDP($A397,J$3))</f>
        <v/>
      </c>
      <c r="K397" s="8">
        <f>IF($A397="","",BDP($A397,K$3))</f>
        <v/>
      </c>
      <c r="L397" s="28">
        <f>IF($A397="","",BDP($A397,L$3))</f>
        <v/>
      </c>
      <c r="M397" s="28">
        <f>IF($A397="","",BDP($A397,M$3))</f>
        <v/>
      </c>
      <c r="N397" s="30">
        <f>IF($A397="","",BDP($A397,N$3))</f>
        <v/>
      </c>
      <c r="O397" s="31">
        <f>IF($A397="","",BDP($A397,O$3))</f>
        <v/>
      </c>
      <c r="P397" s="30">
        <f>IF($A397="","",BDH($A397,$N$3,'參數'!$B$5,'參數'!$B$5,"Days=A","Fill=P","Dates=H"))</f>
        <v/>
      </c>
      <c r="Q397" s="30">
        <f>IF($A397="","",BDH($A397,$N$3,'參數'!$B$6,'參數'!$B$6,"Days=A","Fill=P","Dates=H"))</f>
        <v/>
      </c>
      <c r="R397" s="30">
        <f>IF($A397="","",BDH($A397,$N$3,'參數'!$B$7,'參數'!$B$7,"Days=A","Fill=P","Dates=H"))</f>
        <v/>
      </c>
      <c r="S397" s="32">
        <f>IF($A397="","",IFERROR(INDEX('發行人'!$A$5:$A$44,MATCH(B397,'發行人'!$D$5:$D$44,0)),"未對應"))</f>
        <v/>
      </c>
      <c r="T397" s="24">
        <f>IF($A397="","",IFERROR(INDEX('發行人'!$G$5:$G$44,MATCH(B397,'發行人'!$D$5:$D$44,0))+0,""))</f>
        <v/>
      </c>
      <c r="U397" s="18">
        <f>IF(ISNUMBER(E397),YEARFRAC('參數'!$B$4,E397),"")</f>
        <v/>
      </c>
      <c r="V397" s="8">
        <f>IF(U397="","",IF(U397&lt;3,"1-3y",IF(U397&lt;5,"3-5y",IF(U397&lt;7,"5-7y",IF(U397&lt;10,"7-10y","10y+")))))</f>
        <v/>
      </c>
      <c r="W397" s="30">
        <f>IF($A397="","",IFERROR(INDEX('參數'!$B$24:$B$45,MATCH(G397,'參數'!$A$24:$A$45,0)),""))</f>
        <v/>
      </c>
      <c r="X397" s="8">
        <f>IF($A397="","",IFERROR(INDEX('參數'!$C$24:$C$45,MATCH(G397,'參數'!$A$24:$A$45,0)),""))</f>
        <v/>
      </c>
      <c r="Y397" s="30">
        <f>IF(AND(ISNUMBER(N397),ISNUMBER(O397),ISNUMBER(U397)),IF(AND(O397&gt;0,X397&lt;&gt;""),1,0),0)</f>
        <v/>
      </c>
      <c r="Z397" s="17">
        <f>IF(Y397=1,O397*N397,"")</f>
        <v/>
      </c>
      <c r="AA397" s="33">
        <f>IF(Y397=1,IF(ISNUMBER(Q397),N397-Q397,""),"")</f>
        <v/>
      </c>
      <c r="AB397" s="33">
        <f>IF(Y397=1,IF(AND(ISNUMBER(P397),ISNUMBER(R397)),R397*5/12-O397*(P397-R397),""),"")</f>
        <v/>
      </c>
      <c r="AC397" s="30">
        <f>IF(Y397=1,COUNTIFS($X$5:$X$404,X397,$V$5:$V$404,V397,$Y$5:$Y$404,1),"")</f>
        <v/>
      </c>
      <c r="AD397" s="30">
        <f>IF(Y397=1,IFERROR(IF(AC397&gt;='參數'!$B$9,INDEX('分群統計'!$G$13:$K$16,MATCH(X397,'分群統計'!$A$13:$A$16,0),MATCH(V397,'分群統計'!$G$12:$K$12,0)),INDEX('分群統計'!$I$5:$I$8,MATCH(X397,'分群統計'!$A$5:$A$8,0))),""),"")</f>
        <v/>
      </c>
      <c r="AE397" s="18">
        <f>IF(Y397=1,IFERROR(IF(AC397&gt;='參數'!$B$9,INDEX('分群統計'!$L$13:$P$16,MATCH(X397,'分群統計'!$A$13:$A$16,0),MATCH(V397,'分群統計'!$L$12:$P$12,0)),INDEX('分群統計'!$J$5:$J$8,MATCH(X397,'分群統計'!$A$5:$A$8,0))),""),"")</f>
        <v/>
      </c>
      <c r="AF397" s="31">
        <f>IF(ISNUMBER(AE397),IF(AE397&gt;0,MAX(-3,MIN(3,(N397-AD397)/AE397)),0),"")</f>
        <v/>
      </c>
      <c r="AG397" s="30">
        <f>IF(Y397=1,COUNTIFS($B$5:$B$404,B397,$Y$5:$Y$404,1),"")</f>
        <v/>
      </c>
      <c r="AH397" s="30">
        <f>IF(Y397=1,IFERROR(IF(ISNUMBER(INDEX('分群統計'!$G$20:$G$59,MATCH(B397,'分群統計'!$A$20:$A$59,0))),INDEX('分群統計'!$H$20:$H$59,MATCH(B397,'分群統計'!$A$20:$A$59,0))+INDEX('分群統計'!$G$20:$G$59,MATCH(B397,'分群統計'!$A$20:$A$59,0))*AU397,""),""),"")</f>
        <v/>
      </c>
      <c r="AI397" s="34">
        <f>IF(ISNUMBER(AH397),N397-AH397,"")</f>
        <v/>
      </c>
      <c r="AJ397" s="30">
        <f>IF(Y397=1,IFERROR(IF(ISNUMBER(INDEX('分群統計'!$G$5:$G$8,MATCH(X397,'分群統計'!$A$5:$A$8,0))),INDEX('分群統計'!$H$5:$H$8,MATCH(X397,'分群統計'!$A$5:$A$8,0))+INDEX('分群統計'!$G$5:$G$8,MATCH(X397,'分群統計'!$A$5:$A$8,0))*AU397,""),""),"")</f>
        <v/>
      </c>
      <c r="AK397" s="34">
        <f>IF(ISNUMBER(AJ397),N397-AJ397,"")</f>
        <v/>
      </c>
      <c r="AL397" s="21">
        <f>IF(ISNUMBER(AJ397),IF(AJ397&gt;0,AK397/AJ397,""),"")</f>
        <v/>
      </c>
      <c r="AM397" s="31">
        <f>IF(AY397&lt;&gt;1,"",IFERROR(IF(INDEX('分群統計'!$K$5:$K$8,MATCH(X397,'分群統計'!$A$5:$A$8,0))&lt;3,"",IF(INDEX('分群統計'!$M$5:$M$8,MATCH(X397,'分群統計'!$A$5:$A$8,0))&gt;0,MAX(-3,MIN(3,(AX397-INDEX('分群統計'!$L$5:$L$8,MATCH(X397,'分群統計'!$A$5:$A$8,0)))/INDEX('分群統計'!$M$5:$M$8,MATCH(X397,'分群統計'!$A$5:$A$8,0)))),0)),""))</f>
        <v/>
      </c>
      <c r="AN397" s="31">
        <f>IF(ISNUMBER(AB397),IF(Z397&gt;0,AB397/Z397*100,""),"")</f>
        <v/>
      </c>
      <c r="AO397" s="31">
        <f>IF(BA397&lt;&gt;1,"",IFERROR(IF(INDEX('分群統計'!$N$5:$N$8,MATCH(X397,'分群統計'!$A$5:$A$8,0))&lt;3,"",IF(INDEX('分群統計'!$P$5:$P$8,MATCH(X397,'分群統計'!$A$5:$A$8,0))&gt;0,MAX(-3,MIN(3,(AZ397-INDEX('分群統計'!$O$5:$O$8,MATCH(X397,'分群統計'!$A$5:$A$8,0)))/INDEX('分群統計'!$P$5:$P$8,MATCH(X397,'分群統計'!$A$5:$A$8,0)))),0)),""))</f>
        <v/>
      </c>
      <c r="AP397" s="31">
        <f>IF(BC397&lt;&gt;1,"",IFERROR(IF(INDEX('分群統計'!$Q$5:$Q$8,MATCH(X397,'分群統計'!$A$5:$A$8,0))&lt;3,"",IF(INDEX('分群統計'!$S$5:$S$8,MATCH(X397,'分群統計'!$A$5:$A$8,0))&gt;0,MAX(-3,MIN(3,(BB397-INDEX('分群統計'!$R$5:$R$8,MATCH(X397,'分群統計'!$A$5:$A$8,0)))/INDEX('分群統計'!$S$5:$S$8,MATCH(X397,'分群統計'!$A$5:$A$8,0)))),0)),""))</f>
        <v/>
      </c>
      <c r="AQ397" s="31">
        <f>IF(Y397=1,(IF(ISNUMBER(AF397),AF397,0)*'參數'!$B$13+IF(ISNUMBER(AM397),AM397,0)*'參數'!$B$14+IF(ISNUMBER(AO397),AO397,0)*'參數'!$B$15+IF(ISNUMBER(AP397),AP397,0)*'參數'!$B$16)/('參數'!$B$13+'參數'!$B$14+'參數'!$B$15+'參數'!$B$16),"")</f>
        <v/>
      </c>
      <c r="AR397" s="35">
        <f>IF(Y397=1,(SUMPRODUCT(($X$5:$X$404=X397)*($Y$5:$Y$404=1)*($BD$5:$BD$404&gt;BD397))+1)/COUNTIFS($X$5:$X$404,X397,$Y$5:$Y$404,1),"")</f>
        <v/>
      </c>
      <c r="AS397" s="8">
        <f>IF(ISNUMBER(AR397),IF(AR397&lt;='參數'!$B$18,"加碼候選",IF(AR397&gt;'參數'!$B$19,"減碼候選","")),"")</f>
        <v/>
      </c>
      <c r="AT397" s="7">
        <f>IF(Y397=1,N397,0)</f>
        <v/>
      </c>
      <c r="AU397" s="7">
        <f>IF(Y397=1,LN(O397),0)</f>
        <v/>
      </c>
      <c r="AV397" s="36">
        <f>IF(Y397=1,IF(ISNUMBER(F397),F397,0),0)</f>
        <v/>
      </c>
      <c r="AW397" s="7">
        <f>IF(Y397=1,Z397,0)</f>
        <v/>
      </c>
      <c r="AX397" s="7">
        <f>IF(Y397=1,IF(ISNUMBER(AL397),AL397,0),0)</f>
        <v/>
      </c>
      <c r="AY397" s="7">
        <f>IF(Y397=1,IF(ISNUMBER(AL397),1,0),0)</f>
        <v/>
      </c>
      <c r="AZ397" s="7">
        <f>IF(Y397=1,IF(ISNUMBER(AN397),AN397,0),0)</f>
        <v/>
      </c>
      <c r="BA397" s="7">
        <f>IF(Y397=1,IF(ISNUMBER(AN397),1,0),0)</f>
        <v/>
      </c>
      <c r="BB397" s="7">
        <f>IF(Y397=1,IF(ISNUMBER(T397),T397,0),0)</f>
        <v/>
      </c>
      <c r="BC397" s="7">
        <f>IF(Y397=1,IF(ISNUMBER(T397),1,0),0)</f>
        <v/>
      </c>
      <c r="BD397" s="7">
        <f>IF(Y397=1,AQ397+ROW()/1E9,-1E9)</f>
        <v/>
      </c>
      <c r="BE397" s="7">
        <f>IF(Y397=1,AQ397+ROW()/1E9,1E9)</f>
        <v/>
      </c>
    </row>
    <row r="398">
      <c r="A398" s="16" t="n"/>
      <c r="B398" s="8">
        <f>IF($A398="","",BDP($A398,B$3))</f>
        <v/>
      </c>
      <c r="C398" s="8">
        <f>IF($A398="","",BDP($A398,C$3))</f>
        <v/>
      </c>
      <c r="D398" s="28">
        <f>IF($A398="","",BDP($A398,D$3))</f>
        <v/>
      </c>
      <c r="E398" s="29">
        <f>IF($A398="","",BDP($A398,E$3))</f>
        <v/>
      </c>
      <c r="F398" s="17">
        <f>IF($A398="","",BDP($A398,F$3))</f>
        <v/>
      </c>
      <c r="G398" s="8">
        <f>IF($A398="","",BDP($A398,G$3))</f>
        <v/>
      </c>
      <c r="H398" s="8">
        <f>IF($A398="","",BDP($A398,H$3))</f>
        <v/>
      </c>
      <c r="I398" s="8">
        <f>IF($A398="","",BDP($A398,I$3))</f>
        <v/>
      </c>
      <c r="J398" s="8">
        <f>IF($A398="","",BDP($A398,J$3))</f>
        <v/>
      </c>
      <c r="K398" s="8">
        <f>IF($A398="","",BDP($A398,K$3))</f>
        <v/>
      </c>
      <c r="L398" s="28">
        <f>IF($A398="","",BDP($A398,L$3))</f>
        <v/>
      </c>
      <c r="M398" s="28">
        <f>IF($A398="","",BDP($A398,M$3))</f>
        <v/>
      </c>
      <c r="N398" s="30">
        <f>IF($A398="","",BDP($A398,N$3))</f>
        <v/>
      </c>
      <c r="O398" s="31">
        <f>IF($A398="","",BDP($A398,O$3))</f>
        <v/>
      </c>
      <c r="P398" s="30">
        <f>IF($A398="","",BDH($A398,$N$3,'參數'!$B$5,'參數'!$B$5,"Days=A","Fill=P","Dates=H"))</f>
        <v/>
      </c>
      <c r="Q398" s="30">
        <f>IF($A398="","",BDH($A398,$N$3,'參數'!$B$6,'參數'!$B$6,"Days=A","Fill=P","Dates=H"))</f>
        <v/>
      </c>
      <c r="R398" s="30">
        <f>IF($A398="","",BDH($A398,$N$3,'參數'!$B$7,'參數'!$B$7,"Days=A","Fill=P","Dates=H"))</f>
        <v/>
      </c>
      <c r="S398" s="32">
        <f>IF($A398="","",IFERROR(INDEX('發行人'!$A$5:$A$44,MATCH(B398,'發行人'!$D$5:$D$44,0)),"未對應"))</f>
        <v/>
      </c>
      <c r="T398" s="24">
        <f>IF($A398="","",IFERROR(INDEX('發行人'!$G$5:$G$44,MATCH(B398,'發行人'!$D$5:$D$44,0))+0,""))</f>
        <v/>
      </c>
      <c r="U398" s="18">
        <f>IF(ISNUMBER(E398),YEARFRAC('參數'!$B$4,E398),"")</f>
        <v/>
      </c>
      <c r="V398" s="8">
        <f>IF(U398="","",IF(U398&lt;3,"1-3y",IF(U398&lt;5,"3-5y",IF(U398&lt;7,"5-7y",IF(U398&lt;10,"7-10y","10y+")))))</f>
        <v/>
      </c>
      <c r="W398" s="30">
        <f>IF($A398="","",IFERROR(INDEX('參數'!$B$24:$B$45,MATCH(G398,'參數'!$A$24:$A$45,0)),""))</f>
        <v/>
      </c>
      <c r="X398" s="8">
        <f>IF($A398="","",IFERROR(INDEX('參數'!$C$24:$C$45,MATCH(G398,'參數'!$A$24:$A$45,0)),""))</f>
        <v/>
      </c>
      <c r="Y398" s="30">
        <f>IF(AND(ISNUMBER(N398),ISNUMBER(O398),ISNUMBER(U398)),IF(AND(O398&gt;0,X398&lt;&gt;""),1,0),0)</f>
        <v/>
      </c>
      <c r="Z398" s="17">
        <f>IF(Y398=1,O398*N398,"")</f>
        <v/>
      </c>
      <c r="AA398" s="33">
        <f>IF(Y398=1,IF(ISNUMBER(Q398),N398-Q398,""),"")</f>
        <v/>
      </c>
      <c r="AB398" s="33">
        <f>IF(Y398=1,IF(AND(ISNUMBER(P398),ISNUMBER(R398)),R398*5/12-O398*(P398-R398),""),"")</f>
        <v/>
      </c>
      <c r="AC398" s="30">
        <f>IF(Y398=1,COUNTIFS($X$5:$X$404,X398,$V$5:$V$404,V398,$Y$5:$Y$404,1),"")</f>
        <v/>
      </c>
      <c r="AD398" s="30">
        <f>IF(Y398=1,IFERROR(IF(AC398&gt;='參數'!$B$9,INDEX('分群統計'!$G$13:$K$16,MATCH(X398,'分群統計'!$A$13:$A$16,0),MATCH(V398,'分群統計'!$G$12:$K$12,0)),INDEX('分群統計'!$I$5:$I$8,MATCH(X398,'分群統計'!$A$5:$A$8,0))),""),"")</f>
        <v/>
      </c>
      <c r="AE398" s="18">
        <f>IF(Y398=1,IFERROR(IF(AC398&gt;='參數'!$B$9,INDEX('分群統計'!$L$13:$P$16,MATCH(X398,'分群統計'!$A$13:$A$16,0),MATCH(V398,'分群統計'!$L$12:$P$12,0)),INDEX('分群統計'!$J$5:$J$8,MATCH(X398,'分群統計'!$A$5:$A$8,0))),""),"")</f>
        <v/>
      </c>
      <c r="AF398" s="31">
        <f>IF(ISNUMBER(AE398),IF(AE398&gt;0,MAX(-3,MIN(3,(N398-AD398)/AE398)),0),"")</f>
        <v/>
      </c>
      <c r="AG398" s="30">
        <f>IF(Y398=1,COUNTIFS($B$5:$B$404,B398,$Y$5:$Y$404,1),"")</f>
        <v/>
      </c>
      <c r="AH398" s="30">
        <f>IF(Y398=1,IFERROR(IF(ISNUMBER(INDEX('分群統計'!$G$20:$G$59,MATCH(B398,'分群統計'!$A$20:$A$59,0))),INDEX('分群統計'!$H$20:$H$59,MATCH(B398,'分群統計'!$A$20:$A$59,0))+INDEX('分群統計'!$G$20:$G$59,MATCH(B398,'分群統計'!$A$20:$A$59,0))*AU398,""),""),"")</f>
        <v/>
      </c>
      <c r="AI398" s="34">
        <f>IF(ISNUMBER(AH398),N398-AH398,"")</f>
        <v/>
      </c>
      <c r="AJ398" s="30">
        <f>IF(Y398=1,IFERROR(IF(ISNUMBER(INDEX('分群統計'!$G$5:$G$8,MATCH(X398,'分群統計'!$A$5:$A$8,0))),INDEX('分群統計'!$H$5:$H$8,MATCH(X398,'分群統計'!$A$5:$A$8,0))+INDEX('分群統計'!$G$5:$G$8,MATCH(X398,'分群統計'!$A$5:$A$8,0))*AU398,""),""),"")</f>
        <v/>
      </c>
      <c r="AK398" s="34">
        <f>IF(ISNUMBER(AJ398),N398-AJ398,"")</f>
        <v/>
      </c>
      <c r="AL398" s="21">
        <f>IF(ISNUMBER(AJ398),IF(AJ398&gt;0,AK398/AJ398,""),"")</f>
        <v/>
      </c>
      <c r="AM398" s="31">
        <f>IF(AY398&lt;&gt;1,"",IFERROR(IF(INDEX('分群統計'!$K$5:$K$8,MATCH(X398,'分群統計'!$A$5:$A$8,0))&lt;3,"",IF(INDEX('分群統計'!$M$5:$M$8,MATCH(X398,'分群統計'!$A$5:$A$8,0))&gt;0,MAX(-3,MIN(3,(AX398-INDEX('分群統計'!$L$5:$L$8,MATCH(X398,'分群統計'!$A$5:$A$8,0)))/INDEX('分群統計'!$M$5:$M$8,MATCH(X398,'分群統計'!$A$5:$A$8,0)))),0)),""))</f>
        <v/>
      </c>
      <c r="AN398" s="31">
        <f>IF(ISNUMBER(AB398),IF(Z398&gt;0,AB398/Z398*100,""),"")</f>
        <v/>
      </c>
      <c r="AO398" s="31">
        <f>IF(BA398&lt;&gt;1,"",IFERROR(IF(INDEX('分群統計'!$N$5:$N$8,MATCH(X398,'分群統計'!$A$5:$A$8,0))&lt;3,"",IF(INDEX('分群統計'!$P$5:$P$8,MATCH(X398,'分群統計'!$A$5:$A$8,0))&gt;0,MAX(-3,MIN(3,(AZ398-INDEX('分群統計'!$O$5:$O$8,MATCH(X398,'分群統計'!$A$5:$A$8,0)))/INDEX('分群統計'!$P$5:$P$8,MATCH(X398,'分群統計'!$A$5:$A$8,0)))),0)),""))</f>
        <v/>
      </c>
      <c r="AP398" s="31">
        <f>IF(BC398&lt;&gt;1,"",IFERROR(IF(INDEX('分群統計'!$Q$5:$Q$8,MATCH(X398,'分群統計'!$A$5:$A$8,0))&lt;3,"",IF(INDEX('分群統計'!$S$5:$S$8,MATCH(X398,'分群統計'!$A$5:$A$8,0))&gt;0,MAX(-3,MIN(3,(BB398-INDEX('分群統計'!$R$5:$R$8,MATCH(X398,'分群統計'!$A$5:$A$8,0)))/INDEX('分群統計'!$S$5:$S$8,MATCH(X398,'分群統計'!$A$5:$A$8,0)))),0)),""))</f>
        <v/>
      </c>
      <c r="AQ398" s="31">
        <f>IF(Y398=1,(IF(ISNUMBER(AF398),AF398,0)*'參數'!$B$13+IF(ISNUMBER(AM398),AM398,0)*'參數'!$B$14+IF(ISNUMBER(AO398),AO398,0)*'參數'!$B$15+IF(ISNUMBER(AP398),AP398,0)*'參數'!$B$16)/('參數'!$B$13+'參數'!$B$14+'參數'!$B$15+'參數'!$B$16),"")</f>
        <v/>
      </c>
      <c r="AR398" s="35">
        <f>IF(Y398=1,(SUMPRODUCT(($X$5:$X$404=X398)*($Y$5:$Y$404=1)*($BD$5:$BD$404&gt;BD398))+1)/COUNTIFS($X$5:$X$404,X398,$Y$5:$Y$404,1),"")</f>
        <v/>
      </c>
      <c r="AS398" s="8">
        <f>IF(ISNUMBER(AR398),IF(AR398&lt;='參數'!$B$18,"加碼候選",IF(AR398&gt;'參數'!$B$19,"減碼候選","")),"")</f>
        <v/>
      </c>
      <c r="AT398" s="7">
        <f>IF(Y398=1,N398,0)</f>
        <v/>
      </c>
      <c r="AU398" s="7">
        <f>IF(Y398=1,LN(O398),0)</f>
        <v/>
      </c>
      <c r="AV398" s="36">
        <f>IF(Y398=1,IF(ISNUMBER(F398),F398,0),0)</f>
        <v/>
      </c>
      <c r="AW398" s="7">
        <f>IF(Y398=1,Z398,0)</f>
        <v/>
      </c>
      <c r="AX398" s="7">
        <f>IF(Y398=1,IF(ISNUMBER(AL398),AL398,0),0)</f>
        <v/>
      </c>
      <c r="AY398" s="7">
        <f>IF(Y398=1,IF(ISNUMBER(AL398),1,0),0)</f>
        <v/>
      </c>
      <c r="AZ398" s="7">
        <f>IF(Y398=1,IF(ISNUMBER(AN398),AN398,0),0)</f>
        <v/>
      </c>
      <c r="BA398" s="7">
        <f>IF(Y398=1,IF(ISNUMBER(AN398),1,0),0)</f>
        <v/>
      </c>
      <c r="BB398" s="7">
        <f>IF(Y398=1,IF(ISNUMBER(T398),T398,0),0)</f>
        <v/>
      </c>
      <c r="BC398" s="7">
        <f>IF(Y398=1,IF(ISNUMBER(T398),1,0),0)</f>
        <v/>
      </c>
      <c r="BD398" s="7">
        <f>IF(Y398=1,AQ398+ROW()/1E9,-1E9)</f>
        <v/>
      </c>
      <c r="BE398" s="7">
        <f>IF(Y398=1,AQ398+ROW()/1E9,1E9)</f>
        <v/>
      </c>
    </row>
    <row r="399">
      <c r="A399" s="16" t="n"/>
      <c r="B399" s="8">
        <f>IF($A399="","",BDP($A399,B$3))</f>
        <v/>
      </c>
      <c r="C399" s="8">
        <f>IF($A399="","",BDP($A399,C$3))</f>
        <v/>
      </c>
      <c r="D399" s="28">
        <f>IF($A399="","",BDP($A399,D$3))</f>
        <v/>
      </c>
      <c r="E399" s="29">
        <f>IF($A399="","",BDP($A399,E$3))</f>
        <v/>
      </c>
      <c r="F399" s="17">
        <f>IF($A399="","",BDP($A399,F$3))</f>
        <v/>
      </c>
      <c r="G399" s="8">
        <f>IF($A399="","",BDP($A399,G$3))</f>
        <v/>
      </c>
      <c r="H399" s="8">
        <f>IF($A399="","",BDP($A399,H$3))</f>
        <v/>
      </c>
      <c r="I399" s="8">
        <f>IF($A399="","",BDP($A399,I$3))</f>
        <v/>
      </c>
      <c r="J399" s="8">
        <f>IF($A399="","",BDP($A399,J$3))</f>
        <v/>
      </c>
      <c r="K399" s="8">
        <f>IF($A399="","",BDP($A399,K$3))</f>
        <v/>
      </c>
      <c r="L399" s="28">
        <f>IF($A399="","",BDP($A399,L$3))</f>
        <v/>
      </c>
      <c r="M399" s="28">
        <f>IF($A399="","",BDP($A399,M$3))</f>
        <v/>
      </c>
      <c r="N399" s="30">
        <f>IF($A399="","",BDP($A399,N$3))</f>
        <v/>
      </c>
      <c r="O399" s="31">
        <f>IF($A399="","",BDP($A399,O$3))</f>
        <v/>
      </c>
      <c r="P399" s="30">
        <f>IF($A399="","",BDH($A399,$N$3,'參數'!$B$5,'參數'!$B$5,"Days=A","Fill=P","Dates=H"))</f>
        <v/>
      </c>
      <c r="Q399" s="30">
        <f>IF($A399="","",BDH($A399,$N$3,'參數'!$B$6,'參數'!$B$6,"Days=A","Fill=P","Dates=H"))</f>
        <v/>
      </c>
      <c r="R399" s="30">
        <f>IF($A399="","",BDH($A399,$N$3,'參數'!$B$7,'參數'!$B$7,"Days=A","Fill=P","Dates=H"))</f>
        <v/>
      </c>
      <c r="S399" s="32">
        <f>IF($A399="","",IFERROR(INDEX('發行人'!$A$5:$A$44,MATCH(B399,'發行人'!$D$5:$D$44,0)),"未對應"))</f>
        <v/>
      </c>
      <c r="T399" s="24">
        <f>IF($A399="","",IFERROR(INDEX('發行人'!$G$5:$G$44,MATCH(B399,'發行人'!$D$5:$D$44,0))+0,""))</f>
        <v/>
      </c>
      <c r="U399" s="18">
        <f>IF(ISNUMBER(E399),YEARFRAC('參數'!$B$4,E399),"")</f>
        <v/>
      </c>
      <c r="V399" s="8">
        <f>IF(U399="","",IF(U399&lt;3,"1-3y",IF(U399&lt;5,"3-5y",IF(U399&lt;7,"5-7y",IF(U399&lt;10,"7-10y","10y+")))))</f>
        <v/>
      </c>
      <c r="W399" s="30">
        <f>IF($A399="","",IFERROR(INDEX('參數'!$B$24:$B$45,MATCH(G399,'參數'!$A$24:$A$45,0)),""))</f>
        <v/>
      </c>
      <c r="X399" s="8">
        <f>IF($A399="","",IFERROR(INDEX('參數'!$C$24:$C$45,MATCH(G399,'參數'!$A$24:$A$45,0)),""))</f>
        <v/>
      </c>
      <c r="Y399" s="30">
        <f>IF(AND(ISNUMBER(N399),ISNUMBER(O399),ISNUMBER(U399)),IF(AND(O399&gt;0,X399&lt;&gt;""),1,0),0)</f>
        <v/>
      </c>
      <c r="Z399" s="17">
        <f>IF(Y399=1,O399*N399,"")</f>
        <v/>
      </c>
      <c r="AA399" s="33">
        <f>IF(Y399=1,IF(ISNUMBER(Q399),N399-Q399,""),"")</f>
        <v/>
      </c>
      <c r="AB399" s="33">
        <f>IF(Y399=1,IF(AND(ISNUMBER(P399),ISNUMBER(R399)),R399*5/12-O399*(P399-R399),""),"")</f>
        <v/>
      </c>
      <c r="AC399" s="30">
        <f>IF(Y399=1,COUNTIFS($X$5:$X$404,X399,$V$5:$V$404,V399,$Y$5:$Y$404,1),"")</f>
        <v/>
      </c>
      <c r="AD399" s="30">
        <f>IF(Y399=1,IFERROR(IF(AC399&gt;='參數'!$B$9,INDEX('分群統計'!$G$13:$K$16,MATCH(X399,'分群統計'!$A$13:$A$16,0),MATCH(V399,'分群統計'!$G$12:$K$12,0)),INDEX('分群統計'!$I$5:$I$8,MATCH(X399,'分群統計'!$A$5:$A$8,0))),""),"")</f>
        <v/>
      </c>
      <c r="AE399" s="18">
        <f>IF(Y399=1,IFERROR(IF(AC399&gt;='參數'!$B$9,INDEX('分群統計'!$L$13:$P$16,MATCH(X399,'分群統計'!$A$13:$A$16,0),MATCH(V399,'分群統計'!$L$12:$P$12,0)),INDEX('分群統計'!$J$5:$J$8,MATCH(X399,'分群統計'!$A$5:$A$8,0))),""),"")</f>
        <v/>
      </c>
      <c r="AF399" s="31">
        <f>IF(ISNUMBER(AE399),IF(AE399&gt;0,MAX(-3,MIN(3,(N399-AD399)/AE399)),0),"")</f>
        <v/>
      </c>
      <c r="AG399" s="30">
        <f>IF(Y399=1,COUNTIFS($B$5:$B$404,B399,$Y$5:$Y$404,1),"")</f>
        <v/>
      </c>
      <c r="AH399" s="30">
        <f>IF(Y399=1,IFERROR(IF(ISNUMBER(INDEX('分群統計'!$G$20:$G$59,MATCH(B399,'分群統計'!$A$20:$A$59,0))),INDEX('分群統計'!$H$20:$H$59,MATCH(B399,'分群統計'!$A$20:$A$59,0))+INDEX('分群統計'!$G$20:$G$59,MATCH(B399,'分群統計'!$A$20:$A$59,0))*AU399,""),""),"")</f>
        <v/>
      </c>
      <c r="AI399" s="34">
        <f>IF(ISNUMBER(AH399),N399-AH399,"")</f>
        <v/>
      </c>
      <c r="AJ399" s="30">
        <f>IF(Y399=1,IFERROR(IF(ISNUMBER(INDEX('分群統計'!$G$5:$G$8,MATCH(X399,'分群統計'!$A$5:$A$8,0))),INDEX('分群統計'!$H$5:$H$8,MATCH(X399,'分群統計'!$A$5:$A$8,0))+INDEX('分群統計'!$G$5:$G$8,MATCH(X399,'分群統計'!$A$5:$A$8,0))*AU399,""),""),"")</f>
        <v/>
      </c>
      <c r="AK399" s="34">
        <f>IF(ISNUMBER(AJ399),N399-AJ399,"")</f>
        <v/>
      </c>
      <c r="AL399" s="21">
        <f>IF(ISNUMBER(AJ399),IF(AJ399&gt;0,AK399/AJ399,""),"")</f>
        <v/>
      </c>
      <c r="AM399" s="31">
        <f>IF(AY399&lt;&gt;1,"",IFERROR(IF(INDEX('分群統計'!$K$5:$K$8,MATCH(X399,'分群統計'!$A$5:$A$8,0))&lt;3,"",IF(INDEX('分群統計'!$M$5:$M$8,MATCH(X399,'分群統計'!$A$5:$A$8,0))&gt;0,MAX(-3,MIN(3,(AX399-INDEX('分群統計'!$L$5:$L$8,MATCH(X399,'分群統計'!$A$5:$A$8,0)))/INDEX('分群統計'!$M$5:$M$8,MATCH(X399,'分群統計'!$A$5:$A$8,0)))),0)),""))</f>
        <v/>
      </c>
      <c r="AN399" s="31">
        <f>IF(ISNUMBER(AB399),IF(Z399&gt;0,AB399/Z399*100,""),"")</f>
        <v/>
      </c>
      <c r="AO399" s="31">
        <f>IF(BA399&lt;&gt;1,"",IFERROR(IF(INDEX('分群統計'!$N$5:$N$8,MATCH(X399,'分群統計'!$A$5:$A$8,0))&lt;3,"",IF(INDEX('分群統計'!$P$5:$P$8,MATCH(X399,'分群統計'!$A$5:$A$8,0))&gt;0,MAX(-3,MIN(3,(AZ399-INDEX('分群統計'!$O$5:$O$8,MATCH(X399,'分群統計'!$A$5:$A$8,0)))/INDEX('分群統計'!$P$5:$P$8,MATCH(X399,'分群統計'!$A$5:$A$8,0)))),0)),""))</f>
        <v/>
      </c>
      <c r="AP399" s="31">
        <f>IF(BC399&lt;&gt;1,"",IFERROR(IF(INDEX('分群統計'!$Q$5:$Q$8,MATCH(X399,'分群統計'!$A$5:$A$8,0))&lt;3,"",IF(INDEX('分群統計'!$S$5:$S$8,MATCH(X399,'分群統計'!$A$5:$A$8,0))&gt;0,MAX(-3,MIN(3,(BB399-INDEX('分群統計'!$R$5:$R$8,MATCH(X399,'分群統計'!$A$5:$A$8,0)))/INDEX('分群統計'!$S$5:$S$8,MATCH(X399,'分群統計'!$A$5:$A$8,0)))),0)),""))</f>
        <v/>
      </c>
      <c r="AQ399" s="31">
        <f>IF(Y399=1,(IF(ISNUMBER(AF399),AF399,0)*'參數'!$B$13+IF(ISNUMBER(AM399),AM399,0)*'參數'!$B$14+IF(ISNUMBER(AO399),AO399,0)*'參數'!$B$15+IF(ISNUMBER(AP399),AP399,0)*'參數'!$B$16)/('參數'!$B$13+'參數'!$B$14+'參數'!$B$15+'參數'!$B$16),"")</f>
        <v/>
      </c>
      <c r="AR399" s="35">
        <f>IF(Y399=1,(SUMPRODUCT(($X$5:$X$404=X399)*($Y$5:$Y$404=1)*($BD$5:$BD$404&gt;BD399))+1)/COUNTIFS($X$5:$X$404,X399,$Y$5:$Y$404,1),"")</f>
        <v/>
      </c>
      <c r="AS399" s="8">
        <f>IF(ISNUMBER(AR399),IF(AR399&lt;='參數'!$B$18,"加碼候選",IF(AR399&gt;'參數'!$B$19,"減碼候選","")),"")</f>
        <v/>
      </c>
      <c r="AT399" s="7">
        <f>IF(Y399=1,N399,0)</f>
        <v/>
      </c>
      <c r="AU399" s="7">
        <f>IF(Y399=1,LN(O399),0)</f>
        <v/>
      </c>
      <c r="AV399" s="36">
        <f>IF(Y399=1,IF(ISNUMBER(F399),F399,0),0)</f>
        <v/>
      </c>
      <c r="AW399" s="7">
        <f>IF(Y399=1,Z399,0)</f>
        <v/>
      </c>
      <c r="AX399" s="7">
        <f>IF(Y399=1,IF(ISNUMBER(AL399),AL399,0),0)</f>
        <v/>
      </c>
      <c r="AY399" s="7">
        <f>IF(Y399=1,IF(ISNUMBER(AL399),1,0),0)</f>
        <v/>
      </c>
      <c r="AZ399" s="7">
        <f>IF(Y399=1,IF(ISNUMBER(AN399),AN399,0),0)</f>
        <v/>
      </c>
      <c r="BA399" s="7">
        <f>IF(Y399=1,IF(ISNUMBER(AN399),1,0),0)</f>
        <v/>
      </c>
      <c r="BB399" s="7">
        <f>IF(Y399=1,IF(ISNUMBER(T399),T399,0),0)</f>
        <v/>
      </c>
      <c r="BC399" s="7">
        <f>IF(Y399=1,IF(ISNUMBER(T399),1,0),0)</f>
        <v/>
      </c>
      <c r="BD399" s="7">
        <f>IF(Y399=1,AQ399+ROW()/1E9,-1E9)</f>
        <v/>
      </c>
      <c r="BE399" s="7">
        <f>IF(Y399=1,AQ399+ROW()/1E9,1E9)</f>
        <v/>
      </c>
    </row>
    <row r="400">
      <c r="A400" s="16" t="n"/>
      <c r="B400" s="8">
        <f>IF($A400="","",BDP($A400,B$3))</f>
        <v/>
      </c>
      <c r="C400" s="8">
        <f>IF($A400="","",BDP($A400,C$3))</f>
        <v/>
      </c>
      <c r="D400" s="28">
        <f>IF($A400="","",BDP($A400,D$3))</f>
        <v/>
      </c>
      <c r="E400" s="29">
        <f>IF($A400="","",BDP($A400,E$3))</f>
        <v/>
      </c>
      <c r="F400" s="17">
        <f>IF($A400="","",BDP($A400,F$3))</f>
        <v/>
      </c>
      <c r="G400" s="8">
        <f>IF($A400="","",BDP($A400,G$3))</f>
        <v/>
      </c>
      <c r="H400" s="8">
        <f>IF($A400="","",BDP($A400,H$3))</f>
        <v/>
      </c>
      <c r="I400" s="8">
        <f>IF($A400="","",BDP($A400,I$3))</f>
        <v/>
      </c>
      <c r="J400" s="8">
        <f>IF($A400="","",BDP($A400,J$3))</f>
        <v/>
      </c>
      <c r="K400" s="8">
        <f>IF($A400="","",BDP($A400,K$3))</f>
        <v/>
      </c>
      <c r="L400" s="28">
        <f>IF($A400="","",BDP($A400,L$3))</f>
        <v/>
      </c>
      <c r="M400" s="28">
        <f>IF($A400="","",BDP($A400,M$3))</f>
        <v/>
      </c>
      <c r="N400" s="30">
        <f>IF($A400="","",BDP($A400,N$3))</f>
        <v/>
      </c>
      <c r="O400" s="31">
        <f>IF($A400="","",BDP($A400,O$3))</f>
        <v/>
      </c>
      <c r="P400" s="30">
        <f>IF($A400="","",BDH($A400,$N$3,'參數'!$B$5,'參數'!$B$5,"Days=A","Fill=P","Dates=H"))</f>
        <v/>
      </c>
      <c r="Q400" s="30">
        <f>IF($A400="","",BDH($A400,$N$3,'參數'!$B$6,'參數'!$B$6,"Days=A","Fill=P","Dates=H"))</f>
        <v/>
      </c>
      <c r="R400" s="30">
        <f>IF($A400="","",BDH($A400,$N$3,'參數'!$B$7,'參數'!$B$7,"Days=A","Fill=P","Dates=H"))</f>
        <v/>
      </c>
      <c r="S400" s="32">
        <f>IF($A400="","",IFERROR(INDEX('發行人'!$A$5:$A$44,MATCH(B400,'發行人'!$D$5:$D$44,0)),"未對應"))</f>
        <v/>
      </c>
      <c r="T400" s="24">
        <f>IF($A400="","",IFERROR(INDEX('發行人'!$G$5:$G$44,MATCH(B400,'發行人'!$D$5:$D$44,0))+0,""))</f>
        <v/>
      </c>
      <c r="U400" s="18">
        <f>IF(ISNUMBER(E400),YEARFRAC('參數'!$B$4,E400),"")</f>
        <v/>
      </c>
      <c r="V400" s="8">
        <f>IF(U400="","",IF(U400&lt;3,"1-3y",IF(U400&lt;5,"3-5y",IF(U400&lt;7,"5-7y",IF(U400&lt;10,"7-10y","10y+")))))</f>
        <v/>
      </c>
      <c r="W400" s="30">
        <f>IF($A400="","",IFERROR(INDEX('參數'!$B$24:$B$45,MATCH(G400,'參數'!$A$24:$A$45,0)),""))</f>
        <v/>
      </c>
      <c r="X400" s="8">
        <f>IF($A400="","",IFERROR(INDEX('參數'!$C$24:$C$45,MATCH(G400,'參數'!$A$24:$A$45,0)),""))</f>
        <v/>
      </c>
      <c r="Y400" s="30">
        <f>IF(AND(ISNUMBER(N400),ISNUMBER(O400),ISNUMBER(U400)),IF(AND(O400&gt;0,X400&lt;&gt;""),1,0),0)</f>
        <v/>
      </c>
      <c r="Z400" s="17">
        <f>IF(Y400=1,O400*N400,"")</f>
        <v/>
      </c>
      <c r="AA400" s="33">
        <f>IF(Y400=1,IF(ISNUMBER(Q400),N400-Q400,""),"")</f>
        <v/>
      </c>
      <c r="AB400" s="33">
        <f>IF(Y400=1,IF(AND(ISNUMBER(P400),ISNUMBER(R400)),R400*5/12-O400*(P400-R400),""),"")</f>
        <v/>
      </c>
      <c r="AC400" s="30">
        <f>IF(Y400=1,COUNTIFS($X$5:$X$404,X400,$V$5:$V$404,V400,$Y$5:$Y$404,1),"")</f>
        <v/>
      </c>
      <c r="AD400" s="30">
        <f>IF(Y400=1,IFERROR(IF(AC400&gt;='參數'!$B$9,INDEX('分群統計'!$G$13:$K$16,MATCH(X400,'分群統計'!$A$13:$A$16,0),MATCH(V400,'分群統計'!$G$12:$K$12,0)),INDEX('分群統計'!$I$5:$I$8,MATCH(X400,'分群統計'!$A$5:$A$8,0))),""),"")</f>
        <v/>
      </c>
      <c r="AE400" s="18">
        <f>IF(Y400=1,IFERROR(IF(AC400&gt;='參數'!$B$9,INDEX('分群統計'!$L$13:$P$16,MATCH(X400,'分群統計'!$A$13:$A$16,0),MATCH(V400,'分群統計'!$L$12:$P$12,0)),INDEX('分群統計'!$J$5:$J$8,MATCH(X400,'分群統計'!$A$5:$A$8,0))),""),"")</f>
        <v/>
      </c>
      <c r="AF400" s="31">
        <f>IF(ISNUMBER(AE400),IF(AE400&gt;0,MAX(-3,MIN(3,(N400-AD400)/AE400)),0),"")</f>
        <v/>
      </c>
      <c r="AG400" s="30">
        <f>IF(Y400=1,COUNTIFS($B$5:$B$404,B400,$Y$5:$Y$404,1),"")</f>
        <v/>
      </c>
      <c r="AH400" s="30">
        <f>IF(Y400=1,IFERROR(IF(ISNUMBER(INDEX('分群統計'!$G$20:$G$59,MATCH(B400,'分群統計'!$A$20:$A$59,0))),INDEX('分群統計'!$H$20:$H$59,MATCH(B400,'分群統計'!$A$20:$A$59,0))+INDEX('分群統計'!$G$20:$G$59,MATCH(B400,'分群統計'!$A$20:$A$59,0))*AU400,""),""),"")</f>
        <v/>
      </c>
      <c r="AI400" s="34">
        <f>IF(ISNUMBER(AH400),N400-AH400,"")</f>
        <v/>
      </c>
      <c r="AJ400" s="30">
        <f>IF(Y400=1,IFERROR(IF(ISNUMBER(INDEX('分群統計'!$G$5:$G$8,MATCH(X400,'分群統計'!$A$5:$A$8,0))),INDEX('分群統計'!$H$5:$H$8,MATCH(X400,'分群統計'!$A$5:$A$8,0))+INDEX('分群統計'!$G$5:$G$8,MATCH(X400,'分群統計'!$A$5:$A$8,0))*AU400,""),""),"")</f>
        <v/>
      </c>
      <c r="AK400" s="34">
        <f>IF(ISNUMBER(AJ400),N400-AJ400,"")</f>
        <v/>
      </c>
      <c r="AL400" s="21">
        <f>IF(ISNUMBER(AJ400),IF(AJ400&gt;0,AK400/AJ400,""),"")</f>
        <v/>
      </c>
      <c r="AM400" s="31">
        <f>IF(AY400&lt;&gt;1,"",IFERROR(IF(INDEX('分群統計'!$K$5:$K$8,MATCH(X400,'分群統計'!$A$5:$A$8,0))&lt;3,"",IF(INDEX('分群統計'!$M$5:$M$8,MATCH(X400,'分群統計'!$A$5:$A$8,0))&gt;0,MAX(-3,MIN(3,(AX400-INDEX('分群統計'!$L$5:$L$8,MATCH(X400,'分群統計'!$A$5:$A$8,0)))/INDEX('分群統計'!$M$5:$M$8,MATCH(X400,'分群統計'!$A$5:$A$8,0)))),0)),""))</f>
        <v/>
      </c>
      <c r="AN400" s="31">
        <f>IF(ISNUMBER(AB400),IF(Z400&gt;0,AB400/Z400*100,""),"")</f>
        <v/>
      </c>
      <c r="AO400" s="31">
        <f>IF(BA400&lt;&gt;1,"",IFERROR(IF(INDEX('分群統計'!$N$5:$N$8,MATCH(X400,'分群統計'!$A$5:$A$8,0))&lt;3,"",IF(INDEX('分群統計'!$P$5:$P$8,MATCH(X400,'分群統計'!$A$5:$A$8,0))&gt;0,MAX(-3,MIN(3,(AZ400-INDEX('分群統計'!$O$5:$O$8,MATCH(X400,'分群統計'!$A$5:$A$8,0)))/INDEX('分群統計'!$P$5:$P$8,MATCH(X400,'分群統計'!$A$5:$A$8,0)))),0)),""))</f>
        <v/>
      </c>
      <c r="AP400" s="31">
        <f>IF(BC400&lt;&gt;1,"",IFERROR(IF(INDEX('分群統計'!$Q$5:$Q$8,MATCH(X400,'分群統計'!$A$5:$A$8,0))&lt;3,"",IF(INDEX('分群統計'!$S$5:$S$8,MATCH(X400,'分群統計'!$A$5:$A$8,0))&gt;0,MAX(-3,MIN(3,(BB400-INDEX('分群統計'!$R$5:$R$8,MATCH(X400,'分群統計'!$A$5:$A$8,0)))/INDEX('分群統計'!$S$5:$S$8,MATCH(X400,'分群統計'!$A$5:$A$8,0)))),0)),""))</f>
        <v/>
      </c>
      <c r="AQ400" s="31">
        <f>IF(Y400=1,(IF(ISNUMBER(AF400),AF400,0)*'參數'!$B$13+IF(ISNUMBER(AM400),AM400,0)*'參數'!$B$14+IF(ISNUMBER(AO400),AO400,0)*'參數'!$B$15+IF(ISNUMBER(AP400),AP400,0)*'參數'!$B$16)/('參數'!$B$13+'參數'!$B$14+'參數'!$B$15+'參數'!$B$16),"")</f>
        <v/>
      </c>
      <c r="AR400" s="35">
        <f>IF(Y400=1,(SUMPRODUCT(($X$5:$X$404=X400)*($Y$5:$Y$404=1)*($BD$5:$BD$404&gt;BD400))+1)/COUNTIFS($X$5:$X$404,X400,$Y$5:$Y$404,1),"")</f>
        <v/>
      </c>
      <c r="AS400" s="8">
        <f>IF(ISNUMBER(AR400),IF(AR400&lt;='參數'!$B$18,"加碼候選",IF(AR400&gt;'參數'!$B$19,"減碼候選","")),"")</f>
        <v/>
      </c>
      <c r="AT400" s="7">
        <f>IF(Y400=1,N400,0)</f>
        <v/>
      </c>
      <c r="AU400" s="7">
        <f>IF(Y400=1,LN(O400),0)</f>
        <v/>
      </c>
      <c r="AV400" s="36">
        <f>IF(Y400=1,IF(ISNUMBER(F400),F400,0),0)</f>
        <v/>
      </c>
      <c r="AW400" s="7">
        <f>IF(Y400=1,Z400,0)</f>
        <v/>
      </c>
      <c r="AX400" s="7">
        <f>IF(Y400=1,IF(ISNUMBER(AL400),AL400,0),0)</f>
        <v/>
      </c>
      <c r="AY400" s="7">
        <f>IF(Y400=1,IF(ISNUMBER(AL400),1,0),0)</f>
        <v/>
      </c>
      <c r="AZ400" s="7">
        <f>IF(Y400=1,IF(ISNUMBER(AN400),AN400,0),0)</f>
        <v/>
      </c>
      <c r="BA400" s="7">
        <f>IF(Y400=1,IF(ISNUMBER(AN400),1,0),0)</f>
        <v/>
      </c>
      <c r="BB400" s="7">
        <f>IF(Y400=1,IF(ISNUMBER(T400),T400,0),0)</f>
        <v/>
      </c>
      <c r="BC400" s="7">
        <f>IF(Y400=1,IF(ISNUMBER(T400),1,0),0)</f>
        <v/>
      </c>
      <c r="BD400" s="7">
        <f>IF(Y400=1,AQ400+ROW()/1E9,-1E9)</f>
        <v/>
      </c>
      <c r="BE400" s="7">
        <f>IF(Y400=1,AQ400+ROW()/1E9,1E9)</f>
        <v/>
      </c>
    </row>
    <row r="401">
      <c r="A401" s="16" t="n"/>
      <c r="B401" s="8">
        <f>IF($A401="","",BDP($A401,B$3))</f>
        <v/>
      </c>
      <c r="C401" s="8">
        <f>IF($A401="","",BDP($A401,C$3))</f>
        <v/>
      </c>
      <c r="D401" s="28">
        <f>IF($A401="","",BDP($A401,D$3))</f>
        <v/>
      </c>
      <c r="E401" s="29">
        <f>IF($A401="","",BDP($A401,E$3))</f>
        <v/>
      </c>
      <c r="F401" s="17">
        <f>IF($A401="","",BDP($A401,F$3))</f>
        <v/>
      </c>
      <c r="G401" s="8">
        <f>IF($A401="","",BDP($A401,G$3))</f>
        <v/>
      </c>
      <c r="H401" s="8">
        <f>IF($A401="","",BDP($A401,H$3))</f>
        <v/>
      </c>
      <c r="I401" s="8">
        <f>IF($A401="","",BDP($A401,I$3))</f>
        <v/>
      </c>
      <c r="J401" s="8">
        <f>IF($A401="","",BDP($A401,J$3))</f>
        <v/>
      </c>
      <c r="K401" s="8">
        <f>IF($A401="","",BDP($A401,K$3))</f>
        <v/>
      </c>
      <c r="L401" s="28">
        <f>IF($A401="","",BDP($A401,L$3))</f>
        <v/>
      </c>
      <c r="M401" s="28">
        <f>IF($A401="","",BDP($A401,M$3))</f>
        <v/>
      </c>
      <c r="N401" s="30">
        <f>IF($A401="","",BDP($A401,N$3))</f>
        <v/>
      </c>
      <c r="O401" s="31">
        <f>IF($A401="","",BDP($A401,O$3))</f>
        <v/>
      </c>
      <c r="P401" s="30">
        <f>IF($A401="","",BDH($A401,$N$3,'參數'!$B$5,'參數'!$B$5,"Days=A","Fill=P","Dates=H"))</f>
        <v/>
      </c>
      <c r="Q401" s="30">
        <f>IF($A401="","",BDH($A401,$N$3,'參數'!$B$6,'參數'!$B$6,"Days=A","Fill=P","Dates=H"))</f>
        <v/>
      </c>
      <c r="R401" s="30">
        <f>IF($A401="","",BDH($A401,$N$3,'參數'!$B$7,'參數'!$B$7,"Days=A","Fill=P","Dates=H"))</f>
        <v/>
      </c>
      <c r="S401" s="32">
        <f>IF($A401="","",IFERROR(INDEX('發行人'!$A$5:$A$44,MATCH(B401,'發行人'!$D$5:$D$44,0)),"未對應"))</f>
        <v/>
      </c>
      <c r="T401" s="24">
        <f>IF($A401="","",IFERROR(INDEX('發行人'!$G$5:$G$44,MATCH(B401,'發行人'!$D$5:$D$44,0))+0,""))</f>
        <v/>
      </c>
      <c r="U401" s="18">
        <f>IF(ISNUMBER(E401),YEARFRAC('參數'!$B$4,E401),"")</f>
        <v/>
      </c>
      <c r="V401" s="8">
        <f>IF(U401="","",IF(U401&lt;3,"1-3y",IF(U401&lt;5,"3-5y",IF(U401&lt;7,"5-7y",IF(U401&lt;10,"7-10y","10y+")))))</f>
        <v/>
      </c>
      <c r="W401" s="30">
        <f>IF($A401="","",IFERROR(INDEX('參數'!$B$24:$B$45,MATCH(G401,'參數'!$A$24:$A$45,0)),""))</f>
        <v/>
      </c>
      <c r="X401" s="8">
        <f>IF($A401="","",IFERROR(INDEX('參數'!$C$24:$C$45,MATCH(G401,'參數'!$A$24:$A$45,0)),""))</f>
        <v/>
      </c>
      <c r="Y401" s="30">
        <f>IF(AND(ISNUMBER(N401),ISNUMBER(O401),ISNUMBER(U401)),IF(AND(O401&gt;0,X401&lt;&gt;""),1,0),0)</f>
        <v/>
      </c>
      <c r="Z401" s="17">
        <f>IF(Y401=1,O401*N401,"")</f>
        <v/>
      </c>
      <c r="AA401" s="33">
        <f>IF(Y401=1,IF(ISNUMBER(Q401),N401-Q401,""),"")</f>
        <v/>
      </c>
      <c r="AB401" s="33">
        <f>IF(Y401=1,IF(AND(ISNUMBER(P401),ISNUMBER(R401)),R401*5/12-O401*(P401-R401),""),"")</f>
        <v/>
      </c>
      <c r="AC401" s="30">
        <f>IF(Y401=1,COUNTIFS($X$5:$X$404,X401,$V$5:$V$404,V401,$Y$5:$Y$404,1),"")</f>
        <v/>
      </c>
      <c r="AD401" s="30">
        <f>IF(Y401=1,IFERROR(IF(AC401&gt;='參數'!$B$9,INDEX('分群統計'!$G$13:$K$16,MATCH(X401,'分群統計'!$A$13:$A$16,0),MATCH(V401,'分群統計'!$G$12:$K$12,0)),INDEX('分群統計'!$I$5:$I$8,MATCH(X401,'分群統計'!$A$5:$A$8,0))),""),"")</f>
        <v/>
      </c>
      <c r="AE401" s="18">
        <f>IF(Y401=1,IFERROR(IF(AC401&gt;='參數'!$B$9,INDEX('分群統計'!$L$13:$P$16,MATCH(X401,'分群統計'!$A$13:$A$16,0),MATCH(V401,'分群統計'!$L$12:$P$12,0)),INDEX('分群統計'!$J$5:$J$8,MATCH(X401,'分群統計'!$A$5:$A$8,0))),""),"")</f>
        <v/>
      </c>
      <c r="AF401" s="31">
        <f>IF(ISNUMBER(AE401),IF(AE401&gt;0,MAX(-3,MIN(3,(N401-AD401)/AE401)),0),"")</f>
        <v/>
      </c>
      <c r="AG401" s="30">
        <f>IF(Y401=1,COUNTIFS($B$5:$B$404,B401,$Y$5:$Y$404,1),"")</f>
        <v/>
      </c>
      <c r="AH401" s="30">
        <f>IF(Y401=1,IFERROR(IF(ISNUMBER(INDEX('分群統計'!$G$20:$G$59,MATCH(B401,'分群統計'!$A$20:$A$59,0))),INDEX('分群統計'!$H$20:$H$59,MATCH(B401,'分群統計'!$A$20:$A$59,0))+INDEX('分群統計'!$G$20:$G$59,MATCH(B401,'分群統計'!$A$20:$A$59,0))*AU401,""),""),"")</f>
        <v/>
      </c>
      <c r="AI401" s="34">
        <f>IF(ISNUMBER(AH401),N401-AH401,"")</f>
        <v/>
      </c>
      <c r="AJ401" s="30">
        <f>IF(Y401=1,IFERROR(IF(ISNUMBER(INDEX('分群統計'!$G$5:$G$8,MATCH(X401,'分群統計'!$A$5:$A$8,0))),INDEX('分群統計'!$H$5:$H$8,MATCH(X401,'分群統計'!$A$5:$A$8,0))+INDEX('分群統計'!$G$5:$G$8,MATCH(X401,'分群統計'!$A$5:$A$8,0))*AU401,""),""),"")</f>
        <v/>
      </c>
      <c r="AK401" s="34">
        <f>IF(ISNUMBER(AJ401),N401-AJ401,"")</f>
        <v/>
      </c>
      <c r="AL401" s="21">
        <f>IF(ISNUMBER(AJ401),IF(AJ401&gt;0,AK401/AJ401,""),"")</f>
        <v/>
      </c>
      <c r="AM401" s="31">
        <f>IF(AY401&lt;&gt;1,"",IFERROR(IF(INDEX('分群統計'!$K$5:$K$8,MATCH(X401,'分群統計'!$A$5:$A$8,0))&lt;3,"",IF(INDEX('分群統計'!$M$5:$M$8,MATCH(X401,'分群統計'!$A$5:$A$8,0))&gt;0,MAX(-3,MIN(3,(AX401-INDEX('分群統計'!$L$5:$L$8,MATCH(X401,'分群統計'!$A$5:$A$8,0)))/INDEX('分群統計'!$M$5:$M$8,MATCH(X401,'分群統計'!$A$5:$A$8,0)))),0)),""))</f>
        <v/>
      </c>
      <c r="AN401" s="31">
        <f>IF(ISNUMBER(AB401),IF(Z401&gt;0,AB401/Z401*100,""),"")</f>
        <v/>
      </c>
      <c r="AO401" s="31">
        <f>IF(BA401&lt;&gt;1,"",IFERROR(IF(INDEX('分群統計'!$N$5:$N$8,MATCH(X401,'分群統計'!$A$5:$A$8,0))&lt;3,"",IF(INDEX('分群統計'!$P$5:$P$8,MATCH(X401,'分群統計'!$A$5:$A$8,0))&gt;0,MAX(-3,MIN(3,(AZ401-INDEX('分群統計'!$O$5:$O$8,MATCH(X401,'分群統計'!$A$5:$A$8,0)))/INDEX('分群統計'!$P$5:$P$8,MATCH(X401,'分群統計'!$A$5:$A$8,0)))),0)),""))</f>
        <v/>
      </c>
      <c r="AP401" s="31">
        <f>IF(BC401&lt;&gt;1,"",IFERROR(IF(INDEX('分群統計'!$Q$5:$Q$8,MATCH(X401,'分群統計'!$A$5:$A$8,0))&lt;3,"",IF(INDEX('分群統計'!$S$5:$S$8,MATCH(X401,'分群統計'!$A$5:$A$8,0))&gt;0,MAX(-3,MIN(3,(BB401-INDEX('分群統計'!$R$5:$R$8,MATCH(X401,'分群統計'!$A$5:$A$8,0)))/INDEX('分群統計'!$S$5:$S$8,MATCH(X401,'分群統計'!$A$5:$A$8,0)))),0)),""))</f>
        <v/>
      </c>
      <c r="AQ401" s="31">
        <f>IF(Y401=1,(IF(ISNUMBER(AF401),AF401,0)*'參數'!$B$13+IF(ISNUMBER(AM401),AM401,0)*'參數'!$B$14+IF(ISNUMBER(AO401),AO401,0)*'參數'!$B$15+IF(ISNUMBER(AP401),AP401,0)*'參數'!$B$16)/('參數'!$B$13+'參數'!$B$14+'參數'!$B$15+'參數'!$B$16),"")</f>
        <v/>
      </c>
      <c r="AR401" s="35">
        <f>IF(Y401=1,(SUMPRODUCT(($X$5:$X$404=X401)*($Y$5:$Y$404=1)*($BD$5:$BD$404&gt;BD401))+1)/COUNTIFS($X$5:$X$404,X401,$Y$5:$Y$404,1),"")</f>
        <v/>
      </c>
      <c r="AS401" s="8">
        <f>IF(ISNUMBER(AR401),IF(AR401&lt;='參數'!$B$18,"加碼候選",IF(AR401&gt;'參數'!$B$19,"減碼候選","")),"")</f>
        <v/>
      </c>
      <c r="AT401" s="7">
        <f>IF(Y401=1,N401,0)</f>
        <v/>
      </c>
      <c r="AU401" s="7">
        <f>IF(Y401=1,LN(O401),0)</f>
        <v/>
      </c>
      <c r="AV401" s="36">
        <f>IF(Y401=1,IF(ISNUMBER(F401),F401,0),0)</f>
        <v/>
      </c>
      <c r="AW401" s="7">
        <f>IF(Y401=1,Z401,0)</f>
        <v/>
      </c>
      <c r="AX401" s="7">
        <f>IF(Y401=1,IF(ISNUMBER(AL401),AL401,0),0)</f>
        <v/>
      </c>
      <c r="AY401" s="7">
        <f>IF(Y401=1,IF(ISNUMBER(AL401),1,0),0)</f>
        <v/>
      </c>
      <c r="AZ401" s="7">
        <f>IF(Y401=1,IF(ISNUMBER(AN401),AN401,0),0)</f>
        <v/>
      </c>
      <c r="BA401" s="7">
        <f>IF(Y401=1,IF(ISNUMBER(AN401),1,0),0)</f>
        <v/>
      </c>
      <c r="BB401" s="7">
        <f>IF(Y401=1,IF(ISNUMBER(T401),T401,0),0)</f>
        <v/>
      </c>
      <c r="BC401" s="7">
        <f>IF(Y401=1,IF(ISNUMBER(T401),1,0),0)</f>
        <v/>
      </c>
      <c r="BD401" s="7">
        <f>IF(Y401=1,AQ401+ROW()/1E9,-1E9)</f>
        <v/>
      </c>
      <c r="BE401" s="7">
        <f>IF(Y401=1,AQ401+ROW()/1E9,1E9)</f>
        <v/>
      </c>
    </row>
    <row r="402">
      <c r="A402" s="16" t="n"/>
      <c r="B402" s="8">
        <f>IF($A402="","",BDP($A402,B$3))</f>
        <v/>
      </c>
      <c r="C402" s="8">
        <f>IF($A402="","",BDP($A402,C$3))</f>
        <v/>
      </c>
      <c r="D402" s="28">
        <f>IF($A402="","",BDP($A402,D$3))</f>
        <v/>
      </c>
      <c r="E402" s="29">
        <f>IF($A402="","",BDP($A402,E$3))</f>
        <v/>
      </c>
      <c r="F402" s="17">
        <f>IF($A402="","",BDP($A402,F$3))</f>
        <v/>
      </c>
      <c r="G402" s="8">
        <f>IF($A402="","",BDP($A402,G$3))</f>
        <v/>
      </c>
      <c r="H402" s="8">
        <f>IF($A402="","",BDP($A402,H$3))</f>
        <v/>
      </c>
      <c r="I402" s="8">
        <f>IF($A402="","",BDP($A402,I$3))</f>
        <v/>
      </c>
      <c r="J402" s="8">
        <f>IF($A402="","",BDP($A402,J$3))</f>
        <v/>
      </c>
      <c r="K402" s="8">
        <f>IF($A402="","",BDP($A402,K$3))</f>
        <v/>
      </c>
      <c r="L402" s="28">
        <f>IF($A402="","",BDP($A402,L$3))</f>
        <v/>
      </c>
      <c r="M402" s="28">
        <f>IF($A402="","",BDP($A402,M$3))</f>
        <v/>
      </c>
      <c r="N402" s="30">
        <f>IF($A402="","",BDP($A402,N$3))</f>
        <v/>
      </c>
      <c r="O402" s="31">
        <f>IF($A402="","",BDP($A402,O$3))</f>
        <v/>
      </c>
      <c r="P402" s="30">
        <f>IF($A402="","",BDH($A402,$N$3,'參數'!$B$5,'參數'!$B$5,"Days=A","Fill=P","Dates=H"))</f>
        <v/>
      </c>
      <c r="Q402" s="30">
        <f>IF($A402="","",BDH($A402,$N$3,'參數'!$B$6,'參數'!$B$6,"Days=A","Fill=P","Dates=H"))</f>
        <v/>
      </c>
      <c r="R402" s="30">
        <f>IF($A402="","",BDH($A402,$N$3,'參數'!$B$7,'參數'!$B$7,"Days=A","Fill=P","Dates=H"))</f>
        <v/>
      </c>
      <c r="S402" s="32">
        <f>IF($A402="","",IFERROR(INDEX('發行人'!$A$5:$A$44,MATCH(B402,'發行人'!$D$5:$D$44,0)),"未對應"))</f>
        <v/>
      </c>
      <c r="T402" s="24">
        <f>IF($A402="","",IFERROR(INDEX('發行人'!$G$5:$G$44,MATCH(B402,'發行人'!$D$5:$D$44,0))+0,""))</f>
        <v/>
      </c>
      <c r="U402" s="18">
        <f>IF(ISNUMBER(E402),YEARFRAC('參數'!$B$4,E402),"")</f>
        <v/>
      </c>
      <c r="V402" s="8">
        <f>IF(U402="","",IF(U402&lt;3,"1-3y",IF(U402&lt;5,"3-5y",IF(U402&lt;7,"5-7y",IF(U402&lt;10,"7-10y","10y+")))))</f>
        <v/>
      </c>
      <c r="W402" s="30">
        <f>IF($A402="","",IFERROR(INDEX('參數'!$B$24:$B$45,MATCH(G402,'參數'!$A$24:$A$45,0)),""))</f>
        <v/>
      </c>
      <c r="X402" s="8">
        <f>IF($A402="","",IFERROR(INDEX('參數'!$C$24:$C$45,MATCH(G402,'參數'!$A$24:$A$45,0)),""))</f>
        <v/>
      </c>
      <c r="Y402" s="30">
        <f>IF(AND(ISNUMBER(N402),ISNUMBER(O402),ISNUMBER(U402)),IF(AND(O402&gt;0,X402&lt;&gt;""),1,0),0)</f>
        <v/>
      </c>
      <c r="Z402" s="17">
        <f>IF(Y402=1,O402*N402,"")</f>
        <v/>
      </c>
      <c r="AA402" s="33">
        <f>IF(Y402=1,IF(ISNUMBER(Q402),N402-Q402,""),"")</f>
        <v/>
      </c>
      <c r="AB402" s="33">
        <f>IF(Y402=1,IF(AND(ISNUMBER(P402),ISNUMBER(R402)),R402*5/12-O402*(P402-R402),""),"")</f>
        <v/>
      </c>
      <c r="AC402" s="30">
        <f>IF(Y402=1,COUNTIFS($X$5:$X$404,X402,$V$5:$V$404,V402,$Y$5:$Y$404,1),"")</f>
        <v/>
      </c>
      <c r="AD402" s="30">
        <f>IF(Y402=1,IFERROR(IF(AC402&gt;='參數'!$B$9,INDEX('分群統計'!$G$13:$K$16,MATCH(X402,'分群統計'!$A$13:$A$16,0),MATCH(V402,'分群統計'!$G$12:$K$12,0)),INDEX('分群統計'!$I$5:$I$8,MATCH(X402,'分群統計'!$A$5:$A$8,0))),""),"")</f>
        <v/>
      </c>
      <c r="AE402" s="18">
        <f>IF(Y402=1,IFERROR(IF(AC402&gt;='參數'!$B$9,INDEX('分群統計'!$L$13:$P$16,MATCH(X402,'分群統計'!$A$13:$A$16,0),MATCH(V402,'分群統計'!$L$12:$P$12,0)),INDEX('分群統計'!$J$5:$J$8,MATCH(X402,'分群統計'!$A$5:$A$8,0))),""),"")</f>
        <v/>
      </c>
      <c r="AF402" s="31">
        <f>IF(ISNUMBER(AE402),IF(AE402&gt;0,MAX(-3,MIN(3,(N402-AD402)/AE402)),0),"")</f>
        <v/>
      </c>
      <c r="AG402" s="30">
        <f>IF(Y402=1,COUNTIFS($B$5:$B$404,B402,$Y$5:$Y$404,1),"")</f>
        <v/>
      </c>
      <c r="AH402" s="30">
        <f>IF(Y402=1,IFERROR(IF(ISNUMBER(INDEX('分群統計'!$G$20:$G$59,MATCH(B402,'分群統計'!$A$20:$A$59,0))),INDEX('分群統計'!$H$20:$H$59,MATCH(B402,'分群統計'!$A$20:$A$59,0))+INDEX('分群統計'!$G$20:$G$59,MATCH(B402,'分群統計'!$A$20:$A$59,0))*AU402,""),""),"")</f>
        <v/>
      </c>
      <c r="AI402" s="34">
        <f>IF(ISNUMBER(AH402),N402-AH402,"")</f>
        <v/>
      </c>
      <c r="AJ402" s="30">
        <f>IF(Y402=1,IFERROR(IF(ISNUMBER(INDEX('分群統計'!$G$5:$G$8,MATCH(X402,'分群統計'!$A$5:$A$8,0))),INDEX('分群統計'!$H$5:$H$8,MATCH(X402,'分群統計'!$A$5:$A$8,0))+INDEX('分群統計'!$G$5:$G$8,MATCH(X402,'分群統計'!$A$5:$A$8,0))*AU402,""),""),"")</f>
        <v/>
      </c>
      <c r="AK402" s="34">
        <f>IF(ISNUMBER(AJ402),N402-AJ402,"")</f>
        <v/>
      </c>
      <c r="AL402" s="21">
        <f>IF(ISNUMBER(AJ402),IF(AJ402&gt;0,AK402/AJ402,""),"")</f>
        <v/>
      </c>
      <c r="AM402" s="31">
        <f>IF(AY402&lt;&gt;1,"",IFERROR(IF(INDEX('分群統計'!$K$5:$K$8,MATCH(X402,'分群統計'!$A$5:$A$8,0))&lt;3,"",IF(INDEX('分群統計'!$M$5:$M$8,MATCH(X402,'分群統計'!$A$5:$A$8,0))&gt;0,MAX(-3,MIN(3,(AX402-INDEX('分群統計'!$L$5:$L$8,MATCH(X402,'分群統計'!$A$5:$A$8,0)))/INDEX('分群統計'!$M$5:$M$8,MATCH(X402,'分群統計'!$A$5:$A$8,0)))),0)),""))</f>
        <v/>
      </c>
      <c r="AN402" s="31">
        <f>IF(ISNUMBER(AB402),IF(Z402&gt;0,AB402/Z402*100,""),"")</f>
        <v/>
      </c>
      <c r="AO402" s="31">
        <f>IF(BA402&lt;&gt;1,"",IFERROR(IF(INDEX('分群統計'!$N$5:$N$8,MATCH(X402,'分群統計'!$A$5:$A$8,0))&lt;3,"",IF(INDEX('分群統計'!$P$5:$P$8,MATCH(X402,'分群統計'!$A$5:$A$8,0))&gt;0,MAX(-3,MIN(3,(AZ402-INDEX('分群統計'!$O$5:$O$8,MATCH(X402,'分群統計'!$A$5:$A$8,0)))/INDEX('分群統計'!$P$5:$P$8,MATCH(X402,'分群統計'!$A$5:$A$8,0)))),0)),""))</f>
        <v/>
      </c>
      <c r="AP402" s="31">
        <f>IF(BC402&lt;&gt;1,"",IFERROR(IF(INDEX('分群統計'!$Q$5:$Q$8,MATCH(X402,'分群統計'!$A$5:$A$8,0))&lt;3,"",IF(INDEX('分群統計'!$S$5:$S$8,MATCH(X402,'分群統計'!$A$5:$A$8,0))&gt;0,MAX(-3,MIN(3,(BB402-INDEX('分群統計'!$R$5:$R$8,MATCH(X402,'分群統計'!$A$5:$A$8,0)))/INDEX('分群統計'!$S$5:$S$8,MATCH(X402,'分群統計'!$A$5:$A$8,0)))),0)),""))</f>
        <v/>
      </c>
      <c r="AQ402" s="31">
        <f>IF(Y402=1,(IF(ISNUMBER(AF402),AF402,0)*'參數'!$B$13+IF(ISNUMBER(AM402),AM402,0)*'參數'!$B$14+IF(ISNUMBER(AO402),AO402,0)*'參數'!$B$15+IF(ISNUMBER(AP402),AP402,0)*'參數'!$B$16)/('參數'!$B$13+'參數'!$B$14+'參數'!$B$15+'參數'!$B$16),"")</f>
        <v/>
      </c>
      <c r="AR402" s="35">
        <f>IF(Y402=1,(SUMPRODUCT(($X$5:$X$404=X402)*($Y$5:$Y$404=1)*($BD$5:$BD$404&gt;BD402))+1)/COUNTIFS($X$5:$X$404,X402,$Y$5:$Y$404,1),"")</f>
        <v/>
      </c>
      <c r="AS402" s="8">
        <f>IF(ISNUMBER(AR402),IF(AR402&lt;='參數'!$B$18,"加碼候選",IF(AR402&gt;'參數'!$B$19,"減碼候選","")),"")</f>
        <v/>
      </c>
      <c r="AT402" s="7">
        <f>IF(Y402=1,N402,0)</f>
        <v/>
      </c>
      <c r="AU402" s="7">
        <f>IF(Y402=1,LN(O402),0)</f>
        <v/>
      </c>
      <c r="AV402" s="36">
        <f>IF(Y402=1,IF(ISNUMBER(F402),F402,0),0)</f>
        <v/>
      </c>
      <c r="AW402" s="7">
        <f>IF(Y402=1,Z402,0)</f>
        <v/>
      </c>
      <c r="AX402" s="7">
        <f>IF(Y402=1,IF(ISNUMBER(AL402),AL402,0),0)</f>
        <v/>
      </c>
      <c r="AY402" s="7">
        <f>IF(Y402=1,IF(ISNUMBER(AL402),1,0),0)</f>
        <v/>
      </c>
      <c r="AZ402" s="7">
        <f>IF(Y402=1,IF(ISNUMBER(AN402),AN402,0),0)</f>
        <v/>
      </c>
      <c r="BA402" s="7">
        <f>IF(Y402=1,IF(ISNUMBER(AN402),1,0),0)</f>
        <v/>
      </c>
      <c r="BB402" s="7">
        <f>IF(Y402=1,IF(ISNUMBER(T402),T402,0),0)</f>
        <v/>
      </c>
      <c r="BC402" s="7">
        <f>IF(Y402=1,IF(ISNUMBER(T402),1,0),0)</f>
        <v/>
      </c>
      <c r="BD402" s="7">
        <f>IF(Y402=1,AQ402+ROW()/1E9,-1E9)</f>
        <v/>
      </c>
      <c r="BE402" s="7">
        <f>IF(Y402=1,AQ402+ROW()/1E9,1E9)</f>
        <v/>
      </c>
    </row>
    <row r="403">
      <c r="A403" s="16" t="n"/>
      <c r="B403" s="8">
        <f>IF($A403="","",BDP($A403,B$3))</f>
        <v/>
      </c>
      <c r="C403" s="8">
        <f>IF($A403="","",BDP($A403,C$3))</f>
        <v/>
      </c>
      <c r="D403" s="28">
        <f>IF($A403="","",BDP($A403,D$3))</f>
        <v/>
      </c>
      <c r="E403" s="29">
        <f>IF($A403="","",BDP($A403,E$3))</f>
        <v/>
      </c>
      <c r="F403" s="17">
        <f>IF($A403="","",BDP($A403,F$3))</f>
        <v/>
      </c>
      <c r="G403" s="8">
        <f>IF($A403="","",BDP($A403,G$3))</f>
        <v/>
      </c>
      <c r="H403" s="8">
        <f>IF($A403="","",BDP($A403,H$3))</f>
        <v/>
      </c>
      <c r="I403" s="8">
        <f>IF($A403="","",BDP($A403,I$3))</f>
        <v/>
      </c>
      <c r="J403" s="8">
        <f>IF($A403="","",BDP($A403,J$3))</f>
        <v/>
      </c>
      <c r="K403" s="8">
        <f>IF($A403="","",BDP($A403,K$3))</f>
        <v/>
      </c>
      <c r="L403" s="28">
        <f>IF($A403="","",BDP($A403,L$3))</f>
        <v/>
      </c>
      <c r="M403" s="28">
        <f>IF($A403="","",BDP($A403,M$3))</f>
        <v/>
      </c>
      <c r="N403" s="30">
        <f>IF($A403="","",BDP($A403,N$3))</f>
        <v/>
      </c>
      <c r="O403" s="31">
        <f>IF($A403="","",BDP($A403,O$3))</f>
        <v/>
      </c>
      <c r="P403" s="30">
        <f>IF($A403="","",BDH($A403,$N$3,'參數'!$B$5,'參數'!$B$5,"Days=A","Fill=P","Dates=H"))</f>
        <v/>
      </c>
      <c r="Q403" s="30">
        <f>IF($A403="","",BDH($A403,$N$3,'參數'!$B$6,'參數'!$B$6,"Days=A","Fill=P","Dates=H"))</f>
        <v/>
      </c>
      <c r="R403" s="30">
        <f>IF($A403="","",BDH($A403,$N$3,'參數'!$B$7,'參數'!$B$7,"Days=A","Fill=P","Dates=H"))</f>
        <v/>
      </c>
      <c r="S403" s="32">
        <f>IF($A403="","",IFERROR(INDEX('發行人'!$A$5:$A$44,MATCH(B403,'發行人'!$D$5:$D$44,0)),"未對應"))</f>
        <v/>
      </c>
      <c r="T403" s="24">
        <f>IF($A403="","",IFERROR(INDEX('發行人'!$G$5:$G$44,MATCH(B403,'發行人'!$D$5:$D$44,0))+0,""))</f>
        <v/>
      </c>
      <c r="U403" s="18">
        <f>IF(ISNUMBER(E403),YEARFRAC('參數'!$B$4,E403),"")</f>
        <v/>
      </c>
      <c r="V403" s="8">
        <f>IF(U403="","",IF(U403&lt;3,"1-3y",IF(U403&lt;5,"3-5y",IF(U403&lt;7,"5-7y",IF(U403&lt;10,"7-10y","10y+")))))</f>
        <v/>
      </c>
      <c r="W403" s="30">
        <f>IF($A403="","",IFERROR(INDEX('參數'!$B$24:$B$45,MATCH(G403,'參數'!$A$24:$A$45,0)),""))</f>
        <v/>
      </c>
      <c r="X403" s="8">
        <f>IF($A403="","",IFERROR(INDEX('參數'!$C$24:$C$45,MATCH(G403,'參數'!$A$24:$A$45,0)),""))</f>
        <v/>
      </c>
      <c r="Y403" s="30">
        <f>IF(AND(ISNUMBER(N403),ISNUMBER(O403),ISNUMBER(U403)),IF(AND(O403&gt;0,X403&lt;&gt;""),1,0),0)</f>
        <v/>
      </c>
      <c r="Z403" s="17">
        <f>IF(Y403=1,O403*N403,"")</f>
        <v/>
      </c>
      <c r="AA403" s="33">
        <f>IF(Y403=1,IF(ISNUMBER(Q403),N403-Q403,""),"")</f>
        <v/>
      </c>
      <c r="AB403" s="33">
        <f>IF(Y403=1,IF(AND(ISNUMBER(P403),ISNUMBER(R403)),R403*5/12-O403*(P403-R403),""),"")</f>
        <v/>
      </c>
      <c r="AC403" s="30">
        <f>IF(Y403=1,COUNTIFS($X$5:$X$404,X403,$V$5:$V$404,V403,$Y$5:$Y$404,1),"")</f>
        <v/>
      </c>
      <c r="AD403" s="30">
        <f>IF(Y403=1,IFERROR(IF(AC403&gt;='參數'!$B$9,INDEX('分群統計'!$G$13:$K$16,MATCH(X403,'分群統計'!$A$13:$A$16,0),MATCH(V403,'分群統計'!$G$12:$K$12,0)),INDEX('分群統計'!$I$5:$I$8,MATCH(X403,'分群統計'!$A$5:$A$8,0))),""),"")</f>
        <v/>
      </c>
      <c r="AE403" s="18">
        <f>IF(Y403=1,IFERROR(IF(AC403&gt;='參數'!$B$9,INDEX('分群統計'!$L$13:$P$16,MATCH(X403,'分群統計'!$A$13:$A$16,0),MATCH(V403,'分群統計'!$L$12:$P$12,0)),INDEX('分群統計'!$J$5:$J$8,MATCH(X403,'分群統計'!$A$5:$A$8,0))),""),"")</f>
        <v/>
      </c>
      <c r="AF403" s="31">
        <f>IF(ISNUMBER(AE403),IF(AE403&gt;0,MAX(-3,MIN(3,(N403-AD403)/AE403)),0),"")</f>
        <v/>
      </c>
      <c r="AG403" s="30">
        <f>IF(Y403=1,COUNTIFS($B$5:$B$404,B403,$Y$5:$Y$404,1),"")</f>
        <v/>
      </c>
      <c r="AH403" s="30">
        <f>IF(Y403=1,IFERROR(IF(ISNUMBER(INDEX('分群統計'!$G$20:$G$59,MATCH(B403,'分群統計'!$A$20:$A$59,0))),INDEX('分群統計'!$H$20:$H$59,MATCH(B403,'分群統計'!$A$20:$A$59,0))+INDEX('分群統計'!$G$20:$G$59,MATCH(B403,'分群統計'!$A$20:$A$59,0))*AU403,""),""),"")</f>
        <v/>
      </c>
      <c r="AI403" s="34">
        <f>IF(ISNUMBER(AH403),N403-AH403,"")</f>
        <v/>
      </c>
      <c r="AJ403" s="30">
        <f>IF(Y403=1,IFERROR(IF(ISNUMBER(INDEX('分群統計'!$G$5:$G$8,MATCH(X403,'分群統計'!$A$5:$A$8,0))),INDEX('分群統計'!$H$5:$H$8,MATCH(X403,'分群統計'!$A$5:$A$8,0))+INDEX('分群統計'!$G$5:$G$8,MATCH(X403,'分群統計'!$A$5:$A$8,0))*AU403,""),""),"")</f>
        <v/>
      </c>
      <c r="AK403" s="34">
        <f>IF(ISNUMBER(AJ403),N403-AJ403,"")</f>
        <v/>
      </c>
      <c r="AL403" s="21">
        <f>IF(ISNUMBER(AJ403),IF(AJ403&gt;0,AK403/AJ403,""),"")</f>
        <v/>
      </c>
      <c r="AM403" s="31">
        <f>IF(AY403&lt;&gt;1,"",IFERROR(IF(INDEX('分群統計'!$K$5:$K$8,MATCH(X403,'分群統計'!$A$5:$A$8,0))&lt;3,"",IF(INDEX('分群統計'!$M$5:$M$8,MATCH(X403,'分群統計'!$A$5:$A$8,0))&gt;0,MAX(-3,MIN(3,(AX403-INDEX('分群統計'!$L$5:$L$8,MATCH(X403,'分群統計'!$A$5:$A$8,0)))/INDEX('分群統計'!$M$5:$M$8,MATCH(X403,'分群統計'!$A$5:$A$8,0)))),0)),""))</f>
        <v/>
      </c>
      <c r="AN403" s="31">
        <f>IF(ISNUMBER(AB403),IF(Z403&gt;0,AB403/Z403*100,""),"")</f>
        <v/>
      </c>
      <c r="AO403" s="31">
        <f>IF(BA403&lt;&gt;1,"",IFERROR(IF(INDEX('分群統計'!$N$5:$N$8,MATCH(X403,'分群統計'!$A$5:$A$8,0))&lt;3,"",IF(INDEX('分群統計'!$P$5:$P$8,MATCH(X403,'分群統計'!$A$5:$A$8,0))&gt;0,MAX(-3,MIN(3,(AZ403-INDEX('分群統計'!$O$5:$O$8,MATCH(X403,'分群統計'!$A$5:$A$8,0)))/INDEX('分群統計'!$P$5:$P$8,MATCH(X403,'分群統計'!$A$5:$A$8,0)))),0)),""))</f>
        <v/>
      </c>
      <c r="AP403" s="31">
        <f>IF(BC403&lt;&gt;1,"",IFERROR(IF(INDEX('分群統計'!$Q$5:$Q$8,MATCH(X403,'分群統計'!$A$5:$A$8,0))&lt;3,"",IF(INDEX('分群統計'!$S$5:$S$8,MATCH(X403,'分群統計'!$A$5:$A$8,0))&gt;0,MAX(-3,MIN(3,(BB403-INDEX('分群統計'!$R$5:$R$8,MATCH(X403,'分群統計'!$A$5:$A$8,0)))/INDEX('分群統計'!$S$5:$S$8,MATCH(X403,'分群統計'!$A$5:$A$8,0)))),0)),""))</f>
        <v/>
      </c>
      <c r="AQ403" s="31">
        <f>IF(Y403=1,(IF(ISNUMBER(AF403),AF403,0)*'參數'!$B$13+IF(ISNUMBER(AM403),AM403,0)*'參數'!$B$14+IF(ISNUMBER(AO403),AO403,0)*'參數'!$B$15+IF(ISNUMBER(AP403),AP403,0)*'參數'!$B$16)/('參數'!$B$13+'參數'!$B$14+'參數'!$B$15+'參數'!$B$16),"")</f>
        <v/>
      </c>
      <c r="AR403" s="35">
        <f>IF(Y403=1,(SUMPRODUCT(($X$5:$X$404=X403)*($Y$5:$Y$404=1)*($BD$5:$BD$404&gt;BD403))+1)/COUNTIFS($X$5:$X$404,X403,$Y$5:$Y$404,1),"")</f>
        <v/>
      </c>
      <c r="AS403" s="8">
        <f>IF(ISNUMBER(AR403),IF(AR403&lt;='參數'!$B$18,"加碼候選",IF(AR403&gt;'參數'!$B$19,"減碼候選","")),"")</f>
        <v/>
      </c>
      <c r="AT403" s="7">
        <f>IF(Y403=1,N403,0)</f>
        <v/>
      </c>
      <c r="AU403" s="7">
        <f>IF(Y403=1,LN(O403),0)</f>
        <v/>
      </c>
      <c r="AV403" s="36">
        <f>IF(Y403=1,IF(ISNUMBER(F403),F403,0),0)</f>
        <v/>
      </c>
      <c r="AW403" s="7">
        <f>IF(Y403=1,Z403,0)</f>
        <v/>
      </c>
      <c r="AX403" s="7">
        <f>IF(Y403=1,IF(ISNUMBER(AL403),AL403,0),0)</f>
        <v/>
      </c>
      <c r="AY403" s="7">
        <f>IF(Y403=1,IF(ISNUMBER(AL403),1,0),0)</f>
        <v/>
      </c>
      <c r="AZ403" s="7">
        <f>IF(Y403=1,IF(ISNUMBER(AN403),AN403,0),0)</f>
        <v/>
      </c>
      <c r="BA403" s="7">
        <f>IF(Y403=1,IF(ISNUMBER(AN403),1,0),0)</f>
        <v/>
      </c>
      <c r="BB403" s="7">
        <f>IF(Y403=1,IF(ISNUMBER(T403),T403,0),0)</f>
        <v/>
      </c>
      <c r="BC403" s="7">
        <f>IF(Y403=1,IF(ISNUMBER(T403),1,0),0)</f>
        <v/>
      </c>
      <c r="BD403" s="7">
        <f>IF(Y403=1,AQ403+ROW()/1E9,-1E9)</f>
        <v/>
      </c>
      <c r="BE403" s="7">
        <f>IF(Y403=1,AQ403+ROW()/1E9,1E9)</f>
        <v/>
      </c>
    </row>
    <row r="404">
      <c r="A404" s="16" t="n"/>
      <c r="B404" s="8">
        <f>IF($A404="","",BDP($A404,B$3))</f>
        <v/>
      </c>
      <c r="C404" s="8">
        <f>IF($A404="","",BDP($A404,C$3))</f>
        <v/>
      </c>
      <c r="D404" s="28">
        <f>IF($A404="","",BDP($A404,D$3))</f>
        <v/>
      </c>
      <c r="E404" s="29">
        <f>IF($A404="","",BDP($A404,E$3))</f>
        <v/>
      </c>
      <c r="F404" s="17">
        <f>IF($A404="","",BDP($A404,F$3))</f>
        <v/>
      </c>
      <c r="G404" s="8">
        <f>IF($A404="","",BDP($A404,G$3))</f>
        <v/>
      </c>
      <c r="H404" s="8">
        <f>IF($A404="","",BDP($A404,H$3))</f>
        <v/>
      </c>
      <c r="I404" s="8">
        <f>IF($A404="","",BDP($A404,I$3))</f>
        <v/>
      </c>
      <c r="J404" s="8">
        <f>IF($A404="","",BDP($A404,J$3))</f>
        <v/>
      </c>
      <c r="K404" s="8">
        <f>IF($A404="","",BDP($A404,K$3))</f>
        <v/>
      </c>
      <c r="L404" s="28">
        <f>IF($A404="","",BDP($A404,L$3))</f>
        <v/>
      </c>
      <c r="M404" s="28">
        <f>IF($A404="","",BDP($A404,M$3))</f>
        <v/>
      </c>
      <c r="N404" s="30">
        <f>IF($A404="","",BDP($A404,N$3))</f>
        <v/>
      </c>
      <c r="O404" s="31">
        <f>IF($A404="","",BDP($A404,O$3))</f>
        <v/>
      </c>
      <c r="P404" s="30">
        <f>IF($A404="","",BDH($A404,$N$3,'參數'!$B$5,'參數'!$B$5,"Days=A","Fill=P","Dates=H"))</f>
        <v/>
      </c>
      <c r="Q404" s="30">
        <f>IF($A404="","",BDH($A404,$N$3,'參數'!$B$6,'參數'!$B$6,"Days=A","Fill=P","Dates=H"))</f>
        <v/>
      </c>
      <c r="R404" s="30">
        <f>IF($A404="","",BDH($A404,$N$3,'參數'!$B$7,'參數'!$B$7,"Days=A","Fill=P","Dates=H"))</f>
        <v/>
      </c>
      <c r="S404" s="32">
        <f>IF($A404="","",IFERROR(INDEX('發行人'!$A$5:$A$44,MATCH(B404,'發行人'!$D$5:$D$44,0)),"未對應"))</f>
        <v/>
      </c>
      <c r="T404" s="24">
        <f>IF($A404="","",IFERROR(INDEX('發行人'!$G$5:$G$44,MATCH(B404,'發行人'!$D$5:$D$44,0))+0,""))</f>
        <v/>
      </c>
      <c r="U404" s="18">
        <f>IF(ISNUMBER(E404),YEARFRAC('參數'!$B$4,E404),"")</f>
        <v/>
      </c>
      <c r="V404" s="8">
        <f>IF(U404="","",IF(U404&lt;3,"1-3y",IF(U404&lt;5,"3-5y",IF(U404&lt;7,"5-7y",IF(U404&lt;10,"7-10y","10y+")))))</f>
        <v/>
      </c>
      <c r="W404" s="30">
        <f>IF($A404="","",IFERROR(INDEX('參數'!$B$24:$B$45,MATCH(G404,'參數'!$A$24:$A$45,0)),""))</f>
        <v/>
      </c>
      <c r="X404" s="8">
        <f>IF($A404="","",IFERROR(INDEX('參數'!$C$24:$C$45,MATCH(G404,'參數'!$A$24:$A$45,0)),""))</f>
        <v/>
      </c>
      <c r="Y404" s="30">
        <f>IF(AND(ISNUMBER(N404),ISNUMBER(O404),ISNUMBER(U404)),IF(AND(O404&gt;0,X404&lt;&gt;""),1,0),0)</f>
        <v/>
      </c>
      <c r="Z404" s="17">
        <f>IF(Y404=1,O404*N404,"")</f>
        <v/>
      </c>
      <c r="AA404" s="33">
        <f>IF(Y404=1,IF(ISNUMBER(Q404),N404-Q404,""),"")</f>
        <v/>
      </c>
      <c r="AB404" s="33">
        <f>IF(Y404=1,IF(AND(ISNUMBER(P404),ISNUMBER(R404)),R404*5/12-O404*(P404-R404),""),"")</f>
        <v/>
      </c>
      <c r="AC404" s="30">
        <f>IF(Y404=1,COUNTIFS($X$5:$X$404,X404,$V$5:$V$404,V404,$Y$5:$Y$404,1),"")</f>
        <v/>
      </c>
      <c r="AD404" s="30">
        <f>IF(Y404=1,IFERROR(IF(AC404&gt;='參數'!$B$9,INDEX('分群統計'!$G$13:$K$16,MATCH(X404,'分群統計'!$A$13:$A$16,0),MATCH(V404,'分群統計'!$G$12:$K$12,0)),INDEX('分群統計'!$I$5:$I$8,MATCH(X404,'分群統計'!$A$5:$A$8,0))),""),"")</f>
        <v/>
      </c>
      <c r="AE404" s="18">
        <f>IF(Y404=1,IFERROR(IF(AC404&gt;='參數'!$B$9,INDEX('分群統計'!$L$13:$P$16,MATCH(X404,'分群統計'!$A$13:$A$16,0),MATCH(V404,'分群統計'!$L$12:$P$12,0)),INDEX('分群統計'!$J$5:$J$8,MATCH(X404,'分群統計'!$A$5:$A$8,0))),""),"")</f>
        <v/>
      </c>
      <c r="AF404" s="31">
        <f>IF(ISNUMBER(AE404),IF(AE404&gt;0,MAX(-3,MIN(3,(N404-AD404)/AE404)),0),"")</f>
        <v/>
      </c>
      <c r="AG404" s="30">
        <f>IF(Y404=1,COUNTIFS($B$5:$B$404,B404,$Y$5:$Y$404,1),"")</f>
        <v/>
      </c>
      <c r="AH404" s="30">
        <f>IF(Y404=1,IFERROR(IF(ISNUMBER(INDEX('分群統計'!$G$20:$G$59,MATCH(B404,'分群統計'!$A$20:$A$59,0))),INDEX('分群統計'!$H$20:$H$59,MATCH(B404,'分群統計'!$A$20:$A$59,0))+INDEX('分群統計'!$G$20:$G$59,MATCH(B404,'分群統計'!$A$20:$A$59,0))*AU404,""),""),"")</f>
        <v/>
      </c>
      <c r="AI404" s="34">
        <f>IF(ISNUMBER(AH404),N404-AH404,"")</f>
        <v/>
      </c>
      <c r="AJ404" s="30">
        <f>IF(Y404=1,IFERROR(IF(ISNUMBER(INDEX('分群統計'!$G$5:$G$8,MATCH(X404,'分群統計'!$A$5:$A$8,0))),INDEX('分群統計'!$H$5:$H$8,MATCH(X404,'分群統計'!$A$5:$A$8,0))+INDEX('分群統計'!$G$5:$G$8,MATCH(X404,'分群統計'!$A$5:$A$8,0))*AU404,""),""),"")</f>
        <v/>
      </c>
      <c r="AK404" s="34">
        <f>IF(ISNUMBER(AJ404),N404-AJ404,"")</f>
        <v/>
      </c>
      <c r="AL404" s="21">
        <f>IF(ISNUMBER(AJ404),IF(AJ404&gt;0,AK404/AJ404,""),"")</f>
        <v/>
      </c>
      <c r="AM404" s="31">
        <f>IF(AY404&lt;&gt;1,"",IFERROR(IF(INDEX('分群統計'!$K$5:$K$8,MATCH(X404,'分群統計'!$A$5:$A$8,0))&lt;3,"",IF(INDEX('分群統計'!$M$5:$M$8,MATCH(X404,'分群統計'!$A$5:$A$8,0))&gt;0,MAX(-3,MIN(3,(AX404-INDEX('分群統計'!$L$5:$L$8,MATCH(X404,'分群統計'!$A$5:$A$8,0)))/INDEX('分群統計'!$M$5:$M$8,MATCH(X404,'分群統計'!$A$5:$A$8,0)))),0)),""))</f>
        <v/>
      </c>
      <c r="AN404" s="31">
        <f>IF(ISNUMBER(AB404),IF(Z404&gt;0,AB404/Z404*100,""),"")</f>
        <v/>
      </c>
      <c r="AO404" s="31">
        <f>IF(BA404&lt;&gt;1,"",IFERROR(IF(INDEX('分群統計'!$N$5:$N$8,MATCH(X404,'分群統計'!$A$5:$A$8,0))&lt;3,"",IF(INDEX('分群統計'!$P$5:$P$8,MATCH(X404,'分群統計'!$A$5:$A$8,0))&gt;0,MAX(-3,MIN(3,(AZ404-INDEX('分群統計'!$O$5:$O$8,MATCH(X404,'分群統計'!$A$5:$A$8,0)))/INDEX('分群統計'!$P$5:$P$8,MATCH(X404,'分群統計'!$A$5:$A$8,0)))),0)),""))</f>
        <v/>
      </c>
      <c r="AP404" s="31">
        <f>IF(BC404&lt;&gt;1,"",IFERROR(IF(INDEX('分群統計'!$Q$5:$Q$8,MATCH(X404,'分群統計'!$A$5:$A$8,0))&lt;3,"",IF(INDEX('分群統計'!$S$5:$S$8,MATCH(X404,'分群統計'!$A$5:$A$8,0))&gt;0,MAX(-3,MIN(3,(BB404-INDEX('分群統計'!$R$5:$R$8,MATCH(X404,'分群統計'!$A$5:$A$8,0)))/INDEX('分群統計'!$S$5:$S$8,MATCH(X404,'分群統計'!$A$5:$A$8,0)))),0)),""))</f>
        <v/>
      </c>
      <c r="AQ404" s="31">
        <f>IF(Y404=1,(IF(ISNUMBER(AF404),AF404,0)*'參數'!$B$13+IF(ISNUMBER(AM404),AM404,0)*'參數'!$B$14+IF(ISNUMBER(AO404),AO404,0)*'參數'!$B$15+IF(ISNUMBER(AP404),AP404,0)*'參數'!$B$16)/('參數'!$B$13+'參數'!$B$14+'參數'!$B$15+'參數'!$B$16),"")</f>
        <v/>
      </c>
      <c r="AR404" s="35">
        <f>IF(Y404=1,(SUMPRODUCT(($X$5:$X$404=X404)*($Y$5:$Y$404=1)*($BD$5:$BD$404&gt;BD404))+1)/COUNTIFS($X$5:$X$404,X404,$Y$5:$Y$404,1),"")</f>
        <v/>
      </c>
      <c r="AS404" s="8">
        <f>IF(ISNUMBER(AR404),IF(AR404&lt;='參數'!$B$18,"加碼候選",IF(AR404&gt;'參數'!$B$19,"減碼候選","")),"")</f>
        <v/>
      </c>
      <c r="AT404" s="7">
        <f>IF(Y404=1,N404,0)</f>
        <v/>
      </c>
      <c r="AU404" s="7">
        <f>IF(Y404=1,LN(O404),0)</f>
        <v/>
      </c>
      <c r="AV404" s="36">
        <f>IF(Y404=1,IF(ISNUMBER(F404),F404,0),0)</f>
        <v/>
      </c>
      <c r="AW404" s="7">
        <f>IF(Y404=1,Z404,0)</f>
        <v/>
      </c>
      <c r="AX404" s="7">
        <f>IF(Y404=1,IF(ISNUMBER(AL404),AL404,0),0)</f>
        <v/>
      </c>
      <c r="AY404" s="7">
        <f>IF(Y404=1,IF(ISNUMBER(AL404),1,0),0)</f>
        <v/>
      </c>
      <c r="AZ404" s="7">
        <f>IF(Y404=1,IF(ISNUMBER(AN404),AN404,0),0)</f>
        <v/>
      </c>
      <c r="BA404" s="7">
        <f>IF(Y404=1,IF(ISNUMBER(AN404),1,0),0)</f>
        <v/>
      </c>
      <c r="BB404" s="7">
        <f>IF(Y404=1,IF(ISNUMBER(T404),T404,0),0)</f>
        <v/>
      </c>
      <c r="BC404" s="7">
        <f>IF(Y404=1,IF(ISNUMBER(T404),1,0),0)</f>
        <v/>
      </c>
      <c r="BD404" s="7">
        <f>IF(Y404=1,AQ404+ROW()/1E9,-1E9)</f>
        <v/>
      </c>
      <c r="BE404" s="7">
        <f>IF(Y404=1,AQ404+ROW()/1E9,1E9)</f>
        <v/>
      </c>
    </row>
  </sheetData>
  <autoFilter ref="A4:AS404"/>
  <conditionalFormatting sqref="AQ5:AQ404">
    <cfRule type="colorScale" priority="1">
      <colorScale>
        <cfvo type="num" val="-1.5"/>
        <cfvo type="num" val="0"/>
        <cfvo type="num" val="1.5"/>
        <color rgb="00F8696B"/>
        <color rgb="00FFFFFF"/>
        <color rgb="0063BE7B"/>
      </colorScale>
    </cfRule>
  </conditionalFormatting>
  <conditionalFormatting sqref="AS5:AS404">
    <cfRule type="cellIs" priority="2" operator="equal" dxfId="0">
      <formula>"加碼候選"</formula>
    </cfRule>
    <cfRule type="cellIs" priority="3" operator="equal" dxfId="1">
      <formula>"減碼候選"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6" t="inlineStr">
        <is>
          <t>分群統計（自動計算，請勿修改）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7" t="inlineStr">
        <is>
          <t>曲線擬合：OAS = 截距 + 斜率 × ln(存續期間)，用最小平方法；檔數不足「參數」表門檻時不擬合。z 分數用的平均與標準差也在這裡計算。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>
      <c r="A3" s="13" t="inlineStr">
        <is>
          <t>A. 評等分群：評等曲線、Carry 退回值、各因子的平均與標準差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s="14" t="inlineStr">
        <is>
          <t>評等分群</t>
        </is>
      </c>
      <c r="B4" s="14" t="inlineStr">
        <is>
          <t>檔數</t>
        </is>
      </c>
      <c r="C4" s="14" t="inlineStr">
        <is>
          <t>Σx</t>
        </is>
      </c>
      <c r="D4" s="14" t="inlineStr">
        <is>
          <t>Σy</t>
        </is>
      </c>
      <c r="E4" s="14" t="inlineStr">
        <is>
          <t>Σx²</t>
        </is>
      </c>
      <c r="F4" s="14" t="inlineStr">
        <is>
          <t>Σxy</t>
        </is>
      </c>
      <c r="G4" s="14" t="inlineStr">
        <is>
          <t>曲線斜率</t>
        </is>
      </c>
      <c r="H4" s="14" t="inlineStr">
        <is>
          <t>曲線截距</t>
        </is>
      </c>
      <c r="I4" s="14" t="inlineStr">
        <is>
          <t>OAS 平均</t>
        </is>
      </c>
      <c r="J4" s="14" t="inlineStr">
        <is>
          <t>OAS 標準差</t>
        </is>
      </c>
      <c r="K4" s="14" t="inlineStr">
        <is>
          <t>Value 檔數</t>
        </is>
      </c>
      <c r="L4" s="14" t="inlineStr">
        <is>
          <t>Value 平均</t>
        </is>
      </c>
      <c r="M4" s="14" t="inlineStr">
        <is>
          <t>Value 標準差</t>
        </is>
      </c>
      <c r="N4" s="14" t="inlineStr">
        <is>
          <t>動能 檔數</t>
        </is>
      </c>
      <c r="O4" s="14" t="inlineStr">
        <is>
          <t>動能 平均</t>
        </is>
      </c>
      <c r="P4" s="14" t="inlineStr">
        <is>
          <t>動能 標準差</t>
        </is>
      </c>
      <c r="Q4" s="14" t="inlineStr">
        <is>
          <t>股票 檔數</t>
        </is>
      </c>
      <c r="R4" s="14" t="inlineStr">
        <is>
          <t>股票 平均</t>
        </is>
      </c>
      <c r="S4" s="14" t="inlineStr">
        <is>
          <t>股票 標準差</t>
        </is>
      </c>
    </row>
    <row r="5">
      <c r="A5" s="15" t="inlineStr">
        <is>
          <t>AA以上</t>
        </is>
      </c>
      <c r="B5" s="22">
        <f>SUMPRODUCT(('債券'!$Y$5:$Y$404=1)*('債券'!$X$5:$X$404=$A5))</f>
        <v/>
      </c>
      <c r="C5" s="25">
        <f>SUMPRODUCT(('債券'!$Y$5:$Y$404=1)*('債券'!$X$5:$X$404=$A5)*'債券'!$AU$5:$AU$404)</f>
        <v/>
      </c>
      <c r="D5" s="23">
        <f>SUMPRODUCT(('債券'!$Y$5:$Y$404=1)*('債券'!$X$5:$X$404=$A5)*'債券'!$AT$5:$AT$404)</f>
        <v/>
      </c>
      <c r="E5" s="25">
        <f>SUMPRODUCT(('債券'!$Y$5:$Y$404=1)*('債券'!$X$5:$X$404=$A5)*'債券'!$AU$5:$AU$404^2)</f>
        <v/>
      </c>
      <c r="F5" s="23">
        <f>SUMPRODUCT(('債券'!$Y$5:$Y$404=1)*('債券'!$X$5:$X$404=$A5)*'債券'!$AU$5:$AU$404*'債券'!$AT$5:$AT$404)</f>
        <v/>
      </c>
      <c r="G5" s="18">
        <f>IF(B5&lt;'參數'!$B$11,"",IF(ABS((B5*E5-C5^2))&lt;1E-9,0,(B5*F5-C5*D5)/(B5*E5-C5^2)))</f>
        <v/>
      </c>
      <c r="H5" s="18">
        <f>IF(B5&lt;'參數'!$B$11,"",(D5-G5*C5)/B5)</f>
        <v/>
      </c>
      <c r="I5" s="18">
        <f>IF(B5&gt;0,D5/B5,"")</f>
        <v/>
      </c>
      <c r="J5" s="24">
        <f>IF(B5&gt;1,SQRT(SUMPRODUCT(('債券'!$Y$5:$Y$404=1)*('債券'!$X$5:$X$404=$A5)*('債券'!$AT$5:$AT$404-I5)^2)/(B5-1)),"")</f>
        <v/>
      </c>
      <c r="K5" s="22">
        <f>SUMPRODUCT(('債券'!$AY$5:$AY$404=1)*('債券'!$X$5:$X$404=$A5))</f>
        <v/>
      </c>
      <c r="L5" s="37">
        <f>IF(K5&gt;0,SUMPRODUCT(('債券'!$AY$5:$AY$404=1)*('債券'!$X$5:$X$404=$A5)*'債券'!$AX$5:$AX$404)/K5,"")</f>
        <v/>
      </c>
      <c r="M5" s="37">
        <f>IF(K5&gt;1,SQRT(SUMPRODUCT(('債券'!$AY$5:$AY$404=1)*('債券'!$X$5:$X$404=$A5)*('債券'!$AX$5:$AX$404-L5)^2)/(K5-1)),"")</f>
        <v/>
      </c>
      <c r="N5" s="22">
        <f>SUMPRODUCT(('債券'!$BA$5:$BA$404=1)*('債券'!$X$5:$X$404=$A5))</f>
        <v/>
      </c>
      <c r="O5" s="25">
        <f>IF(N5&gt;0,SUMPRODUCT(('債券'!$BA$5:$BA$404=1)*('債券'!$X$5:$X$404=$A5)*'債券'!$AZ$5:$AZ$404)/N5,"")</f>
        <v/>
      </c>
      <c r="P5" s="25">
        <f>IF(N5&gt;1,SQRT(SUMPRODUCT(('債券'!$BA$5:$BA$404=1)*('債券'!$X$5:$X$404=$A5)*('債券'!$AZ$5:$AZ$404-O5)^2)/(N5-1)),"")</f>
        <v/>
      </c>
      <c r="Q5" s="22">
        <f>SUMPRODUCT(('債券'!$BC$5:$BC$404=1)*('債券'!$X$5:$X$404=$A5))</f>
        <v/>
      </c>
      <c r="R5" s="24">
        <f>IF(Q5&gt;0,SUMPRODUCT(('債券'!$BC$5:$BC$404=1)*('債券'!$X$5:$X$404=$A5)*'債券'!$BB$5:$BB$404)/Q5,"")</f>
        <v/>
      </c>
      <c r="S5" s="24">
        <f>IF(Q5&gt;1,SQRT(SUMPRODUCT(('債券'!$BC$5:$BC$404=1)*('債券'!$X$5:$X$404=$A5)*('債券'!$BB$5:$BB$404-R5)^2)/(Q5-1)),"")</f>
        <v/>
      </c>
    </row>
    <row r="6">
      <c r="A6" s="15" t="inlineStr">
        <is>
          <t>A</t>
        </is>
      </c>
      <c r="B6" s="22">
        <f>SUMPRODUCT(('債券'!$Y$5:$Y$404=1)*('債券'!$X$5:$X$404=$A6))</f>
        <v/>
      </c>
      <c r="C6" s="25">
        <f>SUMPRODUCT(('債券'!$Y$5:$Y$404=1)*('債券'!$X$5:$X$404=$A6)*'債券'!$AU$5:$AU$404)</f>
        <v/>
      </c>
      <c r="D6" s="23">
        <f>SUMPRODUCT(('債券'!$Y$5:$Y$404=1)*('債券'!$X$5:$X$404=$A6)*'債券'!$AT$5:$AT$404)</f>
        <v/>
      </c>
      <c r="E6" s="25">
        <f>SUMPRODUCT(('債券'!$Y$5:$Y$404=1)*('債券'!$X$5:$X$404=$A6)*'債券'!$AU$5:$AU$404^2)</f>
        <v/>
      </c>
      <c r="F6" s="23">
        <f>SUMPRODUCT(('債券'!$Y$5:$Y$404=1)*('債券'!$X$5:$X$404=$A6)*'債券'!$AU$5:$AU$404*'債券'!$AT$5:$AT$404)</f>
        <v/>
      </c>
      <c r="G6" s="18">
        <f>IF(B6&lt;'參數'!$B$11,"",IF(ABS((B6*E6-C6^2))&lt;1E-9,0,(B6*F6-C6*D6)/(B6*E6-C6^2)))</f>
        <v/>
      </c>
      <c r="H6" s="18">
        <f>IF(B6&lt;'參數'!$B$11,"",(D6-G6*C6)/B6)</f>
        <v/>
      </c>
      <c r="I6" s="18">
        <f>IF(B6&gt;0,D6/B6,"")</f>
        <v/>
      </c>
      <c r="J6" s="24">
        <f>IF(B6&gt;1,SQRT(SUMPRODUCT(('債券'!$Y$5:$Y$404=1)*('債券'!$X$5:$X$404=$A6)*('債券'!$AT$5:$AT$404-I6)^2)/(B6-1)),"")</f>
        <v/>
      </c>
      <c r="K6" s="22">
        <f>SUMPRODUCT(('債券'!$AY$5:$AY$404=1)*('債券'!$X$5:$X$404=$A6))</f>
        <v/>
      </c>
      <c r="L6" s="37">
        <f>IF(K6&gt;0,SUMPRODUCT(('債券'!$AY$5:$AY$404=1)*('債券'!$X$5:$X$404=$A6)*'債券'!$AX$5:$AX$404)/K6,"")</f>
        <v/>
      </c>
      <c r="M6" s="37">
        <f>IF(K6&gt;1,SQRT(SUMPRODUCT(('債券'!$AY$5:$AY$404=1)*('債券'!$X$5:$X$404=$A6)*('債券'!$AX$5:$AX$404-L6)^2)/(K6-1)),"")</f>
        <v/>
      </c>
      <c r="N6" s="22">
        <f>SUMPRODUCT(('債券'!$BA$5:$BA$404=1)*('債券'!$X$5:$X$404=$A6))</f>
        <v/>
      </c>
      <c r="O6" s="25">
        <f>IF(N6&gt;0,SUMPRODUCT(('債券'!$BA$5:$BA$404=1)*('債券'!$X$5:$X$404=$A6)*'債券'!$AZ$5:$AZ$404)/N6,"")</f>
        <v/>
      </c>
      <c r="P6" s="25">
        <f>IF(N6&gt;1,SQRT(SUMPRODUCT(('債券'!$BA$5:$BA$404=1)*('債券'!$X$5:$X$404=$A6)*('債券'!$AZ$5:$AZ$404-O6)^2)/(N6-1)),"")</f>
        <v/>
      </c>
      <c r="Q6" s="22">
        <f>SUMPRODUCT(('債券'!$BC$5:$BC$404=1)*('債券'!$X$5:$X$404=$A6))</f>
        <v/>
      </c>
      <c r="R6" s="24">
        <f>IF(Q6&gt;0,SUMPRODUCT(('債券'!$BC$5:$BC$404=1)*('債券'!$X$5:$X$404=$A6)*'債券'!$BB$5:$BB$404)/Q6,"")</f>
        <v/>
      </c>
      <c r="S6" s="24">
        <f>IF(Q6&gt;1,SQRT(SUMPRODUCT(('債券'!$BC$5:$BC$404=1)*('債券'!$X$5:$X$404=$A6)*('債券'!$BB$5:$BB$404-R6)^2)/(Q6-1)),"")</f>
        <v/>
      </c>
    </row>
    <row r="7">
      <c r="A7" s="15" t="inlineStr">
        <is>
          <t>BBB</t>
        </is>
      </c>
      <c r="B7" s="22">
        <f>SUMPRODUCT(('債券'!$Y$5:$Y$404=1)*('債券'!$X$5:$X$404=$A7))</f>
        <v/>
      </c>
      <c r="C7" s="25">
        <f>SUMPRODUCT(('債券'!$Y$5:$Y$404=1)*('債券'!$X$5:$X$404=$A7)*'債券'!$AU$5:$AU$404)</f>
        <v/>
      </c>
      <c r="D7" s="23">
        <f>SUMPRODUCT(('債券'!$Y$5:$Y$404=1)*('債券'!$X$5:$X$404=$A7)*'債券'!$AT$5:$AT$404)</f>
        <v/>
      </c>
      <c r="E7" s="25">
        <f>SUMPRODUCT(('債券'!$Y$5:$Y$404=1)*('債券'!$X$5:$X$404=$A7)*'債券'!$AU$5:$AU$404^2)</f>
        <v/>
      </c>
      <c r="F7" s="23">
        <f>SUMPRODUCT(('債券'!$Y$5:$Y$404=1)*('債券'!$X$5:$X$404=$A7)*'債券'!$AU$5:$AU$404*'債券'!$AT$5:$AT$404)</f>
        <v/>
      </c>
      <c r="G7" s="18">
        <f>IF(B7&lt;'參數'!$B$11,"",IF(ABS((B7*E7-C7^2))&lt;1E-9,0,(B7*F7-C7*D7)/(B7*E7-C7^2)))</f>
        <v/>
      </c>
      <c r="H7" s="18">
        <f>IF(B7&lt;'參數'!$B$11,"",(D7-G7*C7)/B7)</f>
        <v/>
      </c>
      <c r="I7" s="18">
        <f>IF(B7&gt;0,D7/B7,"")</f>
        <v/>
      </c>
      <c r="J7" s="24">
        <f>IF(B7&gt;1,SQRT(SUMPRODUCT(('債券'!$Y$5:$Y$404=1)*('債券'!$X$5:$X$404=$A7)*('債券'!$AT$5:$AT$404-I7)^2)/(B7-1)),"")</f>
        <v/>
      </c>
      <c r="K7" s="22">
        <f>SUMPRODUCT(('債券'!$AY$5:$AY$404=1)*('債券'!$X$5:$X$404=$A7))</f>
        <v/>
      </c>
      <c r="L7" s="37">
        <f>IF(K7&gt;0,SUMPRODUCT(('債券'!$AY$5:$AY$404=1)*('債券'!$X$5:$X$404=$A7)*'債券'!$AX$5:$AX$404)/K7,"")</f>
        <v/>
      </c>
      <c r="M7" s="37">
        <f>IF(K7&gt;1,SQRT(SUMPRODUCT(('債券'!$AY$5:$AY$404=1)*('債券'!$X$5:$X$404=$A7)*('債券'!$AX$5:$AX$404-L7)^2)/(K7-1)),"")</f>
        <v/>
      </c>
      <c r="N7" s="22">
        <f>SUMPRODUCT(('債券'!$BA$5:$BA$404=1)*('債券'!$X$5:$X$404=$A7))</f>
        <v/>
      </c>
      <c r="O7" s="25">
        <f>IF(N7&gt;0,SUMPRODUCT(('債券'!$BA$5:$BA$404=1)*('債券'!$X$5:$X$404=$A7)*'債券'!$AZ$5:$AZ$404)/N7,"")</f>
        <v/>
      </c>
      <c r="P7" s="25">
        <f>IF(N7&gt;1,SQRT(SUMPRODUCT(('債券'!$BA$5:$BA$404=1)*('債券'!$X$5:$X$404=$A7)*('債券'!$AZ$5:$AZ$404-O7)^2)/(N7-1)),"")</f>
        <v/>
      </c>
      <c r="Q7" s="22">
        <f>SUMPRODUCT(('債券'!$BC$5:$BC$404=1)*('債券'!$X$5:$X$404=$A7))</f>
        <v/>
      </c>
      <c r="R7" s="24">
        <f>IF(Q7&gt;0,SUMPRODUCT(('債券'!$BC$5:$BC$404=1)*('債券'!$X$5:$X$404=$A7)*'債券'!$BB$5:$BB$404)/Q7,"")</f>
        <v/>
      </c>
      <c r="S7" s="24">
        <f>IF(Q7&gt;1,SQRT(SUMPRODUCT(('債券'!$BC$5:$BC$404=1)*('債券'!$X$5:$X$404=$A7)*('債券'!$BB$5:$BB$404-R7)^2)/(Q7-1)),"")</f>
        <v/>
      </c>
    </row>
    <row r="8">
      <c r="A8" s="15" t="inlineStr">
        <is>
          <t>HY</t>
        </is>
      </c>
      <c r="B8" s="22">
        <f>SUMPRODUCT(('債券'!$Y$5:$Y$404=1)*('債券'!$X$5:$X$404=$A8))</f>
        <v/>
      </c>
      <c r="C8" s="25">
        <f>SUMPRODUCT(('債券'!$Y$5:$Y$404=1)*('債券'!$X$5:$X$404=$A8)*'債券'!$AU$5:$AU$404)</f>
        <v/>
      </c>
      <c r="D8" s="23">
        <f>SUMPRODUCT(('債券'!$Y$5:$Y$404=1)*('債券'!$X$5:$X$404=$A8)*'債券'!$AT$5:$AT$404)</f>
        <v/>
      </c>
      <c r="E8" s="25">
        <f>SUMPRODUCT(('債券'!$Y$5:$Y$404=1)*('債券'!$X$5:$X$404=$A8)*'債券'!$AU$5:$AU$404^2)</f>
        <v/>
      </c>
      <c r="F8" s="23">
        <f>SUMPRODUCT(('債券'!$Y$5:$Y$404=1)*('債券'!$X$5:$X$404=$A8)*'債券'!$AU$5:$AU$404*'債券'!$AT$5:$AT$404)</f>
        <v/>
      </c>
      <c r="G8" s="18">
        <f>IF(B8&lt;'參數'!$B$11,"",IF(ABS((B8*E8-C8^2))&lt;1E-9,0,(B8*F8-C8*D8)/(B8*E8-C8^2)))</f>
        <v/>
      </c>
      <c r="H8" s="18">
        <f>IF(B8&lt;'參數'!$B$11,"",(D8-G8*C8)/B8)</f>
        <v/>
      </c>
      <c r="I8" s="18">
        <f>IF(B8&gt;0,D8/B8,"")</f>
        <v/>
      </c>
      <c r="J8" s="24">
        <f>IF(B8&gt;1,SQRT(SUMPRODUCT(('債券'!$Y$5:$Y$404=1)*('債券'!$X$5:$X$404=$A8)*('債券'!$AT$5:$AT$404-I8)^2)/(B8-1)),"")</f>
        <v/>
      </c>
      <c r="K8" s="22">
        <f>SUMPRODUCT(('債券'!$AY$5:$AY$404=1)*('債券'!$X$5:$X$404=$A8))</f>
        <v/>
      </c>
      <c r="L8" s="37">
        <f>IF(K8&gt;0,SUMPRODUCT(('債券'!$AY$5:$AY$404=1)*('債券'!$X$5:$X$404=$A8)*'債券'!$AX$5:$AX$404)/K8,"")</f>
        <v/>
      </c>
      <c r="M8" s="37">
        <f>IF(K8&gt;1,SQRT(SUMPRODUCT(('債券'!$AY$5:$AY$404=1)*('債券'!$X$5:$X$404=$A8)*('債券'!$AX$5:$AX$404-L8)^2)/(K8-1)),"")</f>
        <v/>
      </c>
      <c r="N8" s="22">
        <f>SUMPRODUCT(('債券'!$BA$5:$BA$404=1)*('債券'!$X$5:$X$404=$A8))</f>
        <v/>
      </c>
      <c r="O8" s="25">
        <f>IF(N8&gt;0,SUMPRODUCT(('債券'!$BA$5:$BA$404=1)*('債券'!$X$5:$X$404=$A8)*'債券'!$AZ$5:$AZ$404)/N8,"")</f>
        <v/>
      </c>
      <c r="P8" s="25">
        <f>IF(N8&gt;1,SQRT(SUMPRODUCT(('債券'!$BA$5:$BA$404=1)*('債券'!$X$5:$X$404=$A8)*('債券'!$AZ$5:$AZ$404-O8)^2)/(N8-1)),"")</f>
        <v/>
      </c>
      <c r="Q8" s="22">
        <f>SUMPRODUCT(('債券'!$BC$5:$BC$404=1)*('債券'!$X$5:$X$404=$A8))</f>
        <v/>
      </c>
      <c r="R8" s="24">
        <f>IF(Q8&gt;0,SUMPRODUCT(('債券'!$BC$5:$BC$404=1)*('債券'!$X$5:$X$404=$A8)*'債券'!$BB$5:$BB$404)/Q8,"")</f>
        <v/>
      </c>
      <c r="S8" s="24">
        <f>IF(Q8&gt;1,SQRT(SUMPRODUCT(('債券'!$BC$5:$BC$404=1)*('債券'!$X$5:$X$404=$A8)*('債券'!$BB$5:$BB$404-R8)^2)/(Q8-1)),"")</f>
        <v/>
      </c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</row>
    <row r="10">
      <c r="A10" s="13" t="inlineStr">
        <is>
          <t>B. Carry 分群（評等 × 天期）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</row>
    <row r="11">
      <c r="A11" s="1" t="n"/>
      <c r="B11" s="13" t="inlineStr">
        <is>
          <t>檔數</t>
        </is>
      </c>
      <c r="C11" s="1" t="n"/>
      <c r="D11" s="1" t="n"/>
      <c r="E11" s="1" t="n"/>
      <c r="F11" s="1" t="n"/>
      <c r="G11" s="13" t="inlineStr">
        <is>
          <t>OAS 平均</t>
        </is>
      </c>
      <c r="H11" s="1" t="n"/>
      <c r="I11" s="1" t="n"/>
      <c r="J11" s="1" t="n"/>
      <c r="K11" s="1" t="n"/>
      <c r="L11" s="13" t="inlineStr">
        <is>
          <t>OAS 標準差</t>
        </is>
      </c>
      <c r="M11" s="1" t="n"/>
      <c r="N11" s="1" t="n"/>
      <c r="O11" s="1" t="n"/>
      <c r="P11" s="1" t="n"/>
      <c r="Q11" s="1" t="n"/>
      <c r="R11" s="1" t="n"/>
      <c r="S11" s="1" t="n"/>
    </row>
    <row r="12">
      <c r="A12" s="14" t="inlineStr">
        <is>
          <t>評等分群</t>
        </is>
      </c>
      <c r="B12" s="14" t="inlineStr">
        <is>
          <t>1-3y</t>
        </is>
      </c>
      <c r="C12" s="14" t="inlineStr">
        <is>
          <t>3-5y</t>
        </is>
      </c>
      <c r="D12" s="14" t="inlineStr">
        <is>
          <t>5-7y</t>
        </is>
      </c>
      <c r="E12" s="14" t="inlineStr">
        <is>
          <t>7-10y</t>
        </is>
      </c>
      <c r="F12" s="14" t="inlineStr">
        <is>
          <t>10y+</t>
        </is>
      </c>
      <c r="G12" s="14" t="inlineStr">
        <is>
          <t>1-3y</t>
        </is>
      </c>
      <c r="H12" s="14" t="inlineStr">
        <is>
          <t>3-5y</t>
        </is>
      </c>
      <c r="I12" s="14" t="inlineStr">
        <is>
          <t>5-7y</t>
        </is>
      </c>
      <c r="J12" s="14" t="inlineStr">
        <is>
          <t>7-10y</t>
        </is>
      </c>
      <c r="K12" s="14" t="inlineStr">
        <is>
          <t>10y+</t>
        </is>
      </c>
      <c r="L12" s="14" t="inlineStr">
        <is>
          <t>1-3y</t>
        </is>
      </c>
      <c r="M12" s="14" t="inlineStr">
        <is>
          <t>3-5y</t>
        </is>
      </c>
      <c r="N12" s="14" t="inlineStr">
        <is>
          <t>5-7y</t>
        </is>
      </c>
      <c r="O12" s="14" t="inlineStr">
        <is>
          <t>7-10y</t>
        </is>
      </c>
      <c r="P12" s="14" t="inlineStr">
        <is>
          <t>10y+</t>
        </is>
      </c>
      <c r="Q12" s="1" t="n"/>
      <c r="R12" s="1" t="n"/>
      <c r="S12" s="1" t="n"/>
    </row>
    <row r="13">
      <c r="A13" s="15" t="inlineStr">
        <is>
          <t>AA以上</t>
        </is>
      </c>
      <c r="B13" s="22">
        <f>SUMPRODUCT(('債券'!$Y$5:$Y$404=1)*('債券'!$X$5:$X$404=$A13)*('債券'!$V$5:$V$404=B$12))</f>
        <v/>
      </c>
      <c r="C13" s="22">
        <f>SUMPRODUCT(('債券'!$Y$5:$Y$404=1)*('債券'!$X$5:$X$404=$A13)*('債券'!$V$5:$V$404=C$12))</f>
        <v/>
      </c>
      <c r="D13" s="22">
        <f>SUMPRODUCT(('債券'!$Y$5:$Y$404=1)*('債券'!$X$5:$X$404=$A13)*('債券'!$V$5:$V$404=D$12))</f>
        <v/>
      </c>
      <c r="E13" s="22">
        <f>SUMPRODUCT(('債券'!$Y$5:$Y$404=1)*('債券'!$X$5:$X$404=$A13)*('債券'!$V$5:$V$404=E$12))</f>
        <v/>
      </c>
      <c r="F13" s="22">
        <f>SUMPRODUCT(('債券'!$Y$5:$Y$404=1)*('債券'!$X$5:$X$404=$A13)*('債券'!$V$5:$V$404=F$12))</f>
        <v/>
      </c>
      <c r="G13" s="24">
        <f>IF(B13&gt;0,SUMPRODUCT(('債券'!$Y$5:$Y$404=1)*('債券'!$X$5:$X$404=$A13)*('債券'!$V$5:$V$404=B$12)*'債券'!$AT$5:$AT$404)/B13,"")</f>
        <v/>
      </c>
      <c r="H13" s="24">
        <f>IF(C13&gt;0,SUMPRODUCT(('債券'!$Y$5:$Y$404=1)*('債券'!$X$5:$X$404=$A13)*('債券'!$V$5:$V$404=C$12)*'債券'!$AT$5:$AT$404)/C13,"")</f>
        <v/>
      </c>
      <c r="I13" s="24">
        <f>IF(D13&gt;0,SUMPRODUCT(('債券'!$Y$5:$Y$404=1)*('債券'!$X$5:$X$404=$A13)*('債券'!$V$5:$V$404=D$12)*'債券'!$AT$5:$AT$404)/D13,"")</f>
        <v/>
      </c>
      <c r="J13" s="24">
        <f>IF(E13&gt;0,SUMPRODUCT(('債券'!$Y$5:$Y$404=1)*('債券'!$X$5:$X$404=$A13)*('債券'!$V$5:$V$404=E$12)*'債券'!$AT$5:$AT$404)/E13,"")</f>
        <v/>
      </c>
      <c r="K13" s="24">
        <f>IF(F13&gt;0,SUMPRODUCT(('債券'!$Y$5:$Y$404=1)*('債券'!$X$5:$X$404=$A13)*('債券'!$V$5:$V$404=F$12)*'債券'!$AT$5:$AT$404)/F13,"")</f>
        <v/>
      </c>
      <c r="L13" s="24">
        <f>IF(B13&gt;1,SQRT(SUMPRODUCT(('債券'!$Y$5:$Y$404=1)*('債券'!$X$5:$X$404=$A13)*('債券'!$V$5:$V$404=B$12)*('債券'!$AT$5:$AT$404-G13)^2)/(B13-1)),"")</f>
        <v/>
      </c>
      <c r="M13" s="24">
        <f>IF(C13&gt;1,SQRT(SUMPRODUCT(('債券'!$Y$5:$Y$404=1)*('債券'!$X$5:$X$404=$A13)*('債券'!$V$5:$V$404=C$12)*('債券'!$AT$5:$AT$404-H13)^2)/(C13-1)),"")</f>
        <v/>
      </c>
      <c r="N13" s="24">
        <f>IF(D13&gt;1,SQRT(SUMPRODUCT(('債券'!$Y$5:$Y$404=1)*('債券'!$X$5:$X$404=$A13)*('債券'!$V$5:$V$404=D$12)*('債券'!$AT$5:$AT$404-I13)^2)/(D13-1)),"")</f>
        <v/>
      </c>
      <c r="O13" s="24">
        <f>IF(E13&gt;1,SQRT(SUMPRODUCT(('債券'!$Y$5:$Y$404=1)*('債券'!$X$5:$X$404=$A13)*('債券'!$V$5:$V$404=E$12)*('債券'!$AT$5:$AT$404-J13)^2)/(E13-1)),"")</f>
        <v/>
      </c>
      <c r="P13" s="24">
        <f>IF(F13&gt;1,SQRT(SUMPRODUCT(('債券'!$Y$5:$Y$404=1)*('債券'!$X$5:$X$404=$A13)*('債券'!$V$5:$V$404=F$12)*('債券'!$AT$5:$AT$404-K13)^2)/(F13-1)),"")</f>
        <v/>
      </c>
      <c r="Q13" s="1" t="n"/>
      <c r="R13" s="1" t="n"/>
      <c r="S13" s="1" t="n"/>
    </row>
    <row r="14">
      <c r="A14" s="15" t="inlineStr">
        <is>
          <t>A</t>
        </is>
      </c>
      <c r="B14" s="22">
        <f>SUMPRODUCT(('債券'!$Y$5:$Y$404=1)*('債券'!$X$5:$X$404=$A14)*('債券'!$V$5:$V$404=B$12))</f>
        <v/>
      </c>
      <c r="C14" s="22">
        <f>SUMPRODUCT(('債券'!$Y$5:$Y$404=1)*('債券'!$X$5:$X$404=$A14)*('債券'!$V$5:$V$404=C$12))</f>
        <v/>
      </c>
      <c r="D14" s="22">
        <f>SUMPRODUCT(('債券'!$Y$5:$Y$404=1)*('債券'!$X$5:$X$404=$A14)*('債券'!$V$5:$V$404=D$12))</f>
        <v/>
      </c>
      <c r="E14" s="22">
        <f>SUMPRODUCT(('債券'!$Y$5:$Y$404=1)*('債券'!$X$5:$X$404=$A14)*('債券'!$V$5:$V$404=E$12))</f>
        <v/>
      </c>
      <c r="F14" s="22">
        <f>SUMPRODUCT(('債券'!$Y$5:$Y$404=1)*('債券'!$X$5:$X$404=$A14)*('債券'!$V$5:$V$404=F$12))</f>
        <v/>
      </c>
      <c r="G14" s="24">
        <f>IF(B14&gt;0,SUMPRODUCT(('債券'!$Y$5:$Y$404=1)*('債券'!$X$5:$X$404=$A14)*('債券'!$V$5:$V$404=B$12)*'債券'!$AT$5:$AT$404)/B14,"")</f>
        <v/>
      </c>
      <c r="H14" s="24">
        <f>IF(C14&gt;0,SUMPRODUCT(('債券'!$Y$5:$Y$404=1)*('債券'!$X$5:$X$404=$A14)*('債券'!$V$5:$V$404=C$12)*'債券'!$AT$5:$AT$404)/C14,"")</f>
        <v/>
      </c>
      <c r="I14" s="24">
        <f>IF(D14&gt;0,SUMPRODUCT(('債券'!$Y$5:$Y$404=1)*('債券'!$X$5:$X$404=$A14)*('債券'!$V$5:$V$404=D$12)*'債券'!$AT$5:$AT$404)/D14,"")</f>
        <v/>
      </c>
      <c r="J14" s="24">
        <f>IF(E14&gt;0,SUMPRODUCT(('債券'!$Y$5:$Y$404=1)*('債券'!$X$5:$X$404=$A14)*('債券'!$V$5:$V$404=E$12)*'債券'!$AT$5:$AT$404)/E14,"")</f>
        <v/>
      </c>
      <c r="K14" s="24">
        <f>IF(F14&gt;0,SUMPRODUCT(('債券'!$Y$5:$Y$404=1)*('債券'!$X$5:$X$404=$A14)*('債券'!$V$5:$V$404=F$12)*'債券'!$AT$5:$AT$404)/F14,"")</f>
        <v/>
      </c>
      <c r="L14" s="24">
        <f>IF(B14&gt;1,SQRT(SUMPRODUCT(('債券'!$Y$5:$Y$404=1)*('債券'!$X$5:$X$404=$A14)*('債券'!$V$5:$V$404=B$12)*('債券'!$AT$5:$AT$404-G14)^2)/(B14-1)),"")</f>
        <v/>
      </c>
      <c r="M14" s="24">
        <f>IF(C14&gt;1,SQRT(SUMPRODUCT(('債券'!$Y$5:$Y$404=1)*('債券'!$X$5:$X$404=$A14)*('債券'!$V$5:$V$404=C$12)*('債券'!$AT$5:$AT$404-H14)^2)/(C14-1)),"")</f>
        <v/>
      </c>
      <c r="N14" s="24">
        <f>IF(D14&gt;1,SQRT(SUMPRODUCT(('債券'!$Y$5:$Y$404=1)*('債券'!$X$5:$X$404=$A14)*('債券'!$V$5:$V$404=D$12)*('債券'!$AT$5:$AT$404-I14)^2)/(D14-1)),"")</f>
        <v/>
      </c>
      <c r="O14" s="24">
        <f>IF(E14&gt;1,SQRT(SUMPRODUCT(('債券'!$Y$5:$Y$404=1)*('債券'!$X$5:$X$404=$A14)*('債券'!$V$5:$V$404=E$12)*('債券'!$AT$5:$AT$404-J14)^2)/(E14-1)),"")</f>
        <v/>
      </c>
      <c r="P14" s="24">
        <f>IF(F14&gt;1,SQRT(SUMPRODUCT(('債券'!$Y$5:$Y$404=1)*('債券'!$X$5:$X$404=$A14)*('債券'!$V$5:$V$404=F$12)*('債券'!$AT$5:$AT$404-K14)^2)/(F14-1)),"")</f>
        <v/>
      </c>
      <c r="Q14" s="1" t="n"/>
      <c r="R14" s="1" t="n"/>
      <c r="S14" s="1" t="n"/>
    </row>
    <row r="15">
      <c r="A15" s="15" t="inlineStr">
        <is>
          <t>BBB</t>
        </is>
      </c>
      <c r="B15" s="22">
        <f>SUMPRODUCT(('債券'!$Y$5:$Y$404=1)*('債券'!$X$5:$X$404=$A15)*('債券'!$V$5:$V$404=B$12))</f>
        <v/>
      </c>
      <c r="C15" s="22">
        <f>SUMPRODUCT(('債券'!$Y$5:$Y$404=1)*('債券'!$X$5:$X$404=$A15)*('債券'!$V$5:$V$404=C$12))</f>
        <v/>
      </c>
      <c r="D15" s="22">
        <f>SUMPRODUCT(('債券'!$Y$5:$Y$404=1)*('債券'!$X$5:$X$404=$A15)*('債券'!$V$5:$V$404=D$12))</f>
        <v/>
      </c>
      <c r="E15" s="22">
        <f>SUMPRODUCT(('債券'!$Y$5:$Y$404=1)*('債券'!$X$5:$X$404=$A15)*('債券'!$V$5:$V$404=E$12))</f>
        <v/>
      </c>
      <c r="F15" s="22">
        <f>SUMPRODUCT(('債券'!$Y$5:$Y$404=1)*('債券'!$X$5:$X$404=$A15)*('債券'!$V$5:$V$404=F$12))</f>
        <v/>
      </c>
      <c r="G15" s="24">
        <f>IF(B15&gt;0,SUMPRODUCT(('債券'!$Y$5:$Y$404=1)*('債券'!$X$5:$X$404=$A15)*('債券'!$V$5:$V$404=B$12)*'債券'!$AT$5:$AT$404)/B15,"")</f>
        <v/>
      </c>
      <c r="H15" s="24">
        <f>IF(C15&gt;0,SUMPRODUCT(('債券'!$Y$5:$Y$404=1)*('債券'!$X$5:$X$404=$A15)*('債券'!$V$5:$V$404=C$12)*'債券'!$AT$5:$AT$404)/C15,"")</f>
        <v/>
      </c>
      <c r="I15" s="24">
        <f>IF(D15&gt;0,SUMPRODUCT(('債券'!$Y$5:$Y$404=1)*('債券'!$X$5:$X$404=$A15)*('債券'!$V$5:$V$404=D$12)*'債券'!$AT$5:$AT$404)/D15,"")</f>
        <v/>
      </c>
      <c r="J15" s="24">
        <f>IF(E15&gt;0,SUMPRODUCT(('債券'!$Y$5:$Y$404=1)*('債券'!$X$5:$X$404=$A15)*('債券'!$V$5:$V$404=E$12)*'債券'!$AT$5:$AT$404)/E15,"")</f>
        <v/>
      </c>
      <c r="K15" s="24">
        <f>IF(F15&gt;0,SUMPRODUCT(('債券'!$Y$5:$Y$404=1)*('債券'!$X$5:$X$404=$A15)*('債券'!$V$5:$V$404=F$12)*'債券'!$AT$5:$AT$404)/F15,"")</f>
        <v/>
      </c>
      <c r="L15" s="24">
        <f>IF(B15&gt;1,SQRT(SUMPRODUCT(('債券'!$Y$5:$Y$404=1)*('債券'!$X$5:$X$404=$A15)*('債券'!$V$5:$V$404=B$12)*('債券'!$AT$5:$AT$404-G15)^2)/(B15-1)),"")</f>
        <v/>
      </c>
      <c r="M15" s="24">
        <f>IF(C15&gt;1,SQRT(SUMPRODUCT(('債券'!$Y$5:$Y$404=1)*('債券'!$X$5:$X$404=$A15)*('債券'!$V$5:$V$404=C$12)*('債券'!$AT$5:$AT$404-H15)^2)/(C15-1)),"")</f>
        <v/>
      </c>
      <c r="N15" s="24">
        <f>IF(D15&gt;1,SQRT(SUMPRODUCT(('債券'!$Y$5:$Y$404=1)*('債券'!$X$5:$X$404=$A15)*('債券'!$V$5:$V$404=D$12)*('債券'!$AT$5:$AT$404-I15)^2)/(D15-1)),"")</f>
        <v/>
      </c>
      <c r="O15" s="24">
        <f>IF(E15&gt;1,SQRT(SUMPRODUCT(('債券'!$Y$5:$Y$404=1)*('債券'!$X$5:$X$404=$A15)*('債券'!$V$5:$V$404=E$12)*('債券'!$AT$5:$AT$404-J15)^2)/(E15-1)),"")</f>
        <v/>
      </c>
      <c r="P15" s="24">
        <f>IF(F15&gt;1,SQRT(SUMPRODUCT(('債券'!$Y$5:$Y$404=1)*('債券'!$X$5:$X$404=$A15)*('債券'!$V$5:$V$404=F$12)*('債券'!$AT$5:$AT$404-K15)^2)/(F15-1)),"")</f>
        <v/>
      </c>
      <c r="Q15" s="1" t="n"/>
      <c r="R15" s="1" t="n"/>
      <c r="S15" s="1" t="n"/>
    </row>
    <row r="16">
      <c r="A16" s="15" t="inlineStr">
        <is>
          <t>HY</t>
        </is>
      </c>
      <c r="B16" s="22">
        <f>SUMPRODUCT(('債券'!$Y$5:$Y$404=1)*('債券'!$X$5:$X$404=$A16)*('債券'!$V$5:$V$404=B$12))</f>
        <v/>
      </c>
      <c r="C16" s="22">
        <f>SUMPRODUCT(('債券'!$Y$5:$Y$404=1)*('債券'!$X$5:$X$404=$A16)*('債券'!$V$5:$V$404=C$12))</f>
        <v/>
      </c>
      <c r="D16" s="22">
        <f>SUMPRODUCT(('債券'!$Y$5:$Y$404=1)*('債券'!$X$5:$X$404=$A16)*('債券'!$V$5:$V$404=D$12))</f>
        <v/>
      </c>
      <c r="E16" s="22">
        <f>SUMPRODUCT(('債券'!$Y$5:$Y$404=1)*('債券'!$X$5:$X$404=$A16)*('債券'!$V$5:$V$404=E$12))</f>
        <v/>
      </c>
      <c r="F16" s="22">
        <f>SUMPRODUCT(('債券'!$Y$5:$Y$404=1)*('債券'!$X$5:$X$404=$A16)*('債券'!$V$5:$V$404=F$12))</f>
        <v/>
      </c>
      <c r="G16" s="24">
        <f>IF(B16&gt;0,SUMPRODUCT(('債券'!$Y$5:$Y$404=1)*('債券'!$X$5:$X$404=$A16)*('債券'!$V$5:$V$404=B$12)*'債券'!$AT$5:$AT$404)/B16,"")</f>
        <v/>
      </c>
      <c r="H16" s="24">
        <f>IF(C16&gt;0,SUMPRODUCT(('債券'!$Y$5:$Y$404=1)*('債券'!$X$5:$X$404=$A16)*('債券'!$V$5:$V$404=C$12)*'債券'!$AT$5:$AT$404)/C16,"")</f>
        <v/>
      </c>
      <c r="I16" s="24">
        <f>IF(D16&gt;0,SUMPRODUCT(('債券'!$Y$5:$Y$404=1)*('債券'!$X$5:$X$404=$A16)*('債券'!$V$5:$V$404=D$12)*'債券'!$AT$5:$AT$404)/D16,"")</f>
        <v/>
      </c>
      <c r="J16" s="24">
        <f>IF(E16&gt;0,SUMPRODUCT(('債券'!$Y$5:$Y$404=1)*('債券'!$X$5:$X$404=$A16)*('債券'!$V$5:$V$404=E$12)*'債券'!$AT$5:$AT$404)/E16,"")</f>
        <v/>
      </c>
      <c r="K16" s="24">
        <f>IF(F16&gt;0,SUMPRODUCT(('債券'!$Y$5:$Y$404=1)*('債券'!$X$5:$X$404=$A16)*('債券'!$V$5:$V$404=F$12)*'債券'!$AT$5:$AT$404)/F16,"")</f>
        <v/>
      </c>
      <c r="L16" s="24">
        <f>IF(B16&gt;1,SQRT(SUMPRODUCT(('債券'!$Y$5:$Y$404=1)*('債券'!$X$5:$X$404=$A16)*('債券'!$V$5:$V$404=B$12)*('債券'!$AT$5:$AT$404-G16)^2)/(B16-1)),"")</f>
        <v/>
      </c>
      <c r="M16" s="24">
        <f>IF(C16&gt;1,SQRT(SUMPRODUCT(('債券'!$Y$5:$Y$404=1)*('債券'!$X$5:$X$404=$A16)*('債券'!$V$5:$V$404=C$12)*('債券'!$AT$5:$AT$404-H16)^2)/(C16-1)),"")</f>
        <v/>
      </c>
      <c r="N16" s="24">
        <f>IF(D16&gt;1,SQRT(SUMPRODUCT(('債券'!$Y$5:$Y$404=1)*('債券'!$X$5:$X$404=$A16)*('債券'!$V$5:$V$404=D$12)*('債券'!$AT$5:$AT$404-I16)^2)/(D16-1)),"")</f>
        <v/>
      </c>
      <c r="O16" s="24">
        <f>IF(E16&gt;1,SQRT(SUMPRODUCT(('債券'!$Y$5:$Y$404=1)*('債券'!$X$5:$X$404=$A16)*('債券'!$V$5:$V$404=E$12)*('債券'!$AT$5:$AT$404-J16)^2)/(E16-1)),"")</f>
        <v/>
      </c>
      <c r="P16" s="24">
        <f>IF(F16&gt;1,SQRT(SUMPRODUCT(('債券'!$Y$5:$Y$404=1)*('債券'!$X$5:$X$404=$A16)*('債券'!$V$5:$V$404=F$12)*('債券'!$AT$5:$AT$404-K16)^2)/(F16-1)),"")</f>
        <v/>
      </c>
      <c r="Q16" s="1" t="n"/>
      <c r="R16" s="1" t="n"/>
      <c r="S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>
      <c r="A18" s="13" t="inlineStr">
        <is>
          <t>C. 發行人曲線（對應「發行人」表 D 欄）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>
      <c r="A19" s="14" t="inlineStr">
        <is>
          <t>債券 Ticker</t>
        </is>
      </c>
      <c r="B19" s="14" t="inlineStr">
        <is>
          <t>檔數</t>
        </is>
      </c>
      <c r="C19" s="14" t="inlineStr">
        <is>
          <t>Σx</t>
        </is>
      </c>
      <c r="D19" s="14" t="inlineStr">
        <is>
          <t>Σy</t>
        </is>
      </c>
      <c r="E19" s="14" t="inlineStr">
        <is>
          <t>Σx²</t>
        </is>
      </c>
      <c r="F19" s="14" t="inlineStr">
        <is>
          <t>Σxy</t>
        </is>
      </c>
      <c r="G19" s="14" t="inlineStr">
        <is>
          <t>曲線斜率</t>
        </is>
      </c>
      <c r="H19" s="14" t="inlineStr">
        <is>
          <t>曲線截距</t>
        </is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>
      <c r="A20" s="32">
        <f>IF('發行人'!$D5="","",'發行人'!$D5)</f>
        <v/>
      </c>
      <c r="B20" s="22">
        <f>SUMPRODUCT(('債券'!$Y$5:$Y$404=1)*('債券'!$B$5:$B$404=$A20)*($A20&lt;&gt;""))</f>
        <v/>
      </c>
      <c r="C20" s="25">
        <f>SUMPRODUCT(('債券'!$Y$5:$Y$404=1)*('債券'!$B$5:$B$404=$A20)*($A20&lt;&gt;"")*'債券'!$AU$5:$AU$404)</f>
        <v/>
      </c>
      <c r="D20" s="23">
        <f>SUMPRODUCT(('債券'!$Y$5:$Y$404=1)*('債券'!$B$5:$B$404=$A20)*($A20&lt;&gt;"")*'債券'!$AT$5:$AT$404)</f>
        <v/>
      </c>
      <c r="E20" s="25">
        <f>SUMPRODUCT(('債券'!$Y$5:$Y$404=1)*('債券'!$B$5:$B$404=$A20)*($A20&lt;&gt;"")*'債券'!$AU$5:$AU$404^2)</f>
        <v/>
      </c>
      <c r="F20" s="23">
        <f>SUMPRODUCT(('債券'!$Y$5:$Y$404=1)*('債券'!$B$5:$B$404=$A20)*($A20&lt;&gt;"")*'債券'!$AU$5:$AU$404*'債券'!$AT$5:$AT$404)</f>
        <v/>
      </c>
      <c r="G20" s="18">
        <f>IF(B20&lt;'參數'!$B$10,"",IF(ABS((B20*E20-C20^2))&lt;1E-9,0,(B20*F20-C20*D20)/(B20*E20-C20^2)))</f>
        <v/>
      </c>
      <c r="H20" s="18">
        <f>IF(B20&lt;'參數'!$B$10,"",(D20-G20*C20)/B20)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>
      <c r="A21" s="32">
        <f>IF('發行人'!$D6="","",'發行人'!$D6)</f>
        <v/>
      </c>
      <c r="B21" s="22">
        <f>SUMPRODUCT(('債券'!$Y$5:$Y$404=1)*('債券'!$B$5:$B$404=$A21)*($A21&lt;&gt;""))</f>
        <v/>
      </c>
      <c r="C21" s="25">
        <f>SUMPRODUCT(('債券'!$Y$5:$Y$404=1)*('債券'!$B$5:$B$404=$A21)*($A21&lt;&gt;"")*'債券'!$AU$5:$AU$404)</f>
        <v/>
      </c>
      <c r="D21" s="23">
        <f>SUMPRODUCT(('債券'!$Y$5:$Y$404=1)*('債券'!$B$5:$B$404=$A21)*($A21&lt;&gt;"")*'債券'!$AT$5:$AT$404)</f>
        <v/>
      </c>
      <c r="E21" s="25">
        <f>SUMPRODUCT(('債券'!$Y$5:$Y$404=1)*('債券'!$B$5:$B$404=$A21)*($A21&lt;&gt;"")*'債券'!$AU$5:$AU$404^2)</f>
        <v/>
      </c>
      <c r="F21" s="23">
        <f>SUMPRODUCT(('債券'!$Y$5:$Y$404=1)*('債券'!$B$5:$B$404=$A21)*($A21&lt;&gt;"")*'債券'!$AU$5:$AU$404*'債券'!$AT$5:$AT$404)</f>
        <v/>
      </c>
      <c r="G21" s="18">
        <f>IF(B21&lt;'參數'!$B$10,"",IF(ABS((B21*E21-C21^2))&lt;1E-9,0,(B21*F21-C21*D21)/(B21*E21-C21^2)))</f>
        <v/>
      </c>
      <c r="H21" s="18">
        <f>IF(B21&lt;'參數'!$B$10,"",(D21-G21*C21)/B21)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>
      <c r="A22" s="32">
        <f>IF('發行人'!$D7="","",'發行人'!$D7)</f>
        <v/>
      </c>
      <c r="B22" s="22">
        <f>SUMPRODUCT(('債券'!$Y$5:$Y$404=1)*('債券'!$B$5:$B$404=$A22)*($A22&lt;&gt;""))</f>
        <v/>
      </c>
      <c r="C22" s="25">
        <f>SUMPRODUCT(('債券'!$Y$5:$Y$404=1)*('債券'!$B$5:$B$404=$A22)*($A22&lt;&gt;"")*'債券'!$AU$5:$AU$404)</f>
        <v/>
      </c>
      <c r="D22" s="23">
        <f>SUMPRODUCT(('債券'!$Y$5:$Y$404=1)*('債券'!$B$5:$B$404=$A22)*($A22&lt;&gt;"")*'債券'!$AT$5:$AT$404)</f>
        <v/>
      </c>
      <c r="E22" s="25">
        <f>SUMPRODUCT(('債券'!$Y$5:$Y$404=1)*('債券'!$B$5:$B$404=$A22)*($A22&lt;&gt;"")*'債券'!$AU$5:$AU$404^2)</f>
        <v/>
      </c>
      <c r="F22" s="23">
        <f>SUMPRODUCT(('債券'!$Y$5:$Y$404=1)*('債券'!$B$5:$B$404=$A22)*($A22&lt;&gt;"")*'債券'!$AU$5:$AU$404*'債券'!$AT$5:$AT$404)</f>
        <v/>
      </c>
      <c r="G22" s="18">
        <f>IF(B22&lt;'參數'!$B$10,"",IF(ABS((B22*E22-C22^2))&lt;1E-9,0,(B22*F22-C22*D22)/(B22*E22-C22^2)))</f>
        <v/>
      </c>
      <c r="H22" s="18">
        <f>IF(B22&lt;'參數'!$B$10,"",(D22-G22*C22)/B22)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>
      <c r="A23" s="32">
        <f>IF('發行人'!$D8="","",'發行人'!$D8)</f>
        <v/>
      </c>
      <c r="B23" s="22">
        <f>SUMPRODUCT(('債券'!$Y$5:$Y$404=1)*('債券'!$B$5:$B$404=$A23)*($A23&lt;&gt;""))</f>
        <v/>
      </c>
      <c r="C23" s="25">
        <f>SUMPRODUCT(('債券'!$Y$5:$Y$404=1)*('債券'!$B$5:$B$404=$A23)*($A23&lt;&gt;"")*'債券'!$AU$5:$AU$404)</f>
        <v/>
      </c>
      <c r="D23" s="23">
        <f>SUMPRODUCT(('債券'!$Y$5:$Y$404=1)*('債券'!$B$5:$B$404=$A23)*($A23&lt;&gt;"")*'債券'!$AT$5:$AT$404)</f>
        <v/>
      </c>
      <c r="E23" s="25">
        <f>SUMPRODUCT(('債券'!$Y$5:$Y$404=1)*('債券'!$B$5:$B$404=$A23)*($A23&lt;&gt;"")*'債券'!$AU$5:$AU$404^2)</f>
        <v/>
      </c>
      <c r="F23" s="23">
        <f>SUMPRODUCT(('債券'!$Y$5:$Y$404=1)*('債券'!$B$5:$B$404=$A23)*($A23&lt;&gt;"")*'債券'!$AU$5:$AU$404*'債券'!$AT$5:$AT$404)</f>
        <v/>
      </c>
      <c r="G23" s="18">
        <f>IF(B23&lt;'參數'!$B$10,"",IF(ABS((B23*E23-C23^2))&lt;1E-9,0,(B23*F23-C23*D23)/(B23*E23-C23^2)))</f>
        <v/>
      </c>
      <c r="H23" s="18">
        <f>IF(B23&lt;'參數'!$B$10,"",(D23-G23*C23)/B23)</f>
        <v/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>
      <c r="A24" s="32">
        <f>IF('發行人'!$D9="","",'發行人'!$D9)</f>
        <v/>
      </c>
      <c r="B24" s="22">
        <f>SUMPRODUCT(('債券'!$Y$5:$Y$404=1)*('債券'!$B$5:$B$404=$A24)*($A24&lt;&gt;""))</f>
        <v/>
      </c>
      <c r="C24" s="25">
        <f>SUMPRODUCT(('債券'!$Y$5:$Y$404=1)*('債券'!$B$5:$B$404=$A24)*($A24&lt;&gt;"")*'債券'!$AU$5:$AU$404)</f>
        <v/>
      </c>
      <c r="D24" s="23">
        <f>SUMPRODUCT(('債券'!$Y$5:$Y$404=1)*('債券'!$B$5:$B$404=$A24)*($A24&lt;&gt;"")*'債券'!$AT$5:$AT$404)</f>
        <v/>
      </c>
      <c r="E24" s="25">
        <f>SUMPRODUCT(('債券'!$Y$5:$Y$404=1)*('債券'!$B$5:$B$404=$A24)*($A24&lt;&gt;"")*'債券'!$AU$5:$AU$404^2)</f>
        <v/>
      </c>
      <c r="F24" s="23">
        <f>SUMPRODUCT(('債券'!$Y$5:$Y$404=1)*('債券'!$B$5:$B$404=$A24)*($A24&lt;&gt;"")*'債券'!$AU$5:$AU$404*'債券'!$AT$5:$AT$404)</f>
        <v/>
      </c>
      <c r="G24" s="18">
        <f>IF(B24&lt;'參數'!$B$10,"",IF(ABS((B24*E24-C24^2))&lt;1E-9,0,(B24*F24-C24*D24)/(B24*E24-C24^2)))</f>
        <v/>
      </c>
      <c r="H24" s="18">
        <f>IF(B24&lt;'參數'!$B$10,"",(D24-G24*C24)/B24)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>
      <c r="A25" s="32">
        <f>IF('發行人'!$D10="","",'發行人'!$D10)</f>
        <v/>
      </c>
      <c r="B25" s="22">
        <f>SUMPRODUCT(('債券'!$Y$5:$Y$404=1)*('債券'!$B$5:$B$404=$A25)*($A25&lt;&gt;""))</f>
        <v/>
      </c>
      <c r="C25" s="25">
        <f>SUMPRODUCT(('債券'!$Y$5:$Y$404=1)*('債券'!$B$5:$B$404=$A25)*($A25&lt;&gt;"")*'債券'!$AU$5:$AU$404)</f>
        <v/>
      </c>
      <c r="D25" s="23">
        <f>SUMPRODUCT(('債券'!$Y$5:$Y$404=1)*('債券'!$B$5:$B$404=$A25)*($A25&lt;&gt;"")*'債券'!$AT$5:$AT$404)</f>
        <v/>
      </c>
      <c r="E25" s="25">
        <f>SUMPRODUCT(('債券'!$Y$5:$Y$404=1)*('債券'!$B$5:$B$404=$A25)*($A25&lt;&gt;"")*'債券'!$AU$5:$AU$404^2)</f>
        <v/>
      </c>
      <c r="F25" s="23">
        <f>SUMPRODUCT(('債券'!$Y$5:$Y$404=1)*('債券'!$B$5:$B$404=$A25)*($A25&lt;&gt;"")*'債券'!$AU$5:$AU$404*'債券'!$AT$5:$AT$404)</f>
        <v/>
      </c>
      <c r="G25" s="18">
        <f>IF(B25&lt;'參數'!$B$10,"",IF(ABS((B25*E25-C25^2))&lt;1E-9,0,(B25*F25-C25*D25)/(B25*E25-C25^2)))</f>
        <v/>
      </c>
      <c r="H25" s="18">
        <f>IF(B25&lt;'參數'!$B$10,"",(D25-G25*C25)/B25)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>
      <c r="A26" s="32">
        <f>IF('發行人'!$D11="","",'發行人'!$D11)</f>
        <v/>
      </c>
      <c r="B26" s="22">
        <f>SUMPRODUCT(('債券'!$Y$5:$Y$404=1)*('債券'!$B$5:$B$404=$A26)*($A26&lt;&gt;""))</f>
        <v/>
      </c>
      <c r="C26" s="25">
        <f>SUMPRODUCT(('債券'!$Y$5:$Y$404=1)*('債券'!$B$5:$B$404=$A26)*($A26&lt;&gt;"")*'債券'!$AU$5:$AU$404)</f>
        <v/>
      </c>
      <c r="D26" s="23">
        <f>SUMPRODUCT(('債券'!$Y$5:$Y$404=1)*('債券'!$B$5:$B$404=$A26)*($A26&lt;&gt;"")*'債券'!$AT$5:$AT$404)</f>
        <v/>
      </c>
      <c r="E26" s="25">
        <f>SUMPRODUCT(('債券'!$Y$5:$Y$404=1)*('債券'!$B$5:$B$404=$A26)*($A26&lt;&gt;"")*'債券'!$AU$5:$AU$404^2)</f>
        <v/>
      </c>
      <c r="F26" s="23">
        <f>SUMPRODUCT(('債券'!$Y$5:$Y$404=1)*('債券'!$B$5:$B$404=$A26)*($A26&lt;&gt;"")*'債券'!$AU$5:$AU$404*'債券'!$AT$5:$AT$404)</f>
        <v/>
      </c>
      <c r="G26" s="18">
        <f>IF(B26&lt;'參數'!$B$10,"",IF(ABS((B26*E26-C26^2))&lt;1E-9,0,(B26*F26-C26*D26)/(B26*E26-C26^2)))</f>
        <v/>
      </c>
      <c r="H26" s="18">
        <f>IF(B26&lt;'參數'!$B$10,"",(D26-G26*C26)/B26)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>
      <c r="A27" s="32">
        <f>IF('發行人'!$D12="","",'發行人'!$D12)</f>
        <v/>
      </c>
      <c r="B27" s="22">
        <f>SUMPRODUCT(('債券'!$Y$5:$Y$404=1)*('債券'!$B$5:$B$404=$A27)*($A27&lt;&gt;""))</f>
        <v/>
      </c>
      <c r="C27" s="25">
        <f>SUMPRODUCT(('債券'!$Y$5:$Y$404=1)*('債券'!$B$5:$B$404=$A27)*($A27&lt;&gt;"")*'債券'!$AU$5:$AU$404)</f>
        <v/>
      </c>
      <c r="D27" s="23">
        <f>SUMPRODUCT(('債券'!$Y$5:$Y$404=1)*('債券'!$B$5:$B$404=$A27)*($A27&lt;&gt;"")*'債券'!$AT$5:$AT$404)</f>
        <v/>
      </c>
      <c r="E27" s="25">
        <f>SUMPRODUCT(('債券'!$Y$5:$Y$404=1)*('債券'!$B$5:$B$404=$A27)*($A27&lt;&gt;"")*'債券'!$AU$5:$AU$404^2)</f>
        <v/>
      </c>
      <c r="F27" s="23">
        <f>SUMPRODUCT(('債券'!$Y$5:$Y$404=1)*('債券'!$B$5:$B$404=$A27)*($A27&lt;&gt;"")*'債券'!$AU$5:$AU$404*'債券'!$AT$5:$AT$404)</f>
        <v/>
      </c>
      <c r="G27" s="18">
        <f>IF(B27&lt;'參數'!$B$10,"",IF(ABS((B27*E27-C27^2))&lt;1E-9,0,(B27*F27-C27*D27)/(B27*E27-C27^2)))</f>
        <v/>
      </c>
      <c r="H27" s="18">
        <f>IF(B27&lt;'參數'!$B$10,"",(D27-G27*C27)/B27)</f>
        <v/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>
      <c r="A28" s="32">
        <f>IF('發行人'!$D13="","",'發行人'!$D13)</f>
        <v/>
      </c>
      <c r="B28" s="22">
        <f>SUMPRODUCT(('債券'!$Y$5:$Y$404=1)*('債券'!$B$5:$B$404=$A28)*($A28&lt;&gt;""))</f>
        <v/>
      </c>
      <c r="C28" s="25">
        <f>SUMPRODUCT(('債券'!$Y$5:$Y$404=1)*('債券'!$B$5:$B$404=$A28)*($A28&lt;&gt;"")*'債券'!$AU$5:$AU$404)</f>
        <v/>
      </c>
      <c r="D28" s="23">
        <f>SUMPRODUCT(('債券'!$Y$5:$Y$404=1)*('債券'!$B$5:$B$404=$A28)*($A28&lt;&gt;"")*'債券'!$AT$5:$AT$404)</f>
        <v/>
      </c>
      <c r="E28" s="25">
        <f>SUMPRODUCT(('債券'!$Y$5:$Y$404=1)*('債券'!$B$5:$B$404=$A28)*($A28&lt;&gt;"")*'債券'!$AU$5:$AU$404^2)</f>
        <v/>
      </c>
      <c r="F28" s="23">
        <f>SUMPRODUCT(('債券'!$Y$5:$Y$404=1)*('債券'!$B$5:$B$404=$A28)*($A28&lt;&gt;"")*'債券'!$AU$5:$AU$404*'債券'!$AT$5:$AT$404)</f>
        <v/>
      </c>
      <c r="G28" s="18">
        <f>IF(B28&lt;'參數'!$B$10,"",IF(ABS((B28*E28-C28^2))&lt;1E-9,0,(B28*F28-C28*D28)/(B28*E28-C28^2)))</f>
        <v/>
      </c>
      <c r="H28" s="18">
        <f>IF(B28&lt;'參數'!$B$10,"",(D28-G28*C28)/B28)</f>
        <v/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>
      <c r="A29" s="32">
        <f>IF('發行人'!$D14="","",'發行人'!$D14)</f>
        <v/>
      </c>
      <c r="B29" s="22">
        <f>SUMPRODUCT(('債券'!$Y$5:$Y$404=1)*('債券'!$B$5:$B$404=$A29)*($A29&lt;&gt;""))</f>
        <v/>
      </c>
      <c r="C29" s="25">
        <f>SUMPRODUCT(('債券'!$Y$5:$Y$404=1)*('債券'!$B$5:$B$404=$A29)*($A29&lt;&gt;"")*'債券'!$AU$5:$AU$404)</f>
        <v/>
      </c>
      <c r="D29" s="23">
        <f>SUMPRODUCT(('債券'!$Y$5:$Y$404=1)*('債券'!$B$5:$B$404=$A29)*($A29&lt;&gt;"")*'債券'!$AT$5:$AT$404)</f>
        <v/>
      </c>
      <c r="E29" s="25">
        <f>SUMPRODUCT(('債券'!$Y$5:$Y$404=1)*('債券'!$B$5:$B$404=$A29)*($A29&lt;&gt;"")*'債券'!$AU$5:$AU$404^2)</f>
        <v/>
      </c>
      <c r="F29" s="23">
        <f>SUMPRODUCT(('債券'!$Y$5:$Y$404=1)*('債券'!$B$5:$B$404=$A29)*($A29&lt;&gt;"")*'債券'!$AU$5:$AU$404*'債券'!$AT$5:$AT$404)</f>
        <v/>
      </c>
      <c r="G29" s="18">
        <f>IF(B29&lt;'參數'!$B$10,"",IF(ABS((B29*E29-C29^2))&lt;1E-9,0,(B29*F29-C29*D29)/(B29*E29-C29^2)))</f>
        <v/>
      </c>
      <c r="H29" s="18">
        <f>IF(B29&lt;'參數'!$B$10,"",(D29-G29*C29)/B29)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>
      <c r="A30" s="32">
        <f>IF('發行人'!$D15="","",'發行人'!$D15)</f>
        <v/>
      </c>
      <c r="B30" s="22">
        <f>SUMPRODUCT(('債券'!$Y$5:$Y$404=1)*('債券'!$B$5:$B$404=$A30)*($A30&lt;&gt;""))</f>
        <v/>
      </c>
      <c r="C30" s="25">
        <f>SUMPRODUCT(('債券'!$Y$5:$Y$404=1)*('債券'!$B$5:$B$404=$A30)*($A30&lt;&gt;"")*'債券'!$AU$5:$AU$404)</f>
        <v/>
      </c>
      <c r="D30" s="23">
        <f>SUMPRODUCT(('債券'!$Y$5:$Y$404=1)*('債券'!$B$5:$B$404=$A30)*($A30&lt;&gt;"")*'債券'!$AT$5:$AT$404)</f>
        <v/>
      </c>
      <c r="E30" s="25">
        <f>SUMPRODUCT(('債券'!$Y$5:$Y$404=1)*('債券'!$B$5:$B$404=$A30)*($A30&lt;&gt;"")*'債券'!$AU$5:$AU$404^2)</f>
        <v/>
      </c>
      <c r="F30" s="23">
        <f>SUMPRODUCT(('債券'!$Y$5:$Y$404=1)*('債券'!$B$5:$B$404=$A30)*($A30&lt;&gt;"")*'債券'!$AU$5:$AU$404*'債券'!$AT$5:$AT$404)</f>
        <v/>
      </c>
      <c r="G30" s="18">
        <f>IF(B30&lt;'參數'!$B$10,"",IF(ABS((B30*E30-C30^2))&lt;1E-9,0,(B30*F30-C30*D30)/(B30*E30-C30^2)))</f>
        <v/>
      </c>
      <c r="H30" s="18">
        <f>IF(B30&lt;'參數'!$B$10,"",(D30-G30*C30)/B30)</f>
        <v/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>
      <c r="A31" s="32">
        <f>IF('發行人'!$D16="","",'發行人'!$D16)</f>
        <v/>
      </c>
      <c r="B31" s="22">
        <f>SUMPRODUCT(('債券'!$Y$5:$Y$404=1)*('債券'!$B$5:$B$404=$A31)*($A31&lt;&gt;""))</f>
        <v/>
      </c>
      <c r="C31" s="25">
        <f>SUMPRODUCT(('債券'!$Y$5:$Y$404=1)*('債券'!$B$5:$B$404=$A31)*($A31&lt;&gt;"")*'債券'!$AU$5:$AU$404)</f>
        <v/>
      </c>
      <c r="D31" s="23">
        <f>SUMPRODUCT(('債券'!$Y$5:$Y$404=1)*('債券'!$B$5:$B$404=$A31)*($A31&lt;&gt;"")*'債券'!$AT$5:$AT$404)</f>
        <v/>
      </c>
      <c r="E31" s="25">
        <f>SUMPRODUCT(('債券'!$Y$5:$Y$404=1)*('債券'!$B$5:$B$404=$A31)*($A31&lt;&gt;"")*'債券'!$AU$5:$AU$404^2)</f>
        <v/>
      </c>
      <c r="F31" s="23">
        <f>SUMPRODUCT(('債券'!$Y$5:$Y$404=1)*('債券'!$B$5:$B$404=$A31)*($A31&lt;&gt;"")*'債券'!$AU$5:$AU$404*'債券'!$AT$5:$AT$404)</f>
        <v/>
      </c>
      <c r="G31" s="18">
        <f>IF(B31&lt;'參數'!$B$10,"",IF(ABS((B31*E31-C31^2))&lt;1E-9,0,(B31*F31-C31*D31)/(B31*E31-C31^2)))</f>
        <v/>
      </c>
      <c r="H31" s="18">
        <f>IF(B31&lt;'參數'!$B$10,"",(D31-G31*C31)/B31)</f>
        <v/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>
      <c r="A32" s="32">
        <f>IF('發行人'!$D17="","",'發行人'!$D17)</f>
        <v/>
      </c>
      <c r="B32" s="22">
        <f>SUMPRODUCT(('債券'!$Y$5:$Y$404=1)*('債券'!$B$5:$B$404=$A32)*($A32&lt;&gt;""))</f>
        <v/>
      </c>
      <c r="C32" s="25">
        <f>SUMPRODUCT(('債券'!$Y$5:$Y$404=1)*('債券'!$B$5:$B$404=$A32)*($A32&lt;&gt;"")*'債券'!$AU$5:$AU$404)</f>
        <v/>
      </c>
      <c r="D32" s="23">
        <f>SUMPRODUCT(('債券'!$Y$5:$Y$404=1)*('債券'!$B$5:$B$404=$A32)*($A32&lt;&gt;"")*'債券'!$AT$5:$AT$404)</f>
        <v/>
      </c>
      <c r="E32" s="25">
        <f>SUMPRODUCT(('債券'!$Y$5:$Y$404=1)*('債券'!$B$5:$B$404=$A32)*($A32&lt;&gt;"")*'債券'!$AU$5:$AU$404^2)</f>
        <v/>
      </c>
      <c r="F32" s="23">
        <f>SUMPRODUCT(('債券'!$Y$5:$Y$404=1)*('債券'!$B$5:$B$404=$A32)*($A32&lt;&gt;"")*'債券'!$AU$5:$AU$404*'債券'!$AT$5:$AT$404)</f>
        <v/>
      </c>
      <c r="G32" s="18">
        <f>IF(B32&lt;'參數'!$B$10,"",IF(ABS((B32*E32-C32^2))&lt;1E-9,0,(B32*F32-C32*D32)/(B32*E32-C32^2)))</f>
        <v/>
      </c>
      <c r="H32" s="18">
        <f>IF(B32&lt;'參數'!$B$10,"",(D32-G32*C32)/B32)</f>
        <v/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>
      <c r="A33" s="32">
        <f>IF('發行人'!$D18="","",'發行人'!$D18)</f>
        <v/>
      </c>
      <c r="B33" s="22">
        <f>SUMPRODUCT(('債券'!$Y$5:$Y$404=1)*('債券'!$B$5:$B$404=$A33)*($A33&lt;&gt;""))</f>
        <v/>
      </c>
      <c r="C33" s="25">
        <f>SUMPRODUCT(('債券'!$Y$5:$Y$404=1)*('債券'!$B$5:$B$404=$A33)*($A33&lt;&gt;"")*'債券'!$AU$5:$AU$404)</f>
        <v/>
      </c>
      <c r="D33" s="23">
        <f>SUMPRODUCT(('債券'!$Y$5:$Y$404=1)*('債券'!$B$5:$B$404=$A33)*($A33&lt;&gt;"")*'債券'!$AT$5:$AT$404)</f>
        <v/>
      </c>
      <c r="E33" s="25">
        <f>SUMPRODUCT(('債券'!$Y$5:$Y$404=1)*('債券'!$B$5:$B$404=$A33)*($A33&lt;&gt;"")*'債券'!$AU$5:$AU$404^2)</f>
        <v/>
      </c>
      <c r="F33" s="23">
        <f>SUMPRODUCT(('債券'!$Y$5:$Y$404=1)*('債券'!$B$5:$B$404=$A33)*($A33&lt;&gt;"")*'債券'!$AU$5:$AU$404*'債券'!$AT$5:$AT$404)</f>
        <v/>
      </c>
      <c r="G33" s="18">
        <f>IF(B33&lt;'參數'!$B$10,"",IF(ABS((B33*E33-C33^2))&lt;1E-9,0,(B33*F33-C33*D33)/(B33*E33-C33^2)))</f>
        <v/>
      </c>
      <c r="H33" s="18">
        <f>IF(B33&lt;'參數'!$B$10,"",(D33-G33*C33)/B33)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>
      <c r="A34" s="32">
        <f>IF('發行人'!$D19="","",'發行人'!$D19)</f>
        <v/>
      </c>
      <c r="B34" s="22">
        <f>SUMPRODUCT(('債券'!$Y$5:$Y$404=1)*('債券'!$B$5:$B$404=$A34)*($A34&lt;&gt;""))</f>
        <v/>
      </c>
      <c r="C34" s="25">
        <f>SUMPRODUCT(('債券'!$Y$5:$Y$404=1)*('債券'!$B$5:$B$404=$A34)*($A34&lt;&gt;"")*'債券'!$AU$5:$AU$404)</f>
        <v/>
      </c>
      <c r="D34" s="23">
        <f>SUMPRODUCT(('債券'!$Y$5:$Y$404=1)*('債券'!$B$5:$B$404=$A34)*($A34&lt;&gt;"")*'債券'!$AT$5:$AT$404)</f>
        <v/>
      </c>
      <c r="E34" s="25">
        <f>SUMPRODUCT(('債券'!$Y$5:$Y$404=1)*('債券'!$B$5:$B$404=$A34)*($A34&lt;&gt;"")*'債券'!$AU$5:$AU$404^2)</f>
        <v/>
      </c>
      <c r="F34" s="23">
        <f>SUMPRODUCT(('債券'!$Y$5:$Y$404=1)*('債券'!$B$5:$B$404=$A34)*($A34&lt;&gt;"")*'債券'!$AU$5:$AU$404*'債券'!$AT$5:$AT$404)</f>
        <v/>
      </c>
      <c r="G34" s="18">
        <f>IF(B34&lt;'參數'!$B$10,"",IF(ABS((B34*E34-C34^2))&lt;1E-9,0,(B34*F34-C34*D34)/(B34*E34-C34^2)))</f>
        <v/>
      </c>
      <c r="H34" s="18">
        <f>IF(B34&lt;'參數'!$B$10,"",(D34-G34*C34)/B34)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>
      <c r="A35" s="32">
        <f>IF('發行人'!$D20="","",'發行人'!$D20)</f>
        <v/>
      </c>
      <c r="B35" s="22">
        <f>SUMPRODUCT(('債券'!$Y$5:$Y$404=1)*('債券'!$B$5:$B$404=$A35)*($A35&lt;&gt;""))</f>
        <v/>
      </c>
      <c r="C35" s="25">
        <f>SUMPRODUCT(('債券'!$Y$5:$Y$404=1)*('債券'!$B$5:$B$404=$A35)*($A35&lt;&gt;"")*'債券'!$AU$5:$AU$404)</f>
        <v/>
      </c>
      <c r="D35" s="23">
        <f>SUMPRODUCT(('債券'!$Y$5:$Y$404=1)*('債券'!$B$5:$B$404=$A35)*($A35&lt;&gt;"")*'債券'!$AT$5:$AT$404)</f>
        <v/>
      </c>
      <c r="E35" s="25">
        <f>SUMPRODUCT(('債券'!$Y$5:$Y$404=1)*('債券'!$B$5:$B$404=$A35)*($A35&lt;&gt;"")*'債券'!$AU$5:$AU$404^2)</f>
        <v/>
      </c>
      <c r="F35" s="23">
        <f>SUMPRODUCT(('債券'!$Y$5:$Y$404=1)*('債券'!$B$5:$B$404=$A35)*($A35&lt;&gt;"")*'債券'!$AU$5:$AU$404*'債券'!$AT$5:$AT$404)</f>
        <v/>
      </c>
      <c r="G35" s="18">
        <f>IF(B35&lt;'參數'!$B$10,"",IF(ABS((B35*E35-C35^2))&lt;1E-9,0,(B35*F35-C35*D35)/(B35*E35-C35^2)))</f>
        <v/>
      </c>
      <c r="H35" s="18">
        <f>IF(B35&lt;'參數'!$B$10,"",(D35-G35*C35)/B35)</f>
        <v/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>
      <c r="A36" s="32">
        <f>IF('發行人'!$D21="","",'發行人'!$D21)</f>
        <v/>
      </c>
      <c r="B36" s="22">
        <f>SUMPRODUCT(('債券'!$Y$5:$Y$404=1)*('債券'!$B$5:$B$404=$A36)*($A36&lt;&gt;""))</f>
        <v/>
      </c>
      <c r="C36" s="25">
        <f>SUMPRODUCT(('債券'!$Y$5:$Y$404=1)*('債券'!$B$5:$B$404=$A36)*($A36&lt;&gt;"")*'債券'!$AU$5:$AU$404)</f>
        <v/>
      </c>
      <c r="D36" s="23">
        <f>SUMPRODUCT(('債券'!$Y$5:$Y$404=1)*('債券'!$B$5:$B$404=$A36)*($A36&lt;&gt;"")*'債券'!$AT$5:$AT$404)</f>
        <v/>
      </c>
      <c r="E36" s="25">
        <f>SUMPRODUCT(('債券'!$Y$5:$Y$404=1)*('債券'!$B$5:$B$404=$A36)*($A36&lt;&gt;"")*'債券'!$AU$5:$AU$404^2)</f>
        <v/>
      </c>
      <c r="F36" s="23">
        <f>SUMPRODUCT(('債券'!$Y$5:$Y$404=1)*('債券'!$B$5:$B$404=$A36)*($A36&lt;&gt;"")*'債券'!$AU$5:$AU$404*'債券'!$AT$5:$AT$404)</f>
        <v/>
      </c>
      <c r="G36" s="18">
        <f>IF(B36&lt;'參數'!$B$10,"",IF(ABS((B36*E36-C36^2))&lt;1E-9,0,(B36*F36-C36*D36)/(B36*E36-C36^2)))</f>
        <v/>
      </c>
      <c r="H36" s="18">
        <f>IF(B36&lt;'參數'!$B$10,"",(D36-G36*C36)/B36)</f>
        <v/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>
      <c r="A37" s="32">
        <f>IF('發行人'!$D22="","",'發行人'!$D22)</f>
        <v/>
      </c>
      <c r="B37" s="22">
        <f>SUMPRODUCT(('債券'!$Y$5:$Y$404=1)*('債券'!$B$5:$B$404=$A37)*($A37&lt;&gt;""))</f>
        <v/>
      </c>
      <c r="C37" s="25">
        <f>SUMPRODUCT(('債券'!$Y$5:$Y$404=1)*('債券'!$B$5:$B$404=$A37)*($A37&lt;&gt;"")*'債券'!$AU$5:$AU$404)</f>
        <v/>
      </c>
      <c r="D37" s="23">
        <f>SUMPRODUCT(('債券'!$Y$5:$Y$404=1)*('債券'!$B$5:$B$404=$A37)*($A37&lt;&gt;"")*'債券'!$AT$5:$AT$404)</f>
        <v/>
      </c>
      <c r="E37" s="25">
        <f>SUMPRODUCT(('債券'!$Y$5:$Y$404=1)*('債券'!$B$5:$B$404=$A37)*($A37&lt;&gt;"")*'債券'!$AU$5:$AU$404^2)</f>
        <v/>
      </c>
      <c r="F37" s="23">
        <f>SUMPRODUCT(('債券'!$Y$5:$Y$404=1)*('債券'!$B$5:$B$404=$A37)*($A37&lt;&gt;"")*'債券'!$AU$5:$AU$404*'債券'!$AT$5:$AT$404)</f>
        <v/>
      </c>
      <c r="G37" s="18">
        <f>IF(B37&lt;'參數'!$B$10,"",IF(ABS((B37*E37-C37^2))&lt;1E-9,0,(B37*F37-C37*D37)/(B37*E37-C37^2)))</f>
        <v/>
      </c>
      <c r="H37" s="18">
        <f>IF(B37&lt;'參數'!$B$10,"",(D37-G37*C37)/B37)</f>
        <v/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>
      <c r="A38" s="32">
        <f>IF('發行人'!$D23="","",'發行人'!$D23)</f>
        <v/>
      </c>
      <c r="B38" s="22">
        <f>SUMPRODUCT(('債券'!$Y$5:$Y$404=1)*('債券'!$B$5:$B$404=$A38)*($A38&lt;&gt;""))</f>
        <v/>
      </c>
      <c r="C38" s="25">
        <f>SUMPRODUCT(('債券'!$Y$5:$Y$404=1)*('債券'!$B$5:$B$404=$A38)*($A38&lt;&gt;"")*'債券'!$AU$5:$AU$404)</f>
        <v/>
      </c>
      <c r="D38" s="23">
        <f>SUMPRODUCT(('債券'!$Y$5:$Y$404=1)*('債券'!$B$5:$B$404=$A38)*($A38&lt;&gt;"")*'債券'!$AT$5:$AT$404)</f>
        <v/>
      </c>
      <c r="E38" s="25">
        <f>SUMPRODUCT(('債券'!$Y$5:$Y$404=1)*('債券'!$B$5:$B$404=$A38)*($A38&lt;&gt;"")*'債券'!$AU$5:$AU$404^2)</f>
        <v/>
      </c>
      <c r="F38" s="23">
        <f>SUMPRODUCT(('債券'!$Y$5:$Y$404=1)*('債券'!$B$5:$B$404=$A38)*($A38&lt;&gt;"")*'債券'!$AU$5:$AU$404*'債券'!$AT$5:$AT$404)</f>
        <v/>
      </c>
      <c r="G38" s="18">
        <f>IF(B38&lt;'參數'!$B$10,"",IF(ABS((B38*E38-C38^2))&lt;1E-9,0,(B38*F38-C38*D38)/(B38*E38-C38^2)))</f>
        <v/>
      </c>
      <c r="H38" s="18">
        <f>IF(B38&lt;'參數'!$B$10,"",(D38-G38*C38)/B38)</f>
        <v/>
      </c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>
      <c r="A39" s="32">
        <f>IF('發行人'!$D24="","",'發行人'!$D24)</f>
        <v/>
      </c>
      <c r="B39" s="22">
        <f>SUMPRODUCT(('債券'!$Y$5:$Y$404=1)*('債券'!$B$5:$B$404=$A39)*($A39&lt;&gt;""))</f>
        <v/>
      </c>
      <c r="C39" s="25">
        <f>SUMPRODUCT(('債券'!$Y$5:$Y$404=1)*('債券'!$B$5:$B$404=$A39)*($A39&lt;&gt;"")*'債券'!$AU$5:$AU$404)</f>
        <v/>
      </c>
      <c r="D39" s="23">
        <f>SUMPRODUCT(('債券'!$Y$5:$Y$404=1)*('債券'!$B$5:$B$404=$A39)*($A39&lt;&gt;"")*'債券'!$AT$5:$AT$404)</f>
        <v/>
      </c>
      <c r="E39" s="25">
        <f>SUMPRODUCT(('債券'!$Y$5:$Y$404=1)*('債券'!$B$5:$B$404=$A39)*($A39&lt;&gt;"")*'債券'!$AU$5:$AU$404^2)</f>
        <v/>
      </c>
      <c r="F39" s="23">
        <f>SUMPRODUCT(('債券'!$Y$5:$Y$404=1)*('債券'!$B$5:$B$404=$A39)*($A39&lt;&gt;"")*'債券'!$AU$5:$AU$404*'債券'!$AT$5:$AT$404)</f>
        <v/>
      </c>
      <c r="G39" s="18">
        <f>IF(B39&lt;'參數'!$B$10,"",IF(ABS((B39*E39-C39^2))&lt;1E-9,0,(B39*F39-C39*D39)/(B39*E39-C39^2)))</f>
        <v/>
      </c>
      <c r="H39" s="18">
        <f>IF(B39&lt;'參數'!$B$10,"",(D39-G39*C39)/B39)</f>
        <v/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>
      <c r="A40" s="32">
        <f>IF('發行人'!$D25="","",'發行人'!$D25)</f>
        <v/>
      </c>
      <c r="B40" s="22">
        <f>SUMPRODUCT(('債券'!$Y$5:$Y$404=1)*('債券'!$B$5:$B$404=$A40)*($A40&lt;&gt;""))</f>
        <v/>
      </c>
      <c r="C40" s="25">
        <f>SUMPRODUCT(('債券'!$Y$5:$Y$404=1)*('債券'!$B$5:$B$404=$A40)*($A40&lt;&gt;"")*'債券'!$AU$5:$AU$404)</f>
        <v/>
      </c>
      <c r="D40" s="23">
        <f>SUMPRODUCT(('債券'!$Y$5:$Y$404=1)*('債券'!$B$5:$B$404=$A40)*($A40&lt;&gt;"")*'債券'!$AT$5:$AT$404)</f>
        <v/>
      </c>
      <c r="E40" s="25">
        <f>SUMPRODUCT(('債券'!$Y$5:$Y$404=1)*('債券'!$B$5:$B$404=$A40)*($A40&lt;&gt;"")*'債券'!$AU$5:$AU$404^2)</f>
        <v/>
      </c>
      <c r="F40" s="23">
        <f>SUMPRODUCT(('債券'!$Y$5:$Y$404=1)*('債券'!$B$5:$B$404=$A40)*($A40&lt;&gt;"")*'債券'!$AU$5:$AU$404*'債券'!$AT$5:$AT$404)</f>
        <v/>
      </c>
      <c r="G40" s="18">
        <f>IF(B40&lt;'參數'!$B$10,"",IF(ABS((B40*E40-C40^2))&lt;1E-9,0,(B40*F40-C40*D40)/(B40*E40-C40^2)))</f>
        <v/>
      </c>
      <c r="H40" s="18">
        <f>IF(B40&lt;'參數'!$B$10,"",(D40-G40*C40)/B40)</f>
        <v/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>
      <c r="A41" s="32">
        <f>IF('發行人'!$D26="","",'發行人'!$D26)</f>
        <v/>
      </c>
      <c r="B41" s="22">
        <f>SUMPRODUCT(('債券'!$Y$5:$Y$404=1)*('債券'!$B$5:$B$404=$A41)*($A41&lt;&gt;""))</f>
        <v/>
      </c>
      <c r="C41" s="25">
        <f>SUMPRODUCT(('債券'!$Y$5:$Y$404=1)*('債券'!$B$5:$B$404=$A41)*($A41&lt;&gt;"")*'債券'!$AU$5:$AU$404)</f>
        <v/>
      </c>
      <c r="D41" s="23">
        <f>SUMPRODUCT(('債券'!$Y$5:$Y$404=1)*('債券'!$B$5:$B$404=$A41)*($A41&lt;&gt;"")*'債券'!$AT$5:$AT$404)</f>
        <v/>
      </c>
      <c r="E41" s="25">
        <f>SUMPRODUCT(('債券'!$Y$5:$Y$404=1)*('債券'!$B$5:$B$404=$A41)*($A41&lt;&gt;"")*'債券'!$AU$5:$AU$404^2)</f>
        <v/>
      </c>
      <c r="F41" s="23">
        <f>SUMPRODUCT(('債券'!$Y$5:$Y$404=1)*('債券'!$B$5:$B$404=$A41)*($A41&lt;&gt;"")*'債券'!$AU$5:$AU$404*'債券'!$AT$5:$AT$404)</f>
        <v/>
      </c>
      <c r="G41" s="18">
        <f>IF(B41&lt;'參數'!$B$10,"",IF(ABS((B41*E41-C41^2))&lt;1E-9,0,(B41*F41-C41*D41)/(B41*E41-C41^2)))</f>
        <v/>
      </c>
      <c r="H41" s="18">
        <f>IF(B41&lt;'參數'!$B$10,"",(D41-G41*C41)/B41)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>
      <c r="A42" s="32">
        <f>IF('發行人'!$D27="","",'發行人'!$D27)</f>
        <v/>
      </c>
      <c r="B42" s="22">
        <f>SUMPRODUCT(('債券'!$Y$5:$Y$404=1)*('債券'!$B$5:$B$404=$A42)*($A42&lt;&gt;""))</f>
        <v/>
      </c>
      <c r="C42" s="25">
        <f>SUMPRODUCT(('債券'!$Y$5:$Y$404=1)*('債券'!$B$5:$B$404=$A42)*($A42&lt;&gt;"")*'債券'!$AU$5:$AU$404)</f>
        <v/>
      </c>
      <c r="D42" s="23">
        <f>SUMPRODUCT(('債券'!$Y$5:$Y$404=1)*('債券'!$B$5:$B$404=$A42)*($A42&lt;&gt;"")*'債券'!$AT$5:$AT$404)</f>
        <v/>
      </c>
      <c r="E42" s="25">
        <f>SUMPRODUCT(('債券'!$Y$5:$Y$404=1)*('債券'!$B$5:$B$404=$A42)*($A42&lt;&gt;"")*'債券'!$AU$5:$AU$404^2)</f>
        <v/>
      </c>
      <c r="F42" s="23">
        <f>SUMPRODUCT(('債券'!$Y$5:$Y$404=1)*('債券'!$B$5:$B$404=$A42)*($A42&lt;&gt;"")*'債券'!$AU$5:$AU$404*'債券'!$AT$5:$AT$404)</f>
        <v/>
      </c>
      <c r="G42" s="18">
        <f>IF(B42&lt;'參數'!$B$10,"",IF(ABS((B42*E42-C42^2))&lt;1E-9,0,(B42*F42-C42*D42)/(B42*E42-C42^2)))</f>
        <v/>
      </c>
      <c r="H42" s="18">
        <f>IF(B42&lt;'參數'!$B$10,"",(D42-G42*C42)/B42)</f>
        <v/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>
      <c r="A43" s="32">
        <f>IF('發行人'!$D28="","",'發行人'!$D28)</f>
        <v/>
      </c>
      <c r="B43" s="22">
        <f>SUMPRODUCT(('債券'!$Y$5:$Y$404=1)*('債券'!$B$5:$B$404=$A43)*($A43&lt;&gt;""))</f>
        <v/>
      </c>
      <c r="C43" s="25">
        <f>SUMPRODUCT(('債券'!$Y$5:$Y$404=1)*('債券'!$B$5:$B$404=$A43)*($A43&lt;&gt;"")*'債券'!$AU$5:$AU$404)</f>
        <v/>
      </c>
      <c r="D43" s="23">
        <f>SUMPRODUCT(('債券'!$Y$5:$Y$404=1)*('債券'!$B$5:$B$404=$A43)*($A43&lt;&gt;"")*'債券'!$AT$5:$AT$404)</f>
        <v/>
      </c>
      <c r="E43" s="25">
        <f>SUMPRODUCT(('債券'!$Y$5:$Y$404=1)*('債券'!$B$5:$B$404=$A43)*($A43&lt;&gt;"")*'債券'!$AU$5:$AU$404^2)</f>
        <v/>
      </c>
      <c r="F43" s="23">
        <f>SUMPRODUCT(('債券'!$Y$5:$Y$404=1)*('債券'!$B$5:$B$404=$A43)*($A43&lt;&gt;"")*'債券'!$AU$5:$AU$404*'債券'!$AT$5:$AT$404)</f>
        <v/>
      </c>
      <c r="G43" s="18">
        <f>IF(B43&lt;'參數'!$B$10,"",IF(ABS((B43*E43-C43^2))&lt;1E-9,0,(B43*F43-C43*D43)/(B43*E43-C43^2)))</f>
        <v/>
      </c>
      <c r="H43" s="18">
        <f>IF(B43&lt;'參數'!$B$10,"",(D43-G43*C43)/B43)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>
      <c r="A44" s="32">
        <f>IF('發行人'!$D29="","",'發行人'!$D29)</f>
        <v/>
      </c>
      <c r="B44" s="22">
        <f>SUMPRODUCT(('債券'!$Y$5:$Y$404=1)*('債券'!$B$5:$B$404=$A44)*($A44&lt;&gt;""))</f>
        <v/>
      </c>
      <c r="C44" s="25">
        <f>SUMPRODUCT(('債券'!$Y$5:$Y$404=1)*('債券'!$B$5:$B$404=$A44)*($A44&lt;&gt;"")*'債券'!$AU$5:$AU$404)</f>
        <v/>
      </c>
      <c r="D44" s="23">
        <f>SUMPRODUCT(('債券'!$Y$5:$Y$404=1)*('債券'!$B$5:$B$404=$A44)*($A44&lt;&gt;"")*'債券'!$AT$5:$AT$404)</f>
        <v/>
      </c>
      <c r="E44" s="25">
        <f>SUMPRODUCT(('債券'!$Y$5:$Y$404=1)*('債券'!$B$5:$B$404=$A44)*($A44&lt;&gt;"")*'債券'!$AU$5:$AU$404^2)</f>
        <v/>
      </c>
      <c r="F44" s="23">
        <f>SUMPRODUCT(('債券'!$Y$5:$Y$404=1)*('債券'!$B$5:$B$404=$A44)*($A44&lt;&gt;"")*'債券'!$AU$5:$AU$404*'債券'!$AT$5:$AT$404)</f>
        <v/>
      </c>
      <c r="G44" s="18">
        <f>IF(B44&lt;'參數'!$B$10,"",IF(ABS((B44*E44-C44^2))&lt;1E-9,0,(B44*F44-C44*D44)/(B44*E44-C44^2)))</f>
        <v/>
      </c>
      <c r="H44" s="18">
        <f>IF(B44&lt;'參數'!$B$10,"",(D44-G44*C44)/B44)</f>
        <v/>
      </c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>
      <c r="A45" s="32">
        <f>IF('發行人'!$D30="","",'發行人'!$D30)</f>
        <v/>
      </c>
      <c r="B45" s="22">
        <f>SUMPRODUCT(('債券'!$Y$5:$Y$404=1)*('債券'!$B$5:$B$404=$A45)*($A45&lt;&gt;""))</f>
        <v/>
      </c>
      <c r="C45" s="25">
        <f>SUMPRODUCT(('債券'!$Y$5:$Y$404=1)*('債券'!$B$5:$B$404=$A45)*($A45&lt;&gt;"")*'債券'!$AU$5:$AU$404)</f>
        <v/>
      </c>
      <c r="D45" s="23">
        <f>SUMPRODUCT(('債券'!$Y$5:$Y$404=1)*('債券'!$B$5:$B$404=$A45)*($A45&lt;&gt;"")*'債券'!$AT$5:$AT$404)</f>
        <v/>
      </c>
      <c r="E45" s="25">
        <f>SUMPRODUCT(('債券'!$Y$5:$Y$404=1)*('債券'!$B$5:$B$404=$A45)*($A45&lt;&gt;"")*'債券'!$AU$5:$AU$404^2)</f>
        <v/>
      </c>
      <c r="F45" s="23">
        <f>SUMPRODUCT(('債券'!$Y$5:$Y$404=1)*('債券'!$B$5:$B$404=$A45)*($A45&lt;&gt;"")*'債券'!$AU$5:$AU$404*'債券'!$AT$5:$AT$404)</f>
        <v/>
      </c>
      <c r="G45" s="18">
        <f>IF(B45&lt;'參數'!$B$10,"",IF(ABS((B45*E45-C45^2))&lt;1E-9,0,(B45*F45-C45*D45)/(B45*E45-C45^2)))</f>
        <v/>
      </c>
      <c r="H45" s="18">
        <f>IF(B45&lt;'參數'!$B$10,"",(D45-G45*C45)/B45)</f>
        <v/>
      </c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>
      <c r="A46" s="32">
        <f>IF('發行人'!$D31="","",'發行人'!$D31)</f>
        <v/>
      </c>
      <c r="B46" s="22">
        <f>SUMPRODUCT(('債券'!$Y$5:$Y$404=1)*('債券'!$B$5:$B$404=$A46)*($A46&lt;&gt;""))</f>
        <v/>
      </c>
      <c r="C46" s="25">
        <f>SUMPRODUCT(('債券'!$Y$5:$Y$404=1)*('債券'!$B$5:$B$404=$A46)*($A46&lt;&gt;"")*'債券'!$AU$5:$AU$404)</f>
        <v/>
      </c>
      <c r="D46" s="23">
        <f>SUMPRODUCT(('債券'!$Y$5:$Y$404=1)*('債券'!$B$5:$B$404=$A46)*($A46&lt;&gt;"")*'債券'!$AT$5:$AT$404)</f>
        <v/>
      </c>
      <c r="E46" s="25">
        <f>SUMPRODUCT(('債券'!$Y$5:$Y$404=1)*('債券'!$B$5:$B$404=$A46)*($A46&lt;&gt;"")*'債券'!$AU$5:$AU$404^2)</f>
        <v/>
      </c>
      <c r="F46" s="23">
        <f>SUMPRODUCT(('債券'!$Y$5:$Y$404=1)*('債券'!$B$5:$B$404=$A46)*($A46&lt;&gt;"")*'債券'!$AU$5:$AU$404*'債券'!$AT$5:$AT$404)</f>
        <v/>
      </c>
      <c r="G46" s="18">
        <f>IF(B46&lt;'參數'!$B$10,"",IF(ABS((B46*E46-C46^2))&lt;1E-9,0,(B46*F46-C46*D46)/(B46*E46-C46^2)))</f>
        <v/>
      </c>
      <c r="H46" s="18">
        <f>IF(B46&lt;'參數'!$B$10,"",(D46-G46*C46)/B46)</f>
        <v/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>
      <c r="A47" s="32">
        <f>IF('發行人'!$D32="","",'發行人'!$D32)</f>
        <v/>
      </c>
      <c r="B47" s="22">
        <f>SUMPRODUCT(('債券'!$Y$5:$Y$404=1)*('債券'!$B$5:$B$404=$A47)*($A47&lt;&gt;""))</f>
        <v/>
      </c>
      <c r="C47" s="25">
        <f>SUMPRODUCT(('債券'!$Y$5:$Y$404=1)*('債券'!$B$5:$B$404=$A47)*($A47&lt;&gt;"")*'債券'!$AU$5:$AU$404)</f>
        <v/>
      </c>
      <c r="D47" s="23">
        <f>SUMPRODUCT(('債券'!$Y$5:$Y$404=1)*('債券'!$B$5:$B$404=$A47)*($A47&lt;&gt;"")*'債券'!$AT$5:$AT$404)</f>
        <v/>
      </c>
      <c r="E47" s="25">
        <f>SUMPRODUCT(('債券'!$Y$5:$Y$404=1)*('債券'!$B$5:$B$404=$A47)*($A47&lt;&gt;"")*'債券'!$AU$5:$AU$404^2)</f>
        <v/>
      </c>
      <c r="F47" s="23">
        <f>SUMPRODUCT(('債券'!$Y$5:$Y$404=1)*('債券'!$B$5:$B$404=$A47)*($A47&lt;&gt;"")*'債券'!$AU$5:$AU$404*'債券'!$AT$5:$AT$404)</f>
        <v/>
      </c>
      <c r="G47" s="18">
        <f>IF(B47&lt;'參數'!$B$10,"",IF(ABS((B47*E47-C47^2))&lt;1E-9,0,(B47*F47-C47*D47)/(B47*E47-C47^2)))</f>
        <v/>
      </c>
      <c r="H47" s="18">
        <f>IF(B47&lt;'參數'!$B$10,"",(D47-G47*C47)/B47)</f>
        <v/>
      </c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>
      <c r="A48" s="32">
        <f>IF('發行人'!$D33="","",'發行人'!$D33)</f>
        <v/>
      </c>
      <c r="B48" s="22">
        <f>SUMPRODUCT(('債券'!$Y$5:$Y$404=1)*('債券'!$B$5:$B$404=$A48)*($A48&lt;&gt;""))</f>
        <v/>
      </c>
      <c r="C48" s="25">
        <f>SUMPRODUCT(('債券'!$Y$5:$Y$404=1)*('債券'!$B$5:$B$404=$A48)*($A48&lt;&gt;"")*'債券'!$AU$5:$AU$404)</f>
        <v/>
      </c>
      <c r="D48" s="23">
        <f>SUMPRODUCT(('債券'!$Y$5:$Y$404=1)*('債券'!$B$5:$B$404=$A48)*($A48&lt;&gt;"")*'債券'!$AT$5:$AT$404)</f>
        <v/>
      </c>
      <c r="E48" s="25">
        <f>SUMPRODUCT(('債券'!$Y$5:$Y$404=1)*('債券'!$B$5:$B$404=$A48)*($A48&lt;&gt;"")*'債券'!$AU$5:$AU$404^2)</f>
        <v/>
      </c>
      <c r="F48" s="23">
        <f>SUMPRODUCT(('債券'!$Y$5:$Y$404=1)*('債券'!$B$5:$B$404=$A48)*($A48&lt;&gt;"")*'債券'!$AU$5:$AU$404*'債券'!$AT$5:$AT$404)</f>
        <v/>
      </c>
      <c r="G48" s="18">
        <f>IF(B48&lt;'參數'!$B$10,"",IF(ABS((B48*E48-C48^2))&lt;1E-9,0,(B48*F48-C48*D48)/(B48*E48-C48^2)))</f>
        <v/>
      </c>
      <c r="H48" s="18">
        <f>IF(B48&lt;'參數'!$B$10,"",(D48-G48*C48)/B48)</f>
        <v/>
      </c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>
      <c r="A49" s="32">
        <f>IF('發行人'!$D34="","",'發行人'!$D34)</f>
        <v/>
      </c>
      <c r="B49" s="22">
        <f>SUMPRODUCT(('債券'!$Y$5:$Y$404=1)*('債券'!$B$5:$B$404=$A49)*($A49&lt;&gt;""))</f>
        <v/>
      </c>
      <c r="C49" s="25">
        <f>SUMPRODUCT(('債券'!$Y$5:$Y$404=1)*('債券'!$B$5:$B$404=$A49)*($A49&lt;&gt;"")*'債券'!$AU$5:$AU$404)</f>
        <v/>
      </c>
      <c r="D49" s="23">
        <f>SUMPRODUCT(('債券'!$Y$5:$Y$404=1)*('債券'!$B$5:$B$404=$A49)*($A49&lt;&gt;"")*'債券'!$AT$5:$AT$404)</f>
        <v/>
      </c>
      <c r="E49" s="25">
        <f>SUMPRODUCT(('債券'!$Y$5:$Y$404=1)*('債券'!$B$5:$B$404=$A49)*($A49&lt;&gt;"")*'債券'!$AU$5:$AU$404^2)</f>
        <v/>
      </c>
      <c r="F49" s="23">
        <f>SUMPRODUCT(('債券'!$Y$5:$Y$404=1)*('債券'!$B$5:$B$404=$A49)*($A49&lt;&gt;"")*'債券'!$AU$5:$AU$404*'債券'!$AT$5:$AT$404)</f>
        <v/>
      </c>
      <c r="G49" s="18">
        <f>IF(B49&lt;'參數'!$B$10,"",IF(ABS((B49*E49-C49^2))&lt;1E-9,0,(B49*F49-C49*D49)/(B49*E49-C49^2)))</f>
        <v/>
      </c>
      <c r="H49" s="18">
        <f>IF(B49&lt;'參數'!$B$10,"",(D49-G49*C49)/B49)</f>
        <v/>
      </c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>
      <c r="A50" s="32">
        <f>IF('發行人'!$D35="","",'發行人'!$D35)</f>
        <v/>
      </c>
      <c r="B50" s="22">
        <f>SUMPRODUCT(('債券'!$Y$5:$Y$404=1)*('債券'!$B$5:$B$404=$A50)*($A50&lt;&gt;""))</f>
        <v/>
      </c>
      <c r="C50" s="25">
        <f>SUMPRODUCT(('債券'!$Y$5:$Y$404=1)*('債券'!$B$5:$B$404=$A50)*($A50&lt;&gt;"")*'債券'!$AU$5:$AU$404)</f>
        <v/>
      </c>
      <c r="D50" s="23">
        <f>SUMPRODUCT(('債券'!$Y$5:$Y$404=1)*('債券'!$B$5:$B$404=$A50)*($A50&lt;&gt;"")*'債券'!$AT$5:$AT$404)</f>
        <v/>
      </c>
      <c r="E50" s="25">
        <f>SUMPRODUCT(('債券'!$Y$5:$Y$404=1)*('債券'!$B$5:$B$404=$A50)*($A50&lt;&gt;"")*'債券'!$AU$5:$AU$404^2)</f>
        <v/>
      </c>
      <c r="F50" s="23">
        <f>SUMPRODUCT(('債券'!$Y$5:$Y$404=1)*('債券'!$B$5:$B$404=$A50)*($A50&lt;&gt;"")*'債券'!$AU$5:$AU$404*'債券'!$AT$5:$AT$404)</f>
        <v/>
      </c>
      <c r="G50" s="18">
        <f>IF(B50&lt;'參數'!$B$10,"",IF(ABS((B50*E50-C50^2))&lt;1E-9,0,(B50*F50-C50*D50)/(B50*E50-C50^2)))</f>
        <v/>
      </c>
      <c r="H50" s="18">
        <f>IF(B50&lt;'參數'!$B$10,"",(D50-G50*C50)/B50)</f>
        <v/>
      </c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>
      <c r="A51" s="32">
        <f>IF('發行人'!$D36="","",'發行人'!$D36)</f>
        <v/>
      </c>
      <c r="B51" s="22">
        <f>SUMPRODUCT(('債券'!$Y$5:$Y$404=1)*('債券'!$B$5:$B$404=$A51)*($A51&lt;&gt;""))</f>
        <v/>
      </c>
      <c r="C51" s="25">
        <f>SUMPRODUCT(('債券'!$Y$5:$Y$404=1)*('債券'!$B$5:$B$404=$A51)*($A51&lt;&gt;"")*'債券'!$AU$5:$AU$404)</f>
        <v/>
      </c>
      <c r="D51" s="23">
        <f>SUMPRODUCT(('債券'!$Y$5:$Y$404=1)*('債券'!$B$5:$B$404=$A51)*($A51&lt;&gt;"")*'債券'!$AT$5:$AT$404)</f>
        <v/>
      </c>
      <c r="E51" s="25">
        <f>SUMPRODUCT(('債券'!$Y$5:$Y$404=1)*('債券'!$B$5:$B$404=$A51)*($A51&lt;&gt;"")*'債券'!$AU$5:$AU$404^2)</f>
        <v/>
      </c>
      <c r="F51" s="23">
        <f>SUMPRODUCT(('債券'!$Y$5:$Y$404=1)*('債券'!$B$5:$B$404=$A51)*($A51&lt;&gt;"")*'債券'!$AU$5:$AU$404*'債券'!$AT$5:$AT$404)</f>
        <v/>
      </c>
      <c r="G51" s="18">
        <f>IF(B51&lt;'參數'!$B$10,"",IF(ABS((B51*E51-C51^2))&lt;1E-9,0,(B51*F51-C51*D51)/(B51*E51-C51^2)))</f>
        <v/>
      </c>
      <c r="H51" s="18">
        <f>IF(B51&lt;'參數'!$B$10,"",(D51-G51*C51)/B51)</f>
        <v/>
      </c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>
      <c r="A52" s="32">
        <f>IF('發行人'!$D37="","",'發行人'!$D37)</f>
        <v/>
      </c>
      <c r="B52" s="22">
        <f>SUMPRODUCT(('債券'!$Y$5:$Y$404=1)*('債券'!$B$5:$B$404=$A52)*($A52&lt;&gt;""))</f>
        <v/>
      </c>
      <c r="C52" s="25">
        <f>SUMPRODUCT(('債券'!$Y$5:$Y$404=1)*('債券'!$B$5:$B$404=$A52)*($A52&lt;&gt;"")*'債券'!$AU$5:$AU$404)</f>
        <v/>
      </c>
      <c r="D52" s="23">
        <f>SUMPRODUCT(('債券'!$Y$5:$Y$404=1)*('債券'!$B$5:$B$404=$A52)*($A52&lt;&gt;"")*'債券'!$AT$5:$AT$404)</f>
        <v/>
      </c>
      <c r="E52" s="25">
        <f>SUMPRODUCT(('債券'!$Y$5:$Y$404=1)*('債券'!$B$5:$B$404=$A52)*($A52&lt;&gt;"")*'債券'!$AU$5:$AU$404^2)</f>
        <v/>
      </c>
      <c r="F52" s="23">
        <f>SUMPRODUCT(('債券'!$Y$5:$Y$404=1)*('債券'!$B$5:$B$404=$A52)*($A52&lt;&gt;"")*'債券'!$AU$5:$AU$404*'債券'!$AT$5:$AT$404)</f>
        <v/>
      </c>
      <c r="G52" s="18">
        <f>IF(B52&lt;'參數'!$B$10,"",IF(ABS((B52*E52-C52^2))&lt;1E-9,0,(B52*F52-C52*D52)/(B52*E52-C52^2)))</f>
        <v/>
      </c>
      <c r="H52" s="18">
        <f>IF(B52&lt;'參數'!$B$10,"",(D52-G52*C52)/B52)</f>
        <v/>
      </c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>
      <c r="A53" s="32">
        <f>IF('發行人'!$D38="","",'發行人'!$D38)</f>
        <v/>
      </c>
      <c r="B53" s="22">
        <f>SUMPRODUCT(('債券'!$Y$5:$Y$404=1)*('債券'!$B$5:$B$404=$A53)*($A53&lt;&gt;""))</f>
        <v/>
      </c>
      <c r="C53" s="25">
        <f>SUMPRODUCT(('債券'!$Y$5:$Y$404=1)*('債券'!$B$5:$B$404=$A53)*($A53&lt;&gt;"")*'債券'!$AU$5:$AU$404)</f>
        <v/>
      </c>
      <c r="D53" s="23">
        <f>SUMPRODUCT(('債券'!$Y$5:$Y$404=1)*('債券'!$B$5:$B$404=$A53)*($A53&lt;&gt;"")*'債券'!$AT$5:$AT$404)</f>
        <v/>
      </c>
      <c r="E53" s="25">
        <f>SUMPRODUCT(('債券'!$Y$5:$Y$404=1)*('債券'!$B$5:$B$404=$A53)*($A53&lt;&gt;"")*'債券'!$AU$5:$AU$404^2)</f>
        <v/>
      </c>
      <c r="F53" s="23">
        <f>SUMPRODUCT(('債券'!$Y$5:$Y$404=1)*('債券'!$B$5:$B$404=$A53)*($A53&lt;&gt;"")*'債券'!$AU$5:$AU$404*'債券'!$AT$5:$AT$404)</f>
        <v/>
      </c>
      <c r="G53" s="18">
        <f>IF(B53&lt;'參數'!$B$10,"",IF(ABS((B53*E53-C53^2))&lt;1E-9,0,(B53*F53-C53*D53)/(B53*E53-C53^2)))</f>
        <v/>
      </c>
      <c r="H53" s="18">
        <f>IF(B53&lt;'參數'!$B$10,"",(D53-G53*C53)/B53)</f>
        <v/>
      </c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>
      <c r="A54" s="32">
        <f>IF('發行人'!$D39="","",'發行人'!$D39)</f>
        <v/>
      </c>
      <c r="B54" s="22">
        <f>SUMPRODUCT(('債券'!$Y$5:$Y$404=1)*('債券'!$B$5:$B$404=$A54)*($A54&lt;&gt;""))</f>
        <v/>
      </c>
      <c r="C54" s="25">
        <f>SUMPRODUCT(('債券'!$Y$5:$Y$404=1)*('債券'!$B$5:$B$404=$A54)*($A54&lt;&gt;"")*'債券'!$AU$5:$AU$404)</f>
        <v/>
      </c>
      <c r="D54" s="23">
        <f>SUMPRODUCT(('債券'!$Y$5:$Y$404=1)*('債券'!$B$5:$B$404=$A54)*($A54&lt;&gt;"")*'債券'!$AT$5:$AT$404)</f>
        <v/>
      </c>
      <c r="E54" s="25">
        <f>SUMPRODUCT(('債券'!$Y$5:$Y$404=1)*('債券'!$B$5:$B$404=$A54)*($A54&lt;&gt;"")*'債券'!$AU$5:$AU$404^2)</f>
        <v/>
      </c>
      <c r="F54" s="23">
        <f>SUMPRODUCT(('債券'!$Y$5:$Y$404=1)*('債券'!$B$5:$B$404=$A54)*($A54&lt;&gt;"")*'債券'!$AU$5:$AU$404*'債券'!$AT$5:$AT$404)</f>
        <v/>
      </c>
      <c r="G54" s="18">
        <f>IF(B54&lt;'參數'!$B$10,"",IF(ABS((B54*E54-C54^2))&lt;1E-9,0,(B54*F54-C54*D54)/(B54*E54-C54^2)))</f>
        <v/>
      </c>
      <c r="H54" s="18">
        <f>IF(B54&lt;'參數'!$B$10,"",(D54-G54*C54)/B54)</f>
        <v/>
      </c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>
      <c r="A55" s="32">
        <f>IF('發行人'!$D40="","",'發行人'!$D40)</f>
        <v/>
      </c>
      <c r="B55" s="22">
        <f>SUMPRODUCT(('債券'!$Y$5:$Y$404=1)*('債券'!$B$5:$B$404=$A55)*($A55&lt;&gt;""))</f>
        <v/>
      </c>
      <c r="C55" s="25">
        <f>SUMPRODUCT(('債券'!$Y$5:$Y$404=1)*('債券'!$B$5:$B$404=$A55)*($A55&lt;&gt;"")*'債券'!$AU$5:$AU$404)</f>
        <v/>
      </c>
      <c r="D55" s="23">
        <f>SUMPRODUCT(('債券'!$Y$5:$Y$404=1)*('債券'!$B$5:$B$404=$A55)*($A55&lt;&gt;"")*'債券'!$AT$5:$AT$404)</f>
        <v/>
      </c>
      <c r="E55" s="25">
        <f>SUMPRODUCT(('債券'!$Y$5:$Y$404=1)*('債券'!$B$5:$B$404=$A55)*($A55&lt;&gt;"")*'債券'!$AU$5:$AU$404^2)</f>
        <v/>
      </c>
      <c r="F55" s="23">
        <f>SUMPRODUCT(('債券'!$Y$5:$Y$404=1)*('債券'!$B$5:$B$404=$A55)*($A55&lt;&gt;"")*'債券'!$AU$5:$AU$404*'債券'!$AT$5:$AT$404)</f>
        <v/>
      </c>
      <c r="G55" s="18">
        <f>IF(B55&lt;'參數'!$B$10,"",IF(ABS((B55*E55-C55^2))&lt;1E-9,0,(B55*F55-C55*D55)/(B55*E55-C55^2)))</f>
        <v/>
      </c>
      <c r="H55" s="18">
        <f>IF(B55&lt;'參數'!$B$10,"",(D55-G55*C55)/B55)</f>
        <v/>
      </c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>
      <c r="A56" s="32">
        <f>IF('發行人'!$D41="","",'發行人'!$D41)</f>
        <v/>
      </c>
      <c r="B56" s="22">
        <f>SUMPRODUCT(('債券'!$Y$5:$Y$404=1)*('債券'!$B$5:$B$404=$A56)*($A56&lt;&gt;""))</f>
        <v/>
      </c>
      <c r="C56" s="25">
        <f>SUMPRODUCT(('債券'!$Y$5:$Y$404=1)*('債券'!$B$5:$B$404=$A56)*($A56&lt;&gt;"")*'債券'!$AU$5:$AU$404)</f>
        <v/>
      </c>
      <c r="D56" s="23">
        <f>SUMPRODUCT(('債券'!$Y$5:$Y$404=1)*('債券'!$B$5:$B$404=$A56)*($A56&lt;&gt;"")*'債券'!$AT$5:$AT$404)</f>
        <v/>
      </c>
      <c r="E56" s="25">
        <f>SUMPRODUCT(('債券'!$Y$5:$Y$404=1)*('債券'!$B$5:$B$404=$A56)*($A56&lt;&gt;"")*'債券'!$AU$5:$AU$404^2)</f>
        <v/>
      </c>
      <c r="F56" s="23">
        <f>SUMPRODUCT(('債券'!$Y$5:$Y$404=1)*('債券'!$B$5:$B$404=$A56)*($A56&lt;&gt;"")*'債券'!$AU$5:$AU$404*'債券'!$AT$5:$AT$404)</f>
        <v/>
      </c>
      <c r="G56" s="18">
        <f>IF(B56&lt;'參數'!$B$10,"",IF(ABS((B56*E56-C56^2))&lt;1E-9,0,(B56*F56-C56*D56)/(B56*E56-C56^2)))</f>
        <v/>
      </c>
      <c r="H56" s="18">
        <f>IF(B56&lt;'參數'!$B$10,"",(D56-G56*C56)/B56)</f>
        <v/>
      </c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>
      <c r="A57" s="32">
        <f>IF('發行人'!$D42="","",'發行人'!$D42)</f>
        <v/>
      </c>
      <c r="B57" s="22">
        <f>SUMPRODUCT(('債券'!$Y$5:$Y$404=1)*('債券'!$B$5:$B$404=$A57)*($A57&lt;&gt;""))</f>
        <v/>
      </c>
      <c r="C57" s="25">
        <f>SUMPRODUCT(('債券'!$Y$5:$Y$404=1)*('債券'!$B$5:$B$404=$A57)*($A57&lt;&gt;"")*'債券'!$AU$5:$AU$404)</f>
        <v/>
      </c>
      <c r="D57" s="23">
        <f>SUMPRODUCT(('債券'!$Y$5:$Y$404=1)*('債券'!$B$5:$B$404=$A57)*($A57&lt;&gt;"")*'債券'!$AT$5:$AT$404)</f>
        <v/>
      </c>
      <c r="E57" s="25">
        <f>SUMPRODUCT(('債券'!$Y$5:$Y$404=1)*('債券'!$B$5:$B$404=$A57)*($A57&lt;&gt;"")*'債券'!$AU$5:$AU$404^2)</f>
        <v/>
      </c>
      <c r="F57" s="23">
        <f>SUMPRODUCT(('債券'!$Y$5:$Y$404=1)*('債券'!$B$5:$B$404=$A57)*($A57&lt;&gt;"")*'債券'!$AU$5:$AU$404*'債券'!$AT$5:$AT$404)</f>
        <v/>
      </c>
      <c r="G57" s="18">
        <f>IF(B57&lt;'參數'!$B$10,"",IF(ABS((B57*E57-C57^2))&lt;1E-9,0,(B57*F57-C57*D57)/(B57*E57-C57^2)))</f>
        <v/>
      </c>
      <c r="H57" s="18">
        <f>IF(B57&lt;'參數'!$B$10,"",(D57-G57*C57)/B57)</f>
        <v/>
      </c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>
      <c r="A58" s="32">
        <f>IF('發行人'!$D43="","",'發行人'!$D43)</f>
        <v/>
      </c>
      <c r="B58" s="22">
        <f>SUMPRODUCT(('債券'!$Y$5:$Y$404=1)*('債券'!$B$5:$B$404=$A58)*($A58&lt;&gt;""))</f>
        <v/>
      </c>
      <c r="C58" s="25">
        <f>SUMPRODUCT(('債券'!$Y$5:$Y$404=1)*('債券'!$B$5:$B$404=$A58)*($A58&lt;&gt;"")*'債券'!$AU$5:$AU$404)</f>
        <v/>
      </c>
      <c r="D58" s="23">
        <f>SUMPRODUCT(('債券'!$Y$5:$Y$404=1)*('債券'!$B$5:$B$404=$A58)*($A58&lt;&gt;"")*'債券'!$AT$5:$AT$404)</f>
        <v/>
      </c>
      <c r="E58" s="25">
        <f>SUMPRODUCT(('債券'!$Y$5:$Y$404=1)*('債券'!$B$5:$B$404=$A58)*($A58&lt;&gt;"")*'債券'!$AU$5:$AU$404^2)</f>
        <v/>
      </c>
      <c r="F58" s="23">
        <f>SUMPRODUCT(('債券'!$Y$5:$Y$404=1)*('債券'!$B$5:$B$404=$A58)*($A58&lt;&gt;"")*'債券'!$AU$5:$AU$404*'債券'!$AT$5:$AT$404)</f>
        <v/>
      </c>
      <c r="G58" s="18">
        <f>IF(B58&lt;'參數'!$B$10,"",IF(ABS((B58*E58-C58^2))&lt;1E-9,0,(B58*F58-C58*D58)/(B58*E58-C58^2)))</f>
        <v/>
      </c>
      <c r="H58" s="18">
        <f>IF(B58&lt;'參數'!$B$10,"",(D58-G58*C58)/B58)</f>
        <v/>
      </c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>
      <c r="A59" s="32">
        <f>IF('發行人'!$D44="","",'發行人'!$D44)</f>
        <v/>
      </c>
      <c r="B59" s="22">
        <f>SUMPRODUCT(('債券'!$Y$5:$Y$404=1)*('債券'!$B$5:$B$404=$A59)*($A59&lt;&gt;""))</f>
        <v/>
      </c>
      <c r="C59" s="25">
        <f>SUMPRODUCT(('債券'!$Y$5:$Y$404=1)*('債券'!$B$5:$B$404=$A59)*($A59&lt;&gt;"")*'債券'!$AU$5:$AU$404)</f>
        <v/>
      </c>
      <c r="D59" s="23">
        <f>SUMPRODUCT(('債券'!$Y$5:$Y$404=1)*('債券'!$B$5:$B$404=$A59)*($A59&lt;&gt;"")*'債券'!$AT$5:$AT$404)</f>
        <v/>
      </c>
      <c r="E59" s="25">
        <f>SUMPRODUCT(('債券'!$Y$5:$Y$404=1)*('債券'!$B$5:$B$404=$A59)*($A59&lt;&gt;"")*'債券'!$AU$5:$AU$404^2)</f>
        <v/>
      </c>
      <c r="F59" s="23">
        <f>SUMPRODUCT(('債券'!$Y$5:$Y$404=1)*('債券'!$B$5:$B$404=$A59)*($A59&lt;&gt;"")*'債券'!$AU$5:$AU$404*'債券'!$AT$5:$AT$404)</f>
        <v/>
      </c>
      <c r="G59" s="18">
        <f>IF(B59&lt;'參數'!$B$10,"",IF(ABS((B59*E59-C59^2))&lt;1E-9,0,(B59*F59-C59*D59)/(B59*E59-C59^2)))</f>
        <v/>
      </c>
      <c r="H59" s="18">
        <f>IF(B59&lt;'參數'!$B$10,"",(D59-G59*C59)/B59)</f>
        <v/>
      </c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18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0" customWidth="1" min="13" max="13"/>
    <col width="12" customWidth="1" min="14" max="14"/>
  </cols>
  <sheetData>
    <row r="1">
      <c r="A1" s="6" t="inlineStr">
        <is>
          <t>綜合分數排行與分類概覽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7" t="inlineStr">
        <is>
          <t>全部有效債券依綜合分數排序（不分評等）。要看單一評等分群，請在「債券」表用篩選。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3" t="inlineStr">
        <is>
          <t>偏便宜／偏強勢 前 20 名（加碼研究清單）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32" customHeight="1">
      <c r="A5" s="14" t="inlineStr">
        <is>
          <t>排名</t>
        </is>
      </c>
      <c r="B5" s="14" t="inlineStr">
        <is>
          <t>債券代碼</t>
        </is>
      </c>
      <c r="C5" s="14" t="inlineStr">
        <is>
          <t>債券簡稱</t>
        </is>
      </c>
      <c r="D5" s="14" t="inlineStr">
        <is>
          <t>分類</t>
        </is>
      </c>
      <c r="E5" s="14" t="inlineStr">
        <is>
          <t>評等</t>
        </is>
      </c>
      <c r="F5" s="14" t="inlineStr">
        <is>
          <t>剩餘年限</t>
        </is>
      </c>
      <c r="G5" s="14" t="inlineStr">
        <is>
          <t>OAS (bp)</t>
        </is>
      </c>
      <c r="H5" s="14" t="inlineStr">
        <is>
          <t>DTS</t>
        </is>
      </c>
      <c r="I5" s="14" t="inlineStr">
        <is>
          <t>Carry z</t>
        </is>
      </c>
      <c r="J5" s="14" t="inlineStr">
        <is>
          <t>Value z</t>
        </is>
      </c>
      <c r="K5" s="14" t="inlineStr">
        <is>
          <t>Momentum z</t>
        </is>
      </c>
      <c r="L5" s="14" t="inlineStr">
        <is>
          <t>股票動能 z</t>
        </is>
      </c>
      <c r="M5" s="14" t="inlineStr">
        <is>
          <t>綜合分數</t>
        </is>
      </c>
      <c r="N5" s="14" t="inlineStr">
        <is>
          <t>相對發行人
曲線 (bp)</t>
        </is>
      </c>
    </row>
    <row r="6">
      <c r="A6" s="8" t="n">
        <v>1</v>
      </c>
      <c r="B6" s="32">
        <f>IF(ABS(LARGE('債券'!$BD$5:$BD$404,$A6))&gt;1E8,"",IF(INDEX('債券'!$A$5:$A$404,MATCH(LARGE('債券'!$BD$5:$BD$404,$A6),'債券'!$BD$5:$BD$404,0))="","",INDEX('債券'!$A$5:$A$404,MATCH(LARGE('債券'!$BD$5:$BD$404,$A6),'債券'!$BD$5:$BD$404,0))))</f>
        <v/>
      </c>
      <c r="C6" s="32">
        <f>IF(ABS(LARGE('債券'!$BD$5:$BD$404,$A6))&gt;1E8,"",IF(INDEX('債券'!$C$5:$C$404,MATCH(LARGE('債券'!$BD$5:$BD$404,$A6),'債券'!$BD$5:$BD$404,0))="","",INDEX('債券'!$C$5:$C$404,MATCH(LARGE('債券'!$BD$5:$BD$404,$A6),'債券'!$BD$5:$BD$404,0))))</f>
        <v/>
      </c>
      <c r="D6" s="32">
        <f>IF(ABS(LARGE('債券'!$BD$5:$BD$404,$A6))&gt;1E8,"",IF(INDEX('債券'!$S$5:$S$404,MATCH(LARGE('債券'!$BD$5:$BD$404,$A6),'債券'!$BD$5:$BD$404,0))="","",INDEX('債券'!$S$5:$S$404,MATCH(LARGE('債券'!$BD$5:$BD$404,$A6),'債券'!$BD$5:$BD$404,0))))</f>
        <v/>
      </c>
      <c r="E6" s="32">
        <f>IF(ABS(LARGE('債券'!$BD$5:$BD$404,$A6))&gt;1E8,"",IF(INDEX('債券'!$G$5:$G$404,MATCH(LARGE('債券'!$BD$5:$BD$404,$A6),'債券'!$BD$5:$BD$404,0))="","",INDEX('債券'!$G$5:$G$404,MATCH(LARGE('債券'!$BD$5:$BD$404,$A6),'債券'!$BD$5:$BD$404,0))))</f>
        <v/>
      </c>
      <c r="F6" s="24">
        <f>IF(ABS(LARGE('債券'!$BD$5:$BD$404,$A6))&gt;1E8,"",IF(INDEX('債券'!$U$5:$U$404,MATCH(LARGE('債券'!$BD$5:$BD$404,$A6),'債券'!$BD$5:$BD$404,0))="","",INDEX('債券'!$U$5:$U$404,MATCH(LARGE('債券'!$BD$5:$BD$404,$A6),'債券'!$BD$5:$BD$404,0))))</f>
        <v/>
      </c>
      <c r="G6" s="22">
        <f>IF(ABS(LARGE('債券'!$BD$5:$BD$404,$A6))&gt;1E8,"",IF(INDEX('債券'!$N$5:$N$404,MATCH(LARGE('債券'!$BD$5:$BD$404,$A6),'債券'!$BD$5:$BD$404,0))="","",INDEX('債券'!$N$5:$N$404,MATCH(LARGE('債券'!$BD$5:$BD$404,$A6),'債券'!$BD$5:$BD$404,0))))</f>
        <v/>
      </c>
      <c r="H6" s="23">
        <f>IF(ABS(LARGE('債券'!$BD$5:$BD$404,$A6))&gt;1E8,"",IF(INDEX('債券'!$Z$5:$Z$404,MATCH(LARGE('債券'!$BD$5:$BD$404,$A6),'債券'!$BD$5:$BD$404,0))="","",INDEX('債券'!$Z$5:$Z$404,MATCH(LARGE('債券'!$BD$5:$BD$404,$A6),'債券'!$BD$5:$BD$404,0))))</f>
        <v/>
      </c>
      <c r="I6" s="25">
        <f>IF(ABS(LARGE('債券'!$BD$5:$BD$404,$A6))&gt;1E8,"",IF(INDEX('債券'!$AF$5:$AF$404,MATCH(LARGE('債券'!$BD$5:$BD$404,$A6),'債券'!$BD$5:$BD$404,0))="","",INDEX('債券'!$AF$5:$AF$404,MATCH(LARGE('債券'!$BD$5:$BD$404,$A6),'債券'!$BD$5:$BD$404,0))))</f>
        <v/>
      </c>
      <c r="J6" s="25">
        <f>IF(ABS(LARGE('債券'!$BD$5:$BD$404,$A6))&gt;1E8,"",IF(INDEX('債券'!$AM$5:$AM$404,MATCH(LARGE('債券'!$BD$5:$BD$404,$A6),'債券'!$BD$5:$BD$404,0))="","",INDEX('債券'!$AM$5:$AM$404,MATCH(LARGE('債券'!$BD$5:$BD$404,$A6),'債券'!$BD$5:$BD$404,0))))</f>
        <v/>
      </c>
      <c r="K6" s="25">
        <f>IF(ABS(LARGE('債券'!$BD$5:$BD$404,$A6))&gt;1E8,"",IF(INDEX('債券'!$AO$5:$AO$404,MATCH(LARGE('債券'!$BD$5:$BD$404,$A6),'債券'!$BD$5:$BD$404,0))="","",INDEX('債券'!$AO$5:$AO$404,MATCH(LARGE('債券'!$BD$5:$BD$404,$A6),'債券'!$BD$5:$BD$404,0))))</f>
        <v/>
      </c>
      <c r="L6" s="25">
        <f>IF(ABS(LARGE('債券'!$BD$5:$BD$404,$A6))&gt;1E8,"",IF(INDEX('債券'!$AP$5:$AP$404,MATCH(LARGE('債券'!$BD$5:$BD$404,$A6),'債券'!$BD$5:$BD$404,0))="","",INDEX('債券'!$AP$5:$AP$404,MATCH(LARGE('債券'!$BD$5:$BD$404,$A6),'債券'!$BD$5:$BD$404,0))))</f>
        <v/>
      </c>
      <c r="M6" s="25">
        <f>IF(ABS(LARGE('債券'!$BD$5:$BD$404,$A6))&gt;1E8,"",IF(INDEX('債券'!$AQ$5:$AQ$404,MATCH(LARGE('債券'!$BD$5:$BD$404,$A6),'債券'!$BD$5:$BD$404,0))="","",INDEX('債券'!$AQ$5:$AQ$404,MATCH(LARGE('債券'!$BD$5:$BD$404,$A6),'債券'!$BD$5:$BD$404,0))))</f>
        <v/>
      </c>
      <c r="N6" s="38">
        <f>IF(ABS(LARGE('債券'!$BD$5:$BD$404,$A6))&gt;1E8,"",IF(INDEX('債券'!$AI$5:$AI$404,MATCH(LARGE('債券'!$BD$5:$BD$404,$A6),'債券'!$BD$5:$BD$404,0))="","",INDEX('債券'!$AI$5:$AI$404,MATCH(LARGE('債券'!$BD$5:$BD$404,$A6),'債券'!$BD$5:$BD$404,0))))</f>
        <v/>
      </c>
    </row>
    <row r="7">
      <c r="A7" s="8" t="n">
        <v>2</v>
      </c>
      <c r="B7" s="32">
        <f>IF(ABS(LARGE('債券'!$BD$5:$BD$404,$A7))&gt;1E8,"",IF(INDEX('債券'!$A$5:$A$404,MATCH(LARGE('債券'!$BD$5:$BD$404,$A7),'債券'!$BD$5:$BD$404,0))="","",INDEX('債券'!$A$5:$A$404,MATCH(LARGE('債券'!$BD$5:$BD$404,$A7),'債券'!$BD$5:$BD$404,0))))</f>
        <v/>
      </c>
      <c r="C7" s="32">
        <f>IF(ABS(LARGE('債券'!$BD$5:$BD$404,$A7))&gt;1E8,"",IF(INDEX('債券'!$C$5:$C$404,MATCH(LARGE('債券'!$BD$5:$BD$404,$A7),'債券'!$BD$5:$BD$404,0))="","",INDEX('債券'!$C$5:$C$404,MATCH(LARGE('債券'!$BD$5:$BD$404,$A7),'債券'!$BD$5:$BD$404,0))))</f>
        <v/>
      </c>
      <c r="D7" s="32">
        <f>IF(ABS(LARGE('債券'!$BD$5:$BD$404,$A7))&gt;1E8,"",IF(INDEX('債券'!$S$5:$S$404,MATCH(LARGE('債券'!$BD$5:$BD$404,$A7),'債券'!$BD$5:$BD$404,0))="","",INDEX('債券'!$S$5:$S$404,MATCH(LARGE('債券'!$BD$5:$BD$404,$A7),'債券'!$BD$5:$BD$404,0))))</f>
        <v/>
      </c>
      <c r="E7" s="32">
        <f>IF(ABS(LARGE('債券'!$BD$5:$BD$404,$A7))&gt;1E8,"",IF(INDEX('債券'!$G$5:$G$404,MATCH(LARGE('債券'!$BD$5:$BD$404,$A7),'債券'!$BD$5:$BD$404,0))="","",INDEX('債券'!$G$5:$G$404,MATCH(LARGE('債券'!$BD$5:$BD$404,$A7),'債券'!$BD$5:$BD$404,0))))</f>
        <v/>
      </c>
      <c r="F7" s="24">
        <f>IF(ABS(LARGE('債券'!$BD$5:$BD$404,$A7))&gt;1E8,"",IF(INDEX('債券'!$U$5:$U$404,MATCH(LARGE('債券'!$BD$5:$BD$404,$A7),'債券'!$BD$5:$BD$404,0))="","",INDEX('債券'!$U$5:$U$404,MATCH(LARGE('債券'!$BD$5:$BD$404,$A7),'債券'!$BD$5:$BD$404,0))))</f>
        <v/>
      </c>
      <c r="G7" s="22">
        <f>IF(ABS(LARGE('債券'!$BD$5:$BD$404,$A7))&gt;1E8,"",IF(INDEX('債券'!$N$5:$N$404,MATCH(LARGE('債券'!$BD$5:$BD$404,$A7),'債券'!$BD$5:$BD$404,0))="","",INDEX('債券'!$N$5:$N$404,MATCH(LARGE('債券'!$BD$5:$BD$404,$A7),'債券'!$BD$5:$BD$404,0))))</f>
        <v/>
      </c>
      <c r="H7" s="23">
        <f>IF(ABS(LARGE('債券'!$BD$5:$BD$404,$A7))&gt;1E8,"",IF(INDEX('債券'!$Z$5:$Z$404,MATCH(LARGE('債券'!$BD$5:$BD$404,$A7),'債券'!$BD$5:$BD$404,0))="","",INDEX('債券'!$Z$5:$Z$404,MATCH(LARGE('債券'!$BD$5:$BD$404,$A7),'債券'!$BD$5:$BD$404,0))))</f>
        <v/>
      </c>
      <c r="I7" s="25">
        <f>IF(ABS(LARGE('債券'!$BD$5:$BD$404,$A7))&gt;1E8,"",IF(INDEX('債券'!$AF$5:$AF$404,MATCH(LARGE('債券'!$BD$5:$BD$404,$A7),'債券'!$BD$5:$BD$404,0))="","",INDEX('債券'!$AF$5:$AF$404,MATCH(LARGE('債券'!$BD$5:$BD$404,$A7),'債券'!$BD$5:$BD$404,0))))</f>
        <v/>
      </c>
      <c r="J7" s="25">
        <f>IF(ABS(LARGE('債券'!$BD$5:$BD$404,$A7))&gt;1E8,"",IF(INDEX('債券'!$AM$5:$AM$404,MATCH(LARGE('債券'!$BD$5:$BD$404,$A7),'債券'!$BD$5:$BD$404,0))="","",INDEX('債券'!$AM$5:$AM$404,MATCH(LARGE('債券'!$BD$5:$BD$404,$A7),'債券'!$BD$5:$BD$404,0))))</f>
        <v/>
      </c>
      <c r="K7" s="25">
        <f>IF(ABS(LARGE('債券'!$BD$5:$BD$404,$A7))&gt;1E8,"",IF(INDEX('債券'!$AO$5:$AO$404,MATCH(LARGE('債券'!$BD$5:$BD$404,$A7),'債券'!$BD$5:$BD$404,0))="","",INDEX('債券'!$AO$5:$AO$404,MATCH(LARGE('債券'!$BD$5:$BD$404,$A7),'債券'!$BD$5:$BD$404,0))))</f>
        <v/>
      </c>
      <c r="L7" s="25">
        <f>IF(ABS(LARGE('債券'!$BD$5:$BD$404,$A7))&gt;1E8,"",IF(INDEX('債券'!$AP$5:$AP$404,MATCH(LARGE('債券'!$BD$5:$BD$404,$A7),'債券'!$BD$5:$BD$404,0))="","",INDEX('債券'!$AP$5:$AP$404,MATCH(LARGE('債券'!$BD$5:$BD$404,$A7),'債券'!$BD$5:$BD$404,0))))</f>
        <v/>
      </c>
      <c r="M7" s="25">
        <f>IF(ABS(LARGE('債券'!$BD$5:$BD$404,$A7))&gt;1E8,"",IF(INDEX('債券'!$AQ$5:$AQ$404,MATCH(LARGE('債券'!$BD$5:$BD$404,$A7),'債券'!$BD$5:$BD$404,0))="","",INDEX('債券'!$AQ$5:$AQ$404,MATCH(LARGE('債券'!$BD$5:$BD$404,$A7),'債券'!$BD$5:$BD$404,0))))</f>
        <v/>
      </c>
      <c r="N7" s="38">
        <f>IF(ABS(LARGE('債券'!$BD$5:$BD$404,$A7))&gt;1E8,"",IF(INDEX('債券'!$AI$5:$AI$404,MATCH(LARGE('債券'!$BD$5:$BD$404,$A7),'債券'!$BD$5:$BD$404,0))="","",INDEX('債券'!$AI$5:$AI$404,MATCH(LARGE('債券'!$BD$5:$BD$404,$A7),'債券'!$BD$5:$BD$404,0))))</f>
        <v/>
      </c>
    </row>
    <row r="8">
      <c r="A8" s="8" t="n">
        <v>3</v>
      </c>
      <c r="B8" s="32">
        <f>IF(ABS(LARGE('債券'!$BD$5:$BD$404,$A8))&gt;1E8,"",IF(INDEX('債券'!$A$5:$A$404,MATCH(LARGE('債券'!$BD$5:$BD$404,$A8),'債券'!$BD$5:$BD$404,0))="","",INDEX('債券'!$A$5:$A$404,MATCH(LARGE('債券'!$BD$5:$BD$404,$A8),'債券'!$BD$5:$BD$404,0))))</f>
        <v/>
      </c>
      <c r="C8" s="32">
        <f>IF(ABS(LARGE('債券'!$BD$5:$BD$404,$A8))&gt;1E8,"",IF(INDEX('債券'!$C$5:$C$404,MATCH(LARGE('債券'!$BD$5:$BD$404,$A8),'債券'!$BD$5:$BD$404,0))="","",INDEX('債券'!$C$5:$C$404,MATCH(LARGE('債券'!$BD$5:$BD$404,$A8),'債券'!$BD$5:$BD$404,0))))</f>
        <v/>
      </c>
      <c r="D8" s="32">
        <f>IF(ABS(LARGE('債券'!$BD$5:$BD$404,$A8))&gt;1E8,"",IF(INDEX('債券'!$S$5:$S$404,MATCH(LARGE('債券'!$BD$5:$BD$404,$A8),'債券'!$BD$5:$BD$404,0))="","",INDEX('債券'!$S$5:$S$404,MATCH(LARGE('債券'!$BD$5:$BD$404,$A8),'債券'!$BD$5:$BD$404,0))))</f>
        <v/>
      </c>
      <c r="E8" s="32">
        <f>IF(ABS(LARGE('債券'!$BD$5:$BD$404,$A8))&gt;1E8,"",IF(INDEX('債券'!$G$5:$G$404,MATCH(LARGE('債券'!$BD$5:$BD$404,$A8),'債券'!$BD$5:$BD$404,0))="","",INDEX('債券'!$G$5:$G$404,MATCH(LARGE('債券'!$BD$5:$BD$404,$A8),'債券'!$BD$5:$BD$404,0))))</f>
        <v/>
      </c>
      <c r="F8" s="24">
        <f>IF(ABS(LARGE('債券'!$BD$5:$BD$404,$A8))&gt;1E8,"",IF(INDEX('債券'!$U$5:$U$404,MATCH(LARGE('債券'!$BD$5:$BD$404,$A8),'債券'!$BD$5:$BD$404,0))="","",INDEX('債券'!$U$5:$U$404,MATCH(LARGE('債券'!$BD$5:$BD$404,$A8),'債券'!$BD$5:$BD$404,0))))</f>
        <v/>
      </c>
      <c r="G8" s="22">
        <f>IF(ABS(LARGE('債券'!$BD$5:$BD$404,$A8))&gt;1E8,"",IF(INDEX('債券'!$N$5:$N$404,MATCH(LARGE('債券'!$BD$5:$BD$404,$A8),'債券'!$BD$5:$BD$404,0))="","",INDEX('債券'!$N$5:$N$404,MATCH(LARGE('債券'!$BD$5:$BD$404,$A8),'債券'!$BD$5:$BD$404,0))))</f>
        <v/>
      </c>
      <c r="H8" s="23">
        <f>IF(ABS(LARGE('債券'!$BD$5:$BD$404,$A8))&gt;1E8,"",IF(INDEX('債券'!$Z$5:$Z$404,MATCH(LARGE('債券'!$BD$5:$BD$404,$A8),'債券'!$BD$5:$BD$404,0))="","",INDEX('債券'!$Z$5:$Z$404,MATCH(LARGE('債券'!$BD$5:$BD$404,$A8),'債券'!$BD$5:$BD$404,0))))</f>
        <v/>
      </c>
      <c r="I8" s="25">
        <f>IF(ABS(LARGE('債券'!$BD$5:$BD$404,$A8))&gt;1E8,"",IF(INDEX('債券'!$AF$5:$AF$404,MATCH(LARGE('債券'!$BD$5:$BD$404,$A8),'債券'!$BD$5:$BD$404,0))="","",INDEX('債券'!$AF$5:$AF$404,MATCH(LARGE('債券'!$BD$5:$BD$404,$A8),'債券'!$BD$5:$BD$404,0))))</f>
        <v/>
      </c>
      <c r="J8" s="25">
        <f>IF(ABS(LARGE('債券'!$BD$5:$BD$404,$A8))&gt;1E8,"",IF(INDEX('債券'!$AM$5:$AM$404,MATCH(LARGE('債券'!$BD$5:$BD$404,$A8),'債券'!$BD$5:$BD$404,0))="","",INDEX('債券'!$AM$5:$AM$404,MATCH(LARGE('債券'!$BD$5:$BD$404,$A8),'債券'!$BD$5:$BD$404,0))))</f>
        <v/>
      </c>
      <c r="K8" s="25">
        <f>IF(ABS(LARGE('債券'!$BD$5:$BD$404,$A8))&gt;1E8,"",IF(INDEX('債券'!$AO$5:$AO$404,MATCH(LARGE('債券'!$BD$5:$BD$404,$A8),'債券'!$BD$5:$BD$404,0))="","",INDEX('債券'!$AO$5:$AO$404,MATCH(LARGE('債券'!$BD$5:$BD$404,$A8),'債券'!$BD$5:$BD$404,0))))</f>
        <v/>
      </c>
      <c r="L8" s="25">
        <f>IF(ABS(LARGE('債券'!$BD$5:$BD$404,$A8))&gt;1E8,"",IF(INDEX('債券'!$AP$5:$AP$404,MATCH(LARGE('債券'!$BD$5:$BD$404,$A8),'債券'!$BD$5:$BD$404,0))="","",INDEX('債券'!$AP$5:$AP$404,MATCH(LARGE('債券'!$BD$5:$BD$404,$A8),'債券'!$BD$5:$BD$404,0))))</f>
        <v/>
      </c>
      <c r="M8" s="25">
        <f>IF(ABS(LARGE('債券'!$BD$5:$BD$404,$A8))&gt;1E8,"",IF(INDEX('債券'!$AQ$5:$AQ$404,MATCH(LARGE('債券'!$BD$5:$BD$404,$A8),'債券'!$BD$5:$BD$404,0))="","",INDEX('債券'!$AQ$5:$AQ$404,MATCH(LARGE('債券'!$BD$5:$BD$404,$A8),'債券'!$BD$5:$BD$404,0))))</f>
        <v/>
      </c>
      <c r="N8" s="38">
        <f>IF(ABS(LARGE('債券'!$BD$5:$BD$404,$A8))&gt;1E8,"",IF(INDEX('債券'!$AI$5:$AI$404,MATCH(LARGE('債券'!$BD$5:$BD$404,$A8),'債券'!$BD$5:$BD$404,0))="","",INDEX('債券'!$AI$5:$AI$404,MATCH(LARGE('債券'!$BD$5:$BD$404,$A8),'債券'!$BD$5:$BD$404,0))))</f>
        <v/>
      </c>
    </row>
    <row r="9">
      <c r="A9" s="8" t="n">
        <v>4</v>
      </c>
      <c r="B9" s="32">
        <f>IF(ABS(LARGE('債券'!$BD$5:$BD$404,$A9))&gt;1E8,"",IF(INDEX('債券'!$A$5:$A$404,MATCH(LARGE('債券'!$BD$5:$BD$404,$A9),'債券'!$BD$5:$BD$404,0))="","",INDEX('債券'!$A$5:$A$404,MATCH(LARGE('債券'!$BD$5:$BD$404,$A9),'債券'!$BD$5:$BD$404,0))))</f>
        <v/>
      </c>
      <c r="C9" s="32">
        <f>IF(ABS(LARGE('債券'!$BD$5:$BD$404,$A9))&gt;1E8,"",IF(INDEX('債券'!$C$5:$C$404,MATCH(LARGE('債券'!$BD$5:$BD$404,$A9),'債券'!$BD$5:$BD$404,0))="","",INDEX('債券'!$C$5:$C$404,MATCH(LARGE('債券'!$BD$5:$BD$404,$A9),'債券'!$BD$5:$BD$404,0))))</f>
        <v/>
      </c>
      <c r="D9" s="32">
        <f>IF(ABS(LARGE('債券'!$BD$5:$BD$404,$A9))&gt;1E8,"",IF(INDEX('債券'!$S$5:$S$404,MATCH(LARGE('債券'!$BD$5:$BD$404,$A9),'債券'!$BD$5:$BD$404,0))="","",INDEX('債券'!$S$5:$S$404,MATCH(LARGE('債券'!$BD$5:$BD$404,$A9),'債券'!$BD$5:$BD$404,0))))</f>
        <v/>
      </c>
      <c r="E9" s="32">
        <f>IF(ABS(LARGE('債券'!$BD$5:$BD$404,$A9))&gt;1E8,"",IF(INDEX('債券'!$G$5:$G$404,MATCH(LARGE('債券'!$BD$5:$BD$404,$A9),'債券'!$BD$5:$BD$404,0))="","",INDEX('債券'!$G$5:$G$404,MATCH(LARGE('債券'!$BD$5:$BD$404,$A9),'債券'!$BD$5:$BD$404,0))))</f>
        <v/>
      </c>
      <c r="F9" s="24">
        <f>IF(ABS(LARGE('債券'!$BD$5:$BD$404,$A9))&gt;1E8,"",IF(INDEX('債券'!$U$5:$U$404,MATCH(LARGE('債券'!$BD$5:$BD$404,$A9),'債券'!$BD$5:$BD$404,0))="","",INDEX('債券'!$U$5:$U$404,MATCH(LARGE('債券'!$BD$5:$BD$404,$A9),'債券'!$BD$5:$BD$404,0))))</f>
        <v/>
      </c>
      <c r="G9" s="22">
        <f>IF(ABS(LARGE('債券'!$BD$5:$BD$404,$A9))&gt;1E8,"",IF(INDEX('債券'!$N$5:$N$404,MATCH(LARGE('債券'!$BD$5:$BD$404,$A9),'債券'!$BD$5:$BD$404,0))="","",INDEX('債券'!$N$5:$N$404,MATCH(LARGE('債券'!$BD$5:$BD$404,$A9),'債券'!$BD$5:$BD$404,0))))</f>
        <v/>
      </c>
      <c r="H9" s="23">
        <f>IF(ABS(LARGE('債券'!$BD$5:$BD$404,$A9))&gt;1E8,"",IF(INDEX('債券'!$Z$5:$Z$404,MATCH(LARGE('債券'!$BD$5:$BD$404,$A9),'債券'!$BD$5:$BD$404,0))="","",INDEX('債券'!$Z$5:$Z$404,MATCH(LARGE('債券'!$BD$5:$BD$404,$A9),'債券'!$BD$5:$BD$404,0))))</f>
        <v/>
      </c>
      <c r="I9" s="25">
        <f>IF(ABS(LARGE('債券'!$BD$5:$BD$404,$A9))&gt;1E8,"",IF(INDEX('債券'!$AF$5:$AF$404,MATCH(LARGE('債券'!$BD$5:$BD$404,$A9),'債券'!$BD$5:$BD$404,0))="","",INDEX('債券'!$AF$5:$AF$404,MATCH(LARGE('債券'!$BD$5:$BD$404,$A9),'債券'!$BD$5:$BD$404,0))))</f>
        <v/>
      </c>
      <c r="J9" s="25">
        <f>IF(ABS(LARGE('債券'!$BD$5:$BD$404,$A9))&gt;1E8,"",IF(INDEX('債券'!$AM$5:$AM$404,MATCH(LARGE('債券'!$BD$5:$BD$404,$A9),'債券'!$BD$5:$BD$404,0))="","",INDEX('債券'!$AM$5:$AM$404,MATCH(LARGE('債券'!$BD$5:$BD$404,$A9),'債券'!$BD$5:$BD$404,0))))</f>
        <v/>
      </c>
      <c r="K9" s="25">
        <f>IF(ABS(LARGE('債券'!$BD$5:$BD$404,$A9))&gt;1E8,"",IF(INDEX('債券'!$AO$5:$AO$404,MATCH(LARGE('債券'!$BD$5:$BD$404,$A9),'債券'!$BD$5:$BD$404,0))="","",INDEX('債券'!$AO$5:$AO$404,MATCH(LARGE('債券'!$BD$5:$BD$404,$A9),'債券'!$BD$5:$BD$404,0))))</f>
        <v/>
      </c>
      <c r="L9" s="25">
        <f>IF(ABS(LARGE('債券'!$BD$5:$BD$404,$A9))&gt;1E8,"",IF(INDEX('債券'!$AP$5:$AP$404,MATCH(LARGE('債券'!$BD$5:$BD$404,$A9),'債券'!$BD$5:$BD$404,0))="","",INDEX('債券'!$AP$5:$AP$404,MATCH(LARGE('債券'!$BD$5:$BD$404,$A9),'債券'!$BD$5:$BD$404,0))))</f>
        <v/>
      </c>
      <c r="M9" s="25">
        <f>IF(ABS(LARGE('債券'!$BD$5:$BD$404,$A9))&gt;1E8,"",IF(INDEX('債券'!$AQ$5:$AQ$404,MATCH(LARGE('債券'!$BD$5:$BD$404,$A9),'債券'!$BD$5:$BD$404,0))="","",INDEX('債券'!$AQ$5:$AQ$404,MATCH(LARGE('債券'!$BD$5:$BD$404,$A9),'債券'!$BD$5:$BD$404,0))))</f>
        <v/>
      </c>
      <c r="N9" s="38">
        <f>IF(ABS(LARGE('債券'!$BD$5:$BD$404,$A9))&gt;1E8,"",IF(INDEX('債券'!$AI$5:$AI$404,MATCH(LARGE('債券'!$BD$5:$BD$404,$A9),'債券'!$BD$5:$BD$404,0))="","",INDEX('債券'!$AI$5:$AI$404,MATCH(LARGE('債券'!$BD$5:$BD$404,$A9),'債券'!$BD$5:$BD$404,0))))</f>
        <v/>
      </c>
    </row>
    <row r="10">
      <c r="A10" s="8" t="n">
        <v>5</v>
      </c>
      <c r="B10" s="32">
        <f>IF(ABS(LARGE('債券'!$BD$5:$BD$404,$A10))&gt;1E8,"",IF(INDEX('債券'!$A$5:$A$404,MATCH(LARGE('債券'!$BD$5:$BD$404,$A10),'債券'!$BD$5:$BD$404,0))="","",INDEX('債券'!$A$5:$A$404,MATCH(LARGE('債券'!$BD$5:$BD$404,$A10),'債券'!$BD$5:$BD$404,0))))</f>
        <v/>
      </c>
      <c r="C10" s="32">
        <f>IF(ABS(LARGE('債券'!$BD$5:$BD$404,$A10))&gt;1E8,"",IF(INDEX('債券'!$C$5:$C$404,MATCH(LARGE('債券'!$BD$5:$BD$404,$A10),'債券'!$BD$5:$BD$404,0))="","",INDEX('債券'!$C$5:$C$404,MATCH(LARGE('債券'!$BD$5:$BD$404,$A10),'債券'!$BD$5:$BD$404,0))))</f>
        <v/>
      </c>
      <c r="D10" s="32">
        <f>IF(ABS(LARGE('債券'!$BD$5:$BD$404,$A10))&gt;1E8,"",IF(INDEX('債券'!$S$5:$S$404,MATCH(LARGE('債券'!$BD$5:$BD$404,$A10),'債券'!$BD$5:$BD$404,0))="","",INDEX('債券'!$S$5:$S$404,MATCH(LARGE('債券'!$BD$5:$BD$404,$A10),'債券'!$BD$5:$BD$404,0))))</f>
        <v/>
      </c>
      <c r="E10" s="32">
        <f>IF(ABS(LARGE('債券'!$BD$5:$BD$404,$A10))&gt;1E8,"",IF(INDEX('債券'!$G$5:$G$404,MATCH(LARGE('債券'!$BD$5:$BD$404,$A10),'債券'!$BD$5:$BD$404,0))="","",INDEX('債券'!$G$5:$G$404,MATCH(LARGE('債券'!$BD$5:$BD$404,$A10),'債券'!$BD$5:$BD$404,0))))</f>
        <v/>
      </c>
      <c r="F10" s="24">
        <f>IF(ABS(LARGE('債券'!$BD$5:$BD$404,$A10))&gt;1E8,"",IF(INDEX('債券'!$U$5:$U$404,MATCH(LARGE('債券'!$BD$5:$BD$404,$A10),'債券'!$BD$5:$BD$404,0))="","",INDEX('債券'!$U$5:$U$404,MATCH(LARGE('債券'!$BD$5:$BD$404,$A10),'債券'!$BD$5:$BD$404,0))))</f>
        <v/>
      </c>
      <c r="G10" s="22">
        <f>IF(ABS(LARGE('債券'!$BD$5:$BD$404,$A10))&gt;1E8,"",IF(INDEX('債券'!$N$5:$N$404,MATCH(LARGE('債券'!$BD$5:$BD$404,$A10),'債券'!$BD$5:$BD$404,0))="","",INDEX('債券'!$N$5:$N$404,MATCH(LARGE('債券'!$BD$5:$BD$404,$A10),'債券'!$BD$5:$BD$404,0))))</f>
        <v/>
      </c>
      <c r="H10" s="23">
        <f>IF(ABS(LARGE('債券'!$BD$5:$BD$404,$A10))&gt;1E8,"",IF(INDEX('債券'!$Z$5:$Z$404,MATCH(LARGE('債券'!$BD$5:$BD$404,$A10),'債券'!$BD$5:$BD$404,0))="","",INDEX('債券'!$Z$5:$Z$404,MATCH(LARGE('債券'!$BD$5:$BD$404,$A10),'債券'!$BD$5:$BD$404,0))))</f>
        <v/>
      </c>
      <c r="I10" s="25">
        <f>IF(ABS(LARGE('債券'!$BD$5:$BD$404,$A10))&gt;1E8,"",IF(INDEX('債券'!$AF$5:$AF$404,MATCH(LARGE('債券'!$BD$5:$BD$404,$A10),'債券'!$BD$5:$BD$404,0))="","",INDEX('債券'!$AF$5:$AF$404,MATCH(LARGE('債券'!$BD$5:$BD$404,$A10),'債券'!$BD$5:$BD$404,0))))</f>
        <v/>
      </c>
      <c r="J10" s="25">
        <f>IF(ABS(LARGE('債券'!$BD$5:$BD$404,$A10))&gt;1E8,"",IF(INDEX('債券'!$AM$5:$AM$404,MATCH(LARGE('債券'!$BD$5:$BD$404,$A10),'債券'!$BD$5:$BD$404,0))="","",INDEX('債券'!$AM$5:$AM$404,MATCH(LARGE('債券'!$BD$5:$BD$404,$A10),'債券'!$BD$5:$BD$404,0))))</f>
        <v/>
      </c>
      <c r="K10" s="25">
        <f>IF(ABS(LARGE('債券'!$BD$5:$BD$404,$A10))&gt;1E8,"",IF(INDEX('債券'!$AO$5:$AO$404,MATCH(LARGE('債券'!$BD$5:$BD$404,$A10),'債券'!$BD$5:$BD$404,0))="","",INDEX('債券'!$AO$5:$AO$404,MATCH(LARGE('債券'!$BD$5:$BD$404,$A10),'債券'!$BD$5:$BD$404,0))))</f>
        <v/>
      </c>
      <c r="L10" s="25">
        <f>IF(ABS(LARGE('債券'!$BD$5:$BD$404,$A10))&gt;1E8,"",IF(INDEX('債券'!$AP$5:$AP$404,MATCH(LARGE('債券'!$BD$5:$BD$404,$A10),'債券'!$BD$5:$BD$404,0))="","",INDEX('債券'!$AP$5:$AP$404,MATCH(LARGE('債券'!$BD$5:$BD$404,$A10),'債券'!$BD$5:$BD$404,0))))</f>
        <v/>
      </c>
      <c r="M10" s="25">
        <f>IF(ABS(LARGE('債券'!$BD$5:$BD$404,$A10))&gt;1E8,"",IF(INDEX('債券'!$AQ$5:$AQ$404,MATCH(LARGE('債券'!$BD$5:$BD$404,$A10),'債券'!$BD$5:$BD$404,0))="","",INDEX('債券'!$AQ$5:$AQ$404,MATCH(LARGE('債券'!$BD$5:$BD$404,$A10),'債券'!$BD$5:$BD$404,0))))</f>
        <v/>
      </c>
      <c r="N10" s="38">
        <f>IF(ABS(LARGE('債券'!$BD$5:$BD$404,$A10))&gt;1E8,"",IF(INDEX('債券'!$AI$5:$AI$404,MATCH(LARGE('債券'!$BD$5:$BD$404,$A10),'債券'!$BD$5:$BD$404,0))="","",INDEX('債券'!$AI$5:$AI$404,MATCH(LARGE('債券'!$BD$5:$BD$404,$A10),'債券'!$BD$5:$BD$404,0))))</f>
        <v/>
      </c>
    </row>
    <row r="11">
      <c r="A11" s="8" t="n">
        <v>6</v>
      </c>
      <c r="B11" s="32">
        <f>IF(ABS(LARGE('債券'!$BD$5:$BD$404,$A11))&gt;1E8,"",IF(INDEX('債券'!$A$5:$A$404,MATCH(LARGE('債券'!$BD$5:$BD$404,$A11),'債券'!$BD$5:$BD$404,0))="","",INDEX('債券'!$A$5:$A$404,MATCH(LARGE('債券'!$BD$5:$BD$404,$A11),'債券'!$BD$5:$BD$404,0))))</f>
        <v/>
      </c>
      <c r="C11" s="32">
        <f>IF(ABS(LARGE('債券'!$BD$5:$BD$404,$A11))&gt;1E8,"",IF(INDEX('債券'!$C$5:$C$404,MATCH(LARGE('債券'!$BD$5:$BD$404,$A11),'債券'!$BD$5:$BD$404,0))="","",INDEX('債券'!$C$5:$C$404,MATCH(LARGE('債券'!$BD$5:$BD$404,$A11),'債券'!$BD$5:$BD$404,0))))</f>
        <v/>
      </c>
      <c r="D11" s="32">
        <f>IF(ABS(LARGE('債券'!$BD$5:$BD$404,$A11))&gt;1E8,"",IF(INDEX('債券'!$S$5:$S$404,MATCH(LARGE('債券'!$BD$5:$BD$404,$A11),'債券'!$BD$5:$BD$404,0))="","",INDEX('債券'!$S$5:$S$404,MATCH(LARGE('債券'!$BD$5:$BD$404,$A11),'債券'!$BD$5:$BD$404,0))))</f>
        <v/>
      </c>
      <c r="E11" s="32">
        <f>IF(ABS(LARGE('債券'!$BD$5:$BD$404,$A11))&gt;1E8,"",IF(INDEX('債券'!$G$5:$G$404,MATCH(LARGE('債券'!$BD$5:$BD$404,$A11),'債券'!$BD$5:$BD$404,0))="","",INDEX('債券'!$G$5:$G$404,MATCH(LARGE('債券'!$BD$5:$BD$404,$A11),'債券'!$BD$5:$BD$404,0))))</f>
        <v/>
      </c>
      <c r="F11" s="24">
        <f>IF(ABS(LARGE('債券'!$BD$5:$BD$404,$A11))&gt;1E8,"",IF(INDEX('債券'!$U$5:$U$404,MATCH(LARGE('債券'!$BD$5:$BD$404,$A11),'債券'!$BD$5:$BD$404,0))="","",INDEX('債券'!$U$5:$U$404,MATCH(LARGE('債券'!$BD$5:$BD$404,$A11),'債券'!$BD$5:$BD$404,0))))</f>
        <v/>
      </c>
      <c r="G11" s="22">
        <f>IF(ABS(LARGE('債券'!$BD$5:$BD$404,$A11))&gt;1E8,"",IF(INDEX('債券'!$N$5:$N$404,MATCH(LARGE('債券'!$BD$5:$BD$404,$A11),'債券'!$BD$5:$BD$404,0))="","",INDEX('債券'!$N$5:$N$404,MATCH(LARGE('債券'!$BD$5:$BD$404,$A11),'債券'!$BD$5:$BD$404,0))))</f>
        <v/>
      </c>
      <c r="H11" s="23">
        <f>IF(ABS(LARGE('債券'!$BD$5:$BD$404,$A11))&gt;1E8,"",IF(INDEX('債券'!$Z$5:$Z$404,MATCH(LARGE('債券'!$BD$5:$BD$404,$A11),'債券'!$BD$5:$BD$404,0))="","",INDEX('債券'!$Z$5:$Z$404,MATCH(LARGE('債券'!$BD$5:$BD$404,$A11),'債券'!$BD$5:$BD$404,0))))</f>
        <v/>
      </c>
      <c r="I11" s="25">
        <f>IF(ABS(LARGE('債券'!$BD$5:$BD$404,$A11))&gt;1E8,"",IF(INDEX('債券'!$AF$5:$AF$404,MATCH(LARGE('債券'!$BD$5:$BD$404,$A11),'債券'!$BD$5:$BD$404,0))="","",INDEX('債券'!$AF$5:$AF$404,MATCH(LARGE('債券'!$BD$5:$BD$404,$A11),'債券'!$BD$5:$BD$404,0))))</f>
        <v/>
      </c>
      <c r="J11" s="25">
        <f>IF(ABS(LARGE('債券'!$BD$5:$BD$404,$A11))&gt;1E8,"",IF(INDEX('債券'!$AM$5:$AM$404,MATCH(LARGE('債券'!$BD$5:$BD$404,$A11),'債券'!$BD$5:$BD$404,0))="","",INDEX('債券'!$AM$5:$AM$404,MATCH(LARGE('債券'!$BD$5:$BD$404,$A11),'債券'!$BD$5:$BD$404,0))))</f>
        <v/>
      </c>
      <c r="K11" s="25">
        <f>IF(ABS(LARGE('債券'!$BD$5:$BD$404,$A11))&gt;1E8,"",IF(INDEX('債券'!$AO$5:$AO$404,MATCH(LARGE('債券'!$BD$5:$BD$404,$A11),'債券'!$BD$5:$BD$404,0))="","",INDEX('債券'!$AO$5:$AO$404,MATCH(LARGE('債券'!$BD$5:$BD$404,$A11),'債券'!$BD$5:$BD$404,0))))</f>
        <v/>
      </c>
      <c r="L11" s="25">
        <f>IF(ABS(LARGE('債券'!$BD$5:$BD$404,$A11))&gt;1E8,"",IF(INDEX('債券'!$AP$5:$AP$404,MATCH(LARGE('債券'!$BD$5:$BD$404,$A11),'債券'!$BD$5:$BD$404,0))="","",INDEX('債券'!$AP$5:$AP$404,MATCH(LARGE('債券'!$BD$5:$BD$404,$A11),'債券'!$BD$5:$BD$404,0))))</f>
        <v/>
      </c>
      <c r="M11" s="25">
        <f>IF(ABS(LARGE('債券'!$BD$5:$BD$404,$A11))&gt;1E8,"",IF(INDEX('債券'!$AQ$5:$AQ$404,MATCH(LARGE('債券'!$BD$5:$BD$404,$A11),'債券'!$BD$5:$BD$404,0))="","",INDEX('債券'!$AQ$5:$AQ$404,MATCH(LARGE('債券'!$BD$5:$BD$404,$A11),'債券'!$BD$5:$BD$404,0))))</f>
        <v/>
      </c>
      <c r="N11" s="38">
        <f>IF(ABS(LARGE('債券'!$BD$5:$BD$404,$A11))&gt;1E8,"",IF(INDEX('債券'!$AI$5:$AI$404,MATCH(LARGE('債券'!$BD$5:$BD$404,$A11),'債券'!$BD$5:$BD$404,0))="","",INDEX('債券'!$AI$5:$AI$404,MATCH(LARGE('債券'!$BD$5:$BD$404,$A11),'債券'!$BD$5:$BD$404,0))))</f>
        <v/>
      </c>
    </row>
    <row r="12">
      <c r="A12" s="8" t="n">
        <v>7</v>
      </c>
      <c r="B12" s="32">
        <f>IF(ABS(LARGE('債券'!$BD$5:$BD$404,$A12))&gt;1E8,"",IF(INDEX('債券'!$A$5:$A$404,MATCH(LARGE('債券'!$BD$5:$BD$404,$A12),'債券'!$BD$5:$BD$404,0))="","",INDEX('債券'!$A$5:$A$404,MATCH(LARGE('債券'!$BD$5:$BD$404,$A12),'債券'!$BD$5:$BD$404,0))))</f>
        <v/>
      </c>
      <c r="C12" s="32">
        <f>IF(ABS(LARGE('債券'!$BD$5:$BD$404,$A12))&gt;1E8,"",IF(INDEX('債券'!$C$5:$C$404,MATCH(LARGE('債券'!$BD$5:$BD$404,$A12),'債券'!$BD$5:$BD$404,0))="","",INDEX('債券'!$C$5:$C$404,MATCH(LARGE('債券'!$BD$5:$BD$404,$A12),'債券'!$BD$5:$BD$404,0))))</f>
        <v/>
      </c>
      <c r="D12" s="32">
        <f>IF(ABS(LARGE('債券'!$BD$5:$BD$404,$A12))&gt;1E8,"",IF(INDEX('債券'!$S$5:$S$404,MATCH(LARGE('債券'!$BD$5:$BD$404,$A12),'債券'!$BD$5:$BD$404,0))="","",INDEX('債券'!$S$5:$S$404,MATCH(LARGE('債券'!$BD$5:$BD$404,$A12),'債券'!$BD$5:$BD$404,0))))</f>
        <v/>
      </c>
      <c r="E12" s="32">
        <f>IF(ABS(LARGE('債券'!$BD$5:$BD$404,$A12))&gt;1E8,"",IF(INDEX('債券'!$G$5:$G$404,MATCH(LARGE('債券'!$BD$5:$BD$404,$A12),'債券'!$BD$5:$BD$404,0))="","",INDEX('債券'!$G$5:$G$404,MATCH(LARGE('債券'!$BD$5:$BD$404,$A12),'債券'!$BD$5:$BD$404,0))))</f>
        <v/>
      </c>
      <c r="F12" s="24">
        <f>IF(ABS(LARGE('債券'!$BD$5:$BD$404,$A12))&gt;1E8,"",IF(INDEX('債券'!$U$5:$U$404,MATCH(LARGE('債券'!$BD$5:$BD$404,$A12),'債券'!$BD$5:$BD$404,0))="","",INDEX('債券'!$U$5:$U$404,MATCH(LARGE('債券'!$BD$5:$BD$404,$A12),'債券'!$BD$5:$BD$404,0))))</f>
        <v/>
      </c>
      <c r="G12" s="22">
        <f>IF(ABS(LARGE('債券'!$BD$5:$BD$404,$A12))&gt;1E8,"",IF(INDEX('債券'!$N$5:$N$404,MATCH(LARGE('債券'!$BD$5:$BD$404,$A12),'債券'!$BD$5:$BD$404,0))="","",INDEX('債券'!$N$5:$N$404,MATCH(LARGE('債券'!$BD$5:$BD$404,$A12),'債券'!$BD$5:$BD$404,0))))</f>
        <v/>
      </c>
      <c r="H12" s="23">
        <f>IF(ABS(LARGE('債券'!$BD$5:$BD$404,$A12))&gt;1E8,"",IF(INDEX('債券'!$Z$5:$Z$404,MATCH(LARGE('債券'!$BD$5:$BD$404,$A12),'債券'!$BD$5:$BD$404,0))="","",INDEX('債券'!$Z$5:$Z$404,MATCH(LARGE('債券'!$BD$5:$BD$404,$A12),'債券'!$BD$5:$BD$404,0))))</f>
        <v/>
      </c>
      <c r="I12" s="25">
        <f>IF(ABS(LARGE('債券'!$BD$5:$BD$404,$A12))&gt;1E8,"",IF(INDEX('債券'!$AF$5:$AF$404,MATCH(LARGE('債券'!$BD$5:$BD$404,$A12),'債券'!$BD$5:$BD$404,0))="","",INDEX('債券'!$AF$5:$AF$404,MATCH(LARGE('債券'!$BD$5:$BD$404,$A12),'債券'!$BD$5:$BD$404,0))))</f>
        <v/>
      </c>
      <c r="J12" s="25">
        <f>IF(ABS(LARGE('債券'!$BD$5:$BD$404,$A12))&gt;1E8,"",IF(INDEX('債券'!$AM$5:$AM$404,MATCH(LARGE('債券'!$BD$5:$BD$404,$A12),'債券'!$BD$5:$BD$404,0))="","",INDEX('債券'!$AM$5:$AM$404,MATCH(LARGE('債券'!$BD$5:$BD$404,$A12),'債券'!$BD$5:$BD$404,0))))</f>
        <v/>
      </c>
      <c r="K12" s="25">
        <f>IF(ABS(LARGE('債券'!$BD$5:$BD$404,$A12))&gt;1E8,"",IF(INDEX('債券'!$AO$5:$AO$404,MATCH(LARGE('債券'!$BD$5:$BD$404,$A12),'債券'!$BD$5:$BD$404,0))="","",INDEX('債券'!$AO$5:$AO$404,MATCH(LARGE('債券'!$BD$5:$BD$404,$A12),'債券'!$BD$5:$BD$404,0))))</f>
        <v/>
      </c>
      <c r="L12" s="25">
        <f>IF(ABS(LARGE('債券'!$BD$5:$BD$404,$A12))&gt;1E8,"",IF(INDEX('債券'!$AP$5:$AP$404,MATCH(LARGE('債券'!$BD$5:$BD$404,$A12),'債券'!$BD$5:$BD$404,0))="","",INDEX('債券'!$AP$5:$AP$404,MATCH(LARGE('債券'!$BD$5:$BD$404,$A12),'債券'!$BD$5:$BD$404,0))))</f>
        <v/>
      </c>
      <c r="M12" s="25">
        <f>IF(ABS(LARGE('債券'!$BD$5:$BD$404,$A12))&gt;1E8,"",IF(INDEX('債券'!$AQ$5:$AQ$404,MATCH(LARGE('債券'!$BD$5:$BD$404,$A12),'債券'!$BD$5:$BD$404,0))="","",INDEX('債券'!$AQ$5:$AQ$404,MATCH(LARGE('債券'!$BD$5:$BD$404,$A12),'債券'!$BD$5:$BD$404,0))))</f>
        <v/>
      </c>
      <c r="N12" s="38">
        <f>IF(ABS(LARGE('債券'!$BD$5:$BD$404,$A12))&gt;1E8,"",IF(INDEX('債券'!$AI$5:$AI$404,MATCH(LARGE('債券'!$BD$5:$BD$404,$A12),'債券'!$BD$5:$BD$404,0))="","",INDEX('債券'!$AI$5:$AI$404,MATCH(LARGE('債券'!$BD$5:$BD$404,$A12),'債券'!$BD$5:$BD$404,0))))</f>
        <v/>
      </c>
    </row>
    <row r="13">
      <c r="A13" s="8" t="n">
        <v>8</v>
      </c>
      <c r="B13" s="32">
        <f>IF(ABS(LARGE('債券'!$BD$5:$BD$404,$A13))&gt;1E8,"",IF(INDEX('債券'!$A$5:$A$404,MATCH(LARGE('債券'!$BD$5:$BD$404,$A13),'債券'!$BD$5:$BD$404,0))="","",INDEX('債券'!$A$5:$A$404,MATCH(LARGE('債券'!$BD$5:$BD$404,$A13),'債券'!$BD$5:$BD$404,0))))</f>
        <v/>
      </c>
      <c r="C13" s="32">
        <f>IF(ABS(LARGE('債券'!$BD$5:$BD$404,$A13))&gt;1E8,"",IF(INDEX('債券'!$C$5:$C$404,MATCH(LARGE('債券'!$BD$5:$BD$404,$A13),'債券'!$BD$5:$BD$404,0))="","",INDEX('債券'!$C$5:$C$404,MATCH(LARGE('債券'!$BD$5:$BD$404,$A13),'債券'!$BD$5:$BD$404,0))))</f>
        <v/>
      </c>
      <c r="D13" s="32">
        <f>IF(ABS(LARGE('債券'!$BD$5:$BD$404,$A13))&gt;1E8,"",IF(INDEX('債券'!$S$5:$S$404,MATCH(LARGE('債券'!$BD$5:$BD$404,$A13),'債券'!$BD$5:$BD$404,0))="","",INDEX('債券'!$S$5:$S$404,MATCH(LARGE('債券'!$BD$5:$BD$404,$A13),'債券'!$BD$5:$BD$404,0))))</f>
        <v/>
      </c>
      <c r="E13" s="32">
        <f>IF(ABS(LARGE('債券'!$BD$5:$BD$404,$A13))&gt;1E8,"",IF(INDEX('債券'!$G$5:$G$404,MATCH(LARGE('債券'!$BD$5:$BD$404,$A13),'債券'!$BD$5:$BD$404,0))="","",INDEX('債券'!$G$5:$G$404,MATCH(LARGE('債券'!$BD$5:$BD$404,$A13),'債券'!$BD$5:$BD$404,0))))</f>
        <v/>
      </c>
      <c r="F13" s="24">
        <f>IF(ABS(LARGE('債券'!$BD$5:$BD$404,$A13))&gt;1E8,"",IF(INDEX('債券'!$U$5:$U$404,MATCH(LARGE('債券'!$BD$5:$BD$404,$A13),'債券'!$BD$5:$BD$404,0))="","",INDEX('債券'!$U$5:$U$404,MATCH(LARGE('債券'!$BD$5:$BD$404,$A13),'債券'!$BD$5:$BD$404,0))))</f>
        <v/>
      </c>
      <c r="G13" s="22">
        <f>IF(ABS(LARGE('債券'!$BD$5:$BD$404,$A13))&gt;1E8,"",IF(INDEX('債券'!$N$5:$N$404,MATCH(LARGE('債券'!$BD$5:$BD$404,$A13),'債券'!$BD$5:$BD$404,0))="","",INDEX('債券'!$N$5:$N$404,MATCH(LARGE('債券'!$BD$5:$BD$404,$A13),'債券'!$BD$5:$BD$404,0))))</f>
        <v/>
      </c>
      <c r="H13" s="23">
        <f>IF(ABS(LARGE('債券'!$BD$5:$BD$404,$A13))&gt;1E8,"",IF(INDEX('債券'!$Z$5:$Z$404,MATCH(LARGE('債券'!$BD$5:$BD$404,$A13),'債券'!$BD$5:$BD$404,0))="","",INDEX('債券'!$Z$5:$Z$404,MATCH(LARGE('債券'!$BD$5:$BD$404,$A13),'債券'!$BD$5:$BD$404,0))))</f>
        <v/>
      </c>
      <c r="I13" s="25">
        <f>IF(ABS(LARGE('債券'!$BD$5:$BD$404,$A13))&gt;1E8,"",IF(INDEX('債券'!$AF$5:$AF$404,MATCH(LARGE('債券'!$BD$5:$BD$404,$A13),'債券'!$BD$5:$BD$404,0))="","",INDEX('債券'!$AF$5:$AF$404,MATCH(LARGE('債券'!$BD$5:$BD$404,$A13),'債券'!$BD$5:$BD$404,0))))</f>
        <v/>
      </c>
      <c r="J13" s="25">
        <f>IF(ABS(LARGE('債券'!$BD$5:$BD$404,$A13))&gt;1E8,"",IF(INDEX('債券'!$AM$5:$AM$404,MATCH(LARGE('債券'!$BD$5:$BD$404,$A13),'債券'!$BD$5:$BD$404,0))="","",INDEX('債券'!$AM$5:$AM$404,MATCH(LARGE('債券'!$BD$5:$BD$404,$A13),'債券'!$BD$5:$BD$404,0))))</f>
        <v/>
      </c>
      <c r="K13" s="25">
        <f>IF(ABS(LARGE('債券'!$BD$5:$BD$404,$A13))&gt;1E8,"",IF(INDEX('債券'!$AO$5:$AO$404,MATCH(LARGE('債券'!$BD$5:$BD$404,$A13),'債券'!$BD$5:$BD$404,0))="","",INDEX('債券'!$AO$5:$AO$404,MATCH(LARGE('債券'!$BD$5:$BD$404,$A13),'債券'!$BD$5:$BD$404,0))))</f>
        <v/>
      </c>
      <c r="L13" s="25">
        <f>IF(ABS(LARGE('債券'!$BD$5:$BD$404,$A13))&gt;1E8,"",IF(INDEX('債券'!$AP$5:$AP$404,MATCH(LARGE('債券'!$BD$5:$BD$404,$A13),'債券'!$BD$5:$BD$404,0))="","",INDEX('債券'!$AP$5:$AP$404,MATCH(LARGE('債券'!$BD$5:$BD$404,$A13),'債券'!$BD$5:$BD$404,0))))</f>
        <v/>
      </c>
      <c r="M13" s="25">
        <f>IF(ABS(LARGE('債券'!$BD$5:$BD$404,$A13))&gt;1E8,"",IF(INDEX('債券'!$AQ$5:$AQ$404,MATCH(LARGE('債券'!$BD$5:$BD$404,$A13),'債券'!$BD$5:$BD$404,0))="","",INDEX('債券'!$AQ$5:$AQ$404,MATCH(LARGE('債券'!$BD$5:$BD$404,$A13),'債券'!$BD$5:$BD$404,0))))</f>
        <v/>
      </c>
      <c r="N13" s="38">
        <f>IF(ABS(LARGE('債券'!$BD$5:$BD$404,$A13))&gt;1E8,"",IF(INDEX('債券'!$AI$5:$AI$404,MATCH(LARGE('債券'!$BD$5:$BD$404,$A13),'債券'!$BD$5:$BD$404,0))="","",INDEX('債券'!$AI$5:$AI$404,MATCH(LARGE('債券'!$BD$5:$BD$404,$A13),'債券'!$BD$5:$BD$404,0))))</f>
        <v/>
      </c>
    </row>
    <row r="14">
      <c r="A14" s="8" t="n">
        <v>9</v>
      </c>
      <c r="B14" s="32">
        <f>IF(ABS(LARGE('債券'!$BD$5:$BD$404,$A14))&gt;1E8,"",IF(INDEX('債券'!$A$5:$A$404,MATCH(LARGE('債券'!$BD$5:$BD$404,$A14),'債券'!$BD$5:$BD$404,0))="","",INDEX('債券'!$A$5:$A$404,MATCH(LARGE('債券'!$BD$5:$BD$404,$A14),'債券'!$BD$5:$BD$404,0))))</f>
        <v/>
      </c>
      <c r="C14" s="32">
        <f>IF(ABS(LARGE('債券'!$BD$5:$BD$404,$A14))&gt;1E8,"",IF(INDEX('債券'!$C$5:$C$404,MATCH(LARGE('債券'!$BD$5:$BD$404,$A14),'債券'!$BD$5:$BD$404,0))="","",INDEX('債券'!$C$5:$C$404,MATCH(LARGE('債券'!$BD$5:$BD$404,$A14),'債券'!$BD$5:$BD$404,0))))</f>
        <v/>
      </c>
      <c r="D14" s="32">
        <f>IF(ABS(LARGE('債券'!$BD$5:$BD$404,$A14))&gt;1E8,"",IF(INDEX('債券'!$S$5:$S$404,MATCH(LARGE('債券'!$BD$5:$BD$404,$A14),'債券'!$BD$5:$BD$404,0))="","",INDEX('債券'!$S$5:$S$404,MATCH(LARGE('債券'!$BD$5:$BD$404,$A14),'債券'!$BD$5:$BD$404,0))))</f>
        <v/>
      </c>
      <c r="E14" s="32">
        <f>IF(ABS(LARGE('債券'!$BD$5:$BD$404,$A14))&gt;1E8,"",IF(INDEX('債券'!$G$5:$G$404,MATCH(LARGE('債券'!$BD$5:$BD$404,$A14),'債券'!$BD$5:$BD$404,0))="","",INDEX('債券'!$G$5:$G$404,MATCH(LARGE('債券'!$BD$5:$BD$404,$A14),'債券'!$BD$5:$BD$404,0))))</f>
        <v/>
      </c>
      <c r="F14" s="24">
        <f>IF(ABS(LARGE('債券'!$BD$5:$BD$404,$A14))&gt;1E8,"",IF(INDEX('債券'!$U$5:$U$404,MATCH(LARGE('債券'!$BD$5:$BD$404,$A14),'債券'!$BD$5:$BD$404,0))="","",INDEX('債券'!$U$5:$U$404,MATCH(LARGE('債券'!$BD$5:$BD$404,$A14),'債券'!$BD$5:$BD$404,0))))</f>
        <v/>
      </c>
      <c r="G14" s="22">
        <f>IF(ABS(LARGE('債券'!$BD$5:$BD$404,$A14))&gt;1E8,"",IF(INDEX('債券'!$N$5:$N$404,MATCH(LARGE('債券'!$BD$5:$BD$404,$A14),'債券'!$BD$5:$BD$404,0))="","",INDEX('債券'!$N$5:$N$404,MATCH(LARGE('債券'!$BD$5:$BD$404,$A14),'債券'!$BD$5:$BD$404,0))))</f>
        <v/>
      </c>
      <c r="H14" s="23">
        <f>IF(ABS(LARGE('債券'!$BD$5:$BD$404,$A14))&gt;1E8,"",IF(INDEX('債券'!$Z$5:$Z$404,MATCH(LARGE('債券'!$BD$5:$BD$404,$A14),'債券'!$BD$5:$BD$404,0))="","",INDEX('債券'!$Z$5:$Z$404,MATCH(LARGE('債券'!$BD$5:$BD$404,$A14),'債券'!$BD$5:$BD$404,0))))</f>
        <v/>
      </c>
      <c r="I14" s="25">
        <f>IF(ABS(LARGE('債券'!$BD$5:$BD$404,$A14))&gt;1E8,"",IF(INDEX('債券'!$AF$5:$AF$404,MATCH(LARGE('債券'!$BD$5:$BD$404,$A14),'債券'!$BD$5:$BD$404,0))="","",INDEX('債券'!$AF$5:$AF$404,MATCH(LARGE('債券'!$BD$5:$BD$404,$A14),'債券'!$BD$5:$BD$404,0))))</f>
        <v/>
      </c>
      <c r="J14" s="25">
        <f>IF(ABS(LARGE('債券'!$BD$5:$BD$404,$A14))&gt;1E8,"",IF(INDEX('債券'!$AM$5:$AM$404,MATCH(LARGE('債券'!$BD$5:$BD$404,$A14),'債券'!$BD$5:$BD$404,0))="","",INDEX('債券'!$AM$5:$AM$404,MATCH(LARGE('債券'!$BD$5:$BD$404,$A14),'債券'!$BD$5:$BD$404,0))))</f>
        <v/>
      </c>
      <c r="K14" s="25">
        <f>IF(ABS(LARGE('債券'!$BD$5:$BD$404,$A14))&gt;1E8,"",IF(INDEX('債券'!$AO$5:$AO$404,MATCH(LARGE('債券'!$BD$5:$BD$404,$A14),'債券'!$BD$5:$BD$404,0))="","",INDEX('債券'!$AO$5:$AO$404,MATCH(LARGE('債券'!$BD$5:$BD$404,$A14),'債券'!$BD$5:$BD$404,0))))</f>
        <v/>
      </c>
      <c r="L14" s="25">
        <f>IF(ABS(LARGE('債券'!$BD$5:$BD$404,$A14))&gt;1E8,"",IF(INDEX('債券'!$AP$5:$AP$404,MATCH(LARGE('債券'!$BD$5:$BD$404,$A14),'債券'!$BD$5:$BD$404,0))="","",INDEX('債券'!$AP$5:$AP$404,MATCH(LARGE('債券'!$BD$5:$BD$404,$A14),'債券'!$BD$5:$BD$404,0))))</f>
        <v/>
      </c>
      <c r="M14" s="25">
        <f>IF(ABS(LARGE('債券'!$BD$5:$BD$404,$A14))&gt;1E8,"",IF(INDEX('債券'!$AQ$5:$AQ$404,MATCH(LARGE('債券'!$BD$5:$BD$404,$A14),'債券'!$BD$5:$BD$404,0))="","",INDEX('債券'!$AQ$5:$AQ$404,MATCH(LARGE('債券'!$BD$5:$BD$404,$A14),'債券'!$BD$5:$BD$404,0))))</f>
        <v/>
      </c>
      <c r="N14" s="38">
        <f>IF(ABS(LARGE('債券'!$BD$5:$BD$404,$A14))&gt;1E8,"",IF(INDEX('債券'!$AI$5:$AI$404,MATCH(LARGE('債券'!$BD$5:$BD$404,$A14),'債券'!$BD$5:$BD$404,0))="","",INDEX('債券'!$AI$5:$AI$404,MATCH(LARGE('債券'!$BD$5:$BD$404,$A14),'債券'!$BD$5:$BD$404,0))))</f>
        <v/>
      </c>
    </row>
    <row r="15">
      <c r="A15" s="8" t="n">
        <v>10</v>
      </c>
      <c r="B15" s="32">
        <f>IF(ABS(LARGE('債券'!$BD$5:$BD$404,$A15))&gt;1E8,"",IF(INDEX('債券'!$A$5:$A$404,MATCH(LARGE('債券'!$BD$5:$BD$404,$A15),'債券'!$BD$5:$BD$404,0))="","",INDEX('債券'!$A$5:$A$404,MATCH(LARGE('債券'!$BD$5:$BD$404,$A15),'債券'!$BD$5:$BD$404,0))))</f>
        <v/>
      </c>
      <c r="C15" s="32">
        <f>IF(ABS(LARGE('債券'!$BD$5:$BD$404,$A15))&gt;1E8,"",IF(INDEX('債券'!$C$5:$C$404,MATCH(LARGE('債券'!$BD$5:$BD$404,$A15),'債券'!$BD$5:$BD$404,0))="","",INDEX('債券'!$C$5:$C$404,MATCH(LARGE('債券'!$BD$5:$BD$404,$A15),'債券'!$BD$5:$BD$404,0))))</f>
        <v/>
      </c>
      <c r="D15" s="32">
        <f>IF(ABS(LARGE('債券'!$BD$5:$BD$404,$A15))&gt;1E8,"",IF(INDEX('債券'!$S$5:$S$404,MATCH(LARGE('債券'!$BD$5:$BD$404,$A15),'債券'!$BD$5:$BD$404,0))="","",INDEX('債券'!$S$5:$S$404,MATCH(LARGE('債券'!$BD$5:$BD$404,$A15),'債券'!$BD$5:$BD$404,0))))</f>
        <v/>
      </c>
      <c r="E15" s="32">
        <f>IF(ABS(LARGE('債券'!$BD$5:$BD$404,$A15))&gt;1E8,"",IF(INDEX('債券'!$G$5:$G$404,MATCH(LARGE('債券'!$BD$5:$BD$404,$A15),'債券'!$BD$5:$BD$404,0))="","",INDEX('債券'!$G$5:$G$404,MATCH(LARGE('債券'!$BD$5:$BD$404,$A15),'債券'!$BD$5:$BD$404,0))))</f>
        <v/>
      </c>
      <c r="F15" s="24">
        <f>IF(ABS(LARGE('債券'!$BD$5:$BD$404,$A15))&gt;1E8,"",IF(INDEX('債券'!$U$5:$U$404,MATCH(LARGE('債券'!$BD$5:$BD$404,$A15),'債券'!$BD$5:$BD$404,0))="","",INDEX('債券'!$U$5:$U$404,MATCH(LARGE('債券'!$BD$5:$BD$404,$A15),'債券'!$BD$5:$BD$404,0))))</f>
        <v/>
      </c>
      <c r="G15" s="22">
        <f>IF(ABS(LARGE('債券'!$BD$5:$BD$404,$A15))&gt;1E8,"",IF(INDEX('債券'!$N$5:$N$404,MATCH(LARGE('債券'!$BD$5:$BD$404,$A15),'債券'!$BD$5:$BD$404,0))="","",INDEX('債券'!$N$5:$N$404,MATCH(LARGE('債券'!$BD$5:$BD$404,$A15),'債券'!$BD$5:$BD$404,0))))</f>
        <v/>
      </c>
      <c r="H15" s="23">
        <f>IF(ABS(LARGE('債券'!$BD$5:$BD$404,$A15))&gt;1E8,"",IF(INDEX('債券'!$Z$5:$Z$404,MATCH(LARGE('債券'!$BD$5:$BD$404,$A15),'債券'!$BD$5:$BD$404,0))="","",INDEX('債券'!$Z$5:$Z$404,MATCH(LARGE('債券'!$BD$5:$BD$404,$A15),'債券'!$BD$5:$BD$404,0))))</f>
        <v/>
      </c>
      <c r="I15" s="25">
        <f>IF(ABS(LARGE('債券'!$BD$5:$BD$404,$A15))&gt;1E8,"",IF(INDEX('債券'!$AF$5:$AF$404,MATCH(LARGE('債券'!$BD$5:$BD$404,$A15),'債券'!$BD$5:$BD$404,0))="","",INDEX('債券'!$AF$5:$AF$404,MATCH(LARGE('債券'!$BD$5:$BD$404,$A15),'債券'!$BD$5:$BD$404,0))))</f>
        <v/>
      </c>
      <c r="J15" s="25">
        <f>IF(ABS(LARGE('債券'!$BD$5:$BD$404,$A15))&gt;1E8,"",IF(INDEX('債券'!$AM$5:$AM$404,MATCH(LARGE('債券'!$BD$5:$BD$404,$A15),'債券'!$BD$5:$BD$404,0))="","",INDEX('債券'!$AM$5:$AM$404,MATCH(LARGE('債券'!$BD$5:$BD$404,$A15),'債券'!$BD$5:$BD$404,0))))</f>
        <v/>
      </c>
      <c r="K15" s="25">
        <f>IF(ABS(LARGE('債券'!$BD$5:$BD$404,$A15))&gt;1E8,"",IF(INDEX('債券'!$AO$5:$AO$404,MATCH(LARGE('債券'!$BD$5:$BD$404,$A15),'債券'!$BD$5:$BD$404,0))="","",INDEX('債券'!$AO$5:$AO$404,MATCH(LARGE('債券'!$BD$5:$BD$404,$A15),'債券'!$BD$5:$BD$404,0))))</f>
        <v/>
      </c>
      <c r="L15" s="25">
        <f>IF(ABS(LARGE('債券'!$BD$5:$BD$404,$A15))&gt;1E8,"",IF(INDEX('債券'!$AP$5:$AP$404,MATCH(LARGE('債券'!$BD$5:$BD$404,$A15),'債券'!$BD$5:$BD$404,0))="","",INDEX('債券'!$AP$5:$AP$404,MATCH(LARGE('債券'!$BD$5:$BD$404,$A15),'債券'!$BD$5:$BD$404,0))))</f>
        <v/>
      </c>
      <c r="M15" s="25">
        <f>IF(ABS(LARGE('債券'!$BD$5:$BD$404,$A15))&gt;1E8,"",IF(INDEX('債券'!$AQ$5:$AQ$404,MATCH(LARGE('債券'!$BD$5:$BD$404,$A15),'債券'!$BD$5:$BD$404,0))="","",INDEX('債券'!$AQ$5:$AQ$404,MATCH(LARGE('債券'!$BD$5:$BD$404,$A15),'債券'!$BD$5:$BD$404,0))))</f>
        <v/>
      </c>
      <c r="N15" s="38">
        <f>IF(ABS(LARGE('債券'!$BD$5:$BD$404,$A15))&gt;1E8,"",IF(INDEX('債券'!$AI$5:$AI$404,MATCH(LARGE('債券'!$BD$5:$BD$404,$A15),'債券'!$BD$5:$BD$404,0))="","",INDEX('債券'!$AI$5:$AI$404,MATCH(LARGE('債券'!$BD$5:$BD$404,$A15),'債券'!$BD$5:$BD$404,0))))</f>
        <v/>
      </c>
    </row>
    <row r="16">
      <c r="A16" s="8" t="n">
        <v>11</v>
      </c>
      <c r="B16" s="32">
        <f>IF(ABS(LARGE('債券'!$BD$5:$BD$404,$A16))&gt;1E8,"",IF(INDEX('債券'!$A$5:$A$404,MATCH(LARGE('債券'!$BD$5:$BD$404,$A16),'債券'!$BD$5:$BD$404,0))="","",INDEX('債券'!$A$5:$A$404,MATCH(LARGE('債券'!$BD$5:$BD$404,$A16),'債券'!$BD$5:$BD$404,0))))</f>
        <v/>
      </c>
      <c r="C16" s="32">
        <f>IF(ABS(LARGE('債券'!$BD$5:$BD$404,$A16))&gt;1E8,"",IF(INDEX('債券'!$C$5:$C$404,MATCH(LARGE('債券'!$BD$5:$BD$404,$A16),'債券'!$BD$5:$BD$404,0))="","",INDEX('債券'!$C$5:$C$404,MATCH(LARGE('債券'!$BD$5:$BD$404,$A16),'債券'!$BD$5:$BD$404,0))))</f>
        <v/>
      </c>
      <c r="D16" s="32">
        <f>IF(ABS(LARGE('債券'!$BD$5:$BD$404,$A16))&gt;1E8,"",IF(INDEX('債券'!$S$5:$S$404,MATCH(LARGE('債券'!$BD$5:$BD$404,$A16),'債券'!$BD$5:$BD$404,0))="","",INDEX('債券'!$S$5:$S$404,MATCH(LARGE('債券'!$BD$5:$BD$404,$A16),'債券'!$BD$5:$BD$404,0))))</f>
        <v/>
      </c>
      <c r="E16" s="32">
        <f>IF(ABS(LARGE('債券'!$BD$5:$BD$404,$A16))&gt;1E8,"",IF(INDEX('債券'!$G$5:$G$404,MATCH(LARGE('債券'!$BD$5:$BD$404,$A16),'債券'!$BD$5:$BD$404,0))="","",INDEX('債券'!$G$5:$G$404,MATCH(LARGE('債券'!$BD$5:$BD$404,$A16),'債券'!$BD$5:$BD$404,0))))</f>
        <v/>
      </c>
      <c r="F16" s="24">
        <f>IF(ABS(LARGE('債券'!$BD$5:$BD$404,$A16))&gt;1E8,"",IF(INDEX('債券'!$U$5:$U$404,MATCH(LARGE('債券'!$BD$5:$BD$404,$A16),'債券'!$BD$5:$BD$404,0))="","",INDEX('債券'!$U$5:$U$404,MATCH(LARGE('債券'!$BD$5:$BD$404,$A16),'債券'!$BD$5:$BD$404,0))))</f>
        <v/>
      </c>
      <c r="G16" s="22">
        <f>IF(ABS(LARGE('債券'!$BD$5:$BD$404,$A16))&gt;1E8,"",IF(INDEX('債券'!$N$5:$N$404,MATCH(LARGE('債券'!$BD$5:$BD$404,$A16),'債券'!$BD$5:$BD$404,0))="","",INDEX('債券'!$N$5:$N$404,MATCH(LARGE('債券'!$BD$5:$BD$404,$A16),'債券'!$BD$5:$BD$404,0))))</f>
        <v/>
      </c>
      <c r="H16" s="23">
        <f>IF(ABS(LARGE('債券'!$BD$5:$BD$404,$A16))&gt;1E8,"",IF(INDEX('債券'!$Z$5:$Z$404,MATCH(LARGE('債券'!$BD$5:$BD$404,$A16),'債券'!$BD$5:$BD$404,0))="","",INDEX('債券'!$Z$5:$Z$404,MATCH(LARGE('債券'!$BD$5:$BD$404,$A16),'債券'!$BD$5:$BD$404,0))))</f>
        <v/>
      </c>
      <c r="I16" s="25">
        <f>IF(ABS(LARGE('債券'!$BD$5:$BD$404,$A16))&gt;1E8,"",IF(INDEX('債券'!$AF$5:$AF$404,MATCH(LARGE('債券'!$BD$5:$BD$404,$A16),'債券'!$BD$5:$BD$404,0))="","",INDEX('債券'!$AF$5:$AF$404,MATCH(LARGE('債券'!$BD$5:$BD$404,$A16),'債券'!$BD$5:$BD$404,0))))</f>
        <v/>
      </c>
      <c r="J16" s="25">
        <f>IF(ABS(LARGE('債券'!$BD$5:$BD$404,$A16))&gt;1E8,"",IF(INDEX('債券'!$AM$5:$AM$404,MATCH(LARGE('債券'!$BD$5:$BD$404,$A16),'債券'!$BD$5:$BD$404,0))="","",INDEX('債券'!$AM$5:$AM$404,MATCH(LARGE('債券'!$BD$5:$BD$404,$A16),'債券'!$BD$5:$BD$404,0))))</f>
        <v/>
      </c>
      <c r="K16" s="25">
        <f>IF(ABS(LARGE('債券'!$BD$5:$BD$404,$A16))&gt;1E8,"",IF(INDEX('債券'!$AO$5:$AO$404,MATCH(LARGE('債券'!$BD$5:$BD$404,$A16),'債券'!$BD$5:$BD$404,0))="","",INDEX('債券'!$AO$5:$AO$404,MATCH(LARGE('債券'!$BD$5:$BD$404,$A16),'債券'!$BD$5:$BD$404,0))))</f>
        <v/>
      </c>
      <c r="L16" s="25">
        <f>IF(ABS(LARGE('債券'!$BD$5:$BD$404,$A16))&gt;1E8,"",IF(INDEX('債券'!$AP$5:$AP$404,MATCH(LARGE('債券'!$BD$5:$BD$404,$A16),'債券'!$BD$5:$BD$404,0))="","",INDEX('債券'!$AP$5:$AP$404,MATCH(LARGE('債券'!$BD$5:$BD$404,$A16),'債券'!$BD$5:$BD$404,0))))</f>
        <v/>
      </c>
      <c r="M16" s="25">
        <f>IF(ABS(LARGE('債券'!$BD$5:$BD$404,$A16))&gt;1E8,"",IF(INDEX('債券'!$AQ$5:$AQ$404,MATCH(LARGE('債券'!$BD$5:$BD$404,$A16),'債券'!$BD$5:$BD$404,0))="","",INDEX('債券'!$AQ$5:$AQ$404,MATCH(LARGE('債券'!$BD$5:$BD$404,$A16),'債券'!$BD$5:$BD$404,0))))</f>
        <v/>
      </c>
      <c r="N16" s="38">
        <f>IF(ABS(LARGE('債券'!$BD$5:$BD$404,$A16))&gt;1E8,"",IF(INDEX('債券'!$AI$5:$AI$404,MATCH(LARGE('債券'!$BD$5:$BD$404,$A16),'債券'!$BD$5:$BD$404,0))="","",INDEX('債券'!$AI$5:$AI$404,MATCH(LARGE('債券'!$BD$5:$BD$404,$A16),'債券'!$BD$5:$BD$404,0))))</f>
        <v/>
      </c>
    </row>
    <row r="17">
      <c r="A17" s="8" t="n">
        <v>12</v>
      </c>
      <c r="B17" s="32">
        <f>IF(ABS(LARGE('債券'!$BD$5:$BD$404,$A17))&gt;1E8,"",IF(INDEX('債券'!$A$5:$A$404,MATCH(LARGE('債券'!$BD$5:$BD$404,$A17),'債券'!$BD$5:$BD$404,0))="","",INDEX('債券'!$A$5:$A$404,MATCH(LARGE('債券'!$BD$5:$BD$404,$A17),'債券'!$BD$5:$BD$404,0))))</f>
        <v/>
      </c>
      <c r="C17" s="32">
        <f>IF(ABS(LARGE('債券'!$BD$5:$BD$404,$A17))&gt;1E8,"",IF(INDEX('債券'!$C$5:$C$404,MATCH(LARGE('債券'!$BD$5:$BD$404,$A17),'債券'!$BD$5:$BD$404,0))="","",INDEX('債券'!$C$5:$C$404,MATCH(LARGE('債券'!$BD$5:$BD$404,$A17),'債券'!$BD$5:$BD$404,0))))</f>
        <v/>
      </c>
      <c r="D17" s="32">
        <f>IF(ABS(LARGE('債券'!$BD$5:$BD$404,$A17))&gt;1E8,"",IF(INDEX('債券'!$S$5:$S$404,MATCH(LARGE('債券'!$BD$5:$BD$404,$A17),'債券'!$BD$5:$BD$404,0))="","",INDEX('債券'!$S$5:$S$404,MATCH(LARGE('債券'!$BD$5:$BD$404,$A17),'債券'!$BD$5:$BD$404,0))))</f>
        <v/>
      </c>
      <c r="E17" s="32">
        <f>IF(ABS(LARGE('債券'!$BD$5:$BD$404,$A17))&gt;1E8,"",IF(INDEX('債券'!$G$5:$G$404,MATCH(LARGE('債券'!$BD$5:$BD$404,$A17),'債券'!$BD$5:$BD$404,0))="","",INDEX('債券'!$G$5:$G$404,MATCH(LARGE('債券'!$BD$5:$BD$404,$A17),'債券'!$BD$5:$BD$404,0))))</f>
        <v/>
      </c>
      <c r="F17" s="24">
        <f>IF(ABS(LARGE('債券'!$BD$5:$BD$404,$A17))&gt;1E8,"",IF(INDEX('債券'!$U$5:$U$404,MATCH(LARGE('債券'!$BD$5:$BD$404,$A17),'債券'!$BD$5:$BD$404,0))="","",INDEX('債券'!$U$5:$U$404,MATCH(LARGE('債券'!$BD$5:$BD$404,$A17),'債券'!$BD$5:$BD$404,0))))</f>
        <v/>
      </c>
      <c r="G17" s="22">
        <f>IF(ABS(LARGE('債券'!$BD$5:$BD$404,$A17))&gt;1E8,"",IF(INDEX('債券'!$N$5:$N$404,MATCH(LARGE('債券'!$BD$5:$BD$404,$A17),'債券'!$BD$5:$BD$404,0))="","",INDEX('債券'!$N$5:$N$404,MATCH(LARGE('債券'!$BD$5:$BD$404,$A17),'債券'!$BD$5:$BD$404,0))))</f>
        <v/>
      </c>
      <c r="H17" s="23">
        <f>IF(ABS(LARGE('債券'!$BD$5:$BD$404,$A17))&gt;1E8,"",IF(INDEX('債券'!$Z$5:$Z$404,MATCH(LARGE('債券'!$BD$5:$BD$404,$A17),'債券'!$BD$5:$BD$404,0))="","",INDEX('債券'!$Z$5:$Z$404,MATCH(LARGE('債券'!$BD$5:$BD$404,$A17),'債券'!$BD$5:$BD$404,0))))</f>
        <v/>
      </c>
      <c r="I17" s="25">
        <f>IF(ABS(LARGE('債券'!$BD$5:$BD$404,$A17))&gt;1E8,"",IF(INDEX('債券'!$AF$5:$AF$404,MATCH(LARGE('債券'!$BD$5:$BD$404,$A17),'債券'!$BD$5:$BD$404,0))="","",INDEX('債券'!$AF$5:$AF$404,MATCH(LARGE('債券'!$BD$5:$BD$404,$A17),'債券'!$BD$5:$BD$404,0))))</f>
        <v/>
      </c>
      <c r="J17" s="25">
        <f>IF(ABS(LARGE('債券'!$BD$5:$BD$404,$A17))&gt;1E8,"",IF(INDEX('債券'!$AM$5:$AM$404,MATCH(LARGE('債券'!$BD$5:$BD$404,$A17),'債券'!$BD$5:$BD$404,0))="","",INDEX('債券'!$AM$5:$AM$404,MATCH(LARGE('債券'!$BD$5:$BD$404,$A17),'債券'!$BD$5:$BD$404,0))))</f>
        <v/>
      </c>
      <c r="K17" s="25">
        <f>IF(ABS(LARGE('債券'!$BD$5:$BD$404,$A17))&gt;1E8,"",IF(INDEX('債券'!$AO$5:$AO$404,MATCH(LARGE('債券'!$BD$5:$BD$404,$A17),'債券'!$BD$5:$BD$404,0))="","",INDEX('債券'!$AO$5:$AO$404,MATCH(LARGE('債券'!$BD$5:$BD$404,$A17),'債券'!$BD$5:$BD$404,0))))</f>
        <v/>
      </c>
      <c r="L17" s="25">
        <f>IF(ABS(LARGE('債券'!$BD$5:$BD$404,$A17))&gt;1E8,"",IF(INDEX('債券'!$AP$5:$AP$404,MATCH(LARGE('債券'!$BD$5:$BD$404,$A17),'債券'!$BD$5:$BD$404,0))="","",INDEX('債券'!$AP$5:$AP$404,MATCH(LARGE('債券'!$BD$5:$BD$404,$A17),'債券'!$BD$5:$BD$404,0))))</f>
        <v/>
      </c>
      <c r="M17" s="25">
        <f>IF(ABS(LARGE('債券'!$BD$5:$BD$404,$A17))&gt;1E8,"",IF(INDEX('債券'!$AQ$5:$AQ$404,MATCH(LARGE('債券'!$BD$5:$BD$404,$A17),'債券'!$BD$5:$BD$404,0))="","",INDEX('債券'!$AQ$5:$AQ$404,MATCH(LARGE('債券'!$BD$5:$BD$404,$A17),'債券'!$BD$5:$BD$404,0))))</f>
        <v/>
      </c>
      <c r="N17" s="38">
        <f>IF(ABS(LARGE('債券'!$BD$5:$BD$404,$A17))&gt;1E8,"",IF(INDEX('債券'!$AI$5:$AI$404,MATCH(LARGE('債券'!$BD$5:$BD$404,$A17),'債券'!$BD$5:$BD$404,0))="","",INDEX('債券'!$AI$5:$AI$404,MATCH(LARGE('債券'!$BD$5:$BD$404,$A17),'債券'!$BD$5:$BD$404,0))))</f>
        <v/>
      </c>
    </row>
    <row r="18">
      <c r="A18" s="8" t="n">
        <v>13</v>
      </c>
      <c r="B18" s="32">
        <f>IF(ABS(LARGE('債券'!$BD$5:$BD$404,$A18))&gt;1E8,"",IF(INDEX('債券'!$A$5:$A$404,MATCH(LARGE('債券'!$BD$5:$BD$404,$A18),'債券'!$BD$5:$BD$404,0))="","",INDEX('債券'!$A$5:$A$404,MATCH(LARGE('債券'!$BD$5:$BD$404,$A18),'債券'!$BD$5:$BD$404,0))))</f>
        <v/>
      </c>
      <c r="C18" s="32">
        <f>IF(ABS(LARGE('債券'!$BD$5:$BD$404,$A18))&gt;1E8,"",IF(INDEX('債券'!$C$5:$C$404,MATCH(LARGE('債券'!$BD$5:$BD$404,$A18),'債券'!$BD$5:$BD$404,0))="","",INDEX('債券'!$C$5:$C$404,MATCH(LARGE('債券'!$BD$5:$BD$404,$A18),'債券'!$BD$5:$BD$404,0))))</f>
        <v/>
      </c>
      <c r="D18" s="32">
        <f>IF(ABS(LARGE('債券'!$BD$5:$BD$404,$A18))&gt;1E8,"",IF(INDEX('債券'!$S$5:$S$404,MATCH(LARGE('債券'!$BD$5:$BD$404,$A18),'債券'!$BD$5:$BD$404,0))="","",INDEX('債券'!$S$5:$S$404,MATCH(LARGE('債券'!$BD$5:$BD$404,$A18),'債券'!$BD$5:$BD$404,0))))</f>
        <v/>
      </c>
      <c r="E18" s="32">
        <f>IF(ABS(LARGE('債券'!$BD$5:$BD$404,$A18))&gt;1E8,"",IF(INDEX('債券'!$G$5:$G$404,MATCH(LARGE('債券'!$BD$5:$BD$404,$A18),'債券'!$BD$5:$BD$404,0))="","",INDEX('債券'!$G$5:$G$404,MATCH(LARGE('債券'!$BD$5:$BD$404,$A18),'債券'!$BD$5:$BD$404,0))))</f>
        <v/>
      </c>
      <c r="F18" s="24">
        <f>IF(ABS(LARGE('債券'!$BD$5:$BD$404,$A18))&gt;1E8,"",IF(INDEX('債券'!$U$5:$U$404,MATCH(LARGE('債券'!$BD$5:$BD$404,$A18),'債券'!$BD$5:$BD$404,0))="","",INDEX('債券'!$U$5:$U$404,MATCH(LARGE('債券'!$BD$5:$BD$404,$A18),'債券'!$BD$5:$BD$404,0))))</f>
        <v/>
      </c>
      <c r="G18" s="22">
        <f>IF(ABS(LARGE('債券'!$BD$5:$BD$404,$A18))&gt;1E8,"",IF(INDEX('債券'!$N$5:$N$404,MATCH(LARGE('債券'!$BD$5:$BD$404,$A18),'債券'!$BD$5:$BD$404,0))="","",INDEX('債券'!$N$5:$N$404,MATCH(LARGE('債券'!$BD$5:$BD$404,$A18),'債券'!$BD$5:$BD$404,0))))</f>
        <v/>
      </c>
      <c r="H18" s="23">
        <f>IF(ABS(LARGE('債券'!$BD$5:$BD$404,$A18))&gt;1E8,"",IF(INDEX('債券'!$Z$5:$Z$404,MATCH(LARGE('債券'!$BD$5:$BD$404,$A18),'債券'!$BD$5:$BD$404,0))="","",INDEX('債券'!$Z$5:$Z$404,MATCH(LARGE('債券'!$BD$5:$BD$404,$A18),'債券'!$BD$5:$BD$404,0))))</f>
        <v/>
      </c>
      <c r="I18" s="25">
        <f>IF(ABS(LARGE('債券'!$BD$5:$BD$404,$A18))&gt;1E8,"",IF(INDEX('債券'!$AF$5:$AF$404,MATCH(LARGE('債券'!$BD$5:$BD$404,$A18),'債券'!$BD$5:$BD$404,0))="","",INDEX('債券'!$AF$5:$AF$404,MATCH(LARGE('債券'!$BD$5:$BD$404,$A18),'債券'!$BD$5:$BD$404,0))))</f>
        <v/>
      </c>
      <c r="J18" s="25">
        <f>IF(ABS(LARGE('債券'!$BD$5:$BD$404,$A18))&gt;1E8,"",IF(INDEX('債券'!$AM$5:$AM$404,MATCH(LARGE('債券'!$BD$5:$BD$404,$A18),'債券'!$BD$5:$BD$404,0))="","",INDEX('債券'!$AM$5:$AM$404,MATCH(LARGE('債券'!$BD$5:$BD$404,$A18),'債券'!$BD$5:$BD$404,0))))</f>
        <v/>
      </c>
      <c r="K18" s="25">
        <f>IF(ABS(LARGE('債券'!$BD$5:$BD$404,$A18))&gt;1E8,"",IF(INDEX('債券'!$AO$5:$AO$404,MATCH(LARGE('債券'!$BD$5:$BD$404,$A18),'債券'!$BD$5:$BD$404,0))="","",INDEX('債券'!$AO$5:$AO$404,MATCH(LARGE('債券'!$BD$5:$BD$404,$A18),'債券'!$BD$5:$BD$404,0))))</f>
        <v/>
      </c>
      <c r="L18" s="25">
        <f>IF(ABS(LARGE('債券'!$BD$5:$BD$404,$A18))&gt;1E8,"",IF(INDEX('債券'!$AP$5:$AP$404,MATCH(LARGE('債券'!$BD$5:$BD$404,$A18),'債券'!$BD$5:$BD$404,0))="","",INDEX('債券'!$AP$5:$AP$404,MATCH(LARGE('債券'!$BD$5:$BD$404,$A18),'債券'!$BD$5:$BD$404,0))))</f>
        <v/>
      </c>
      <c r="M18" s="25">
        <f>IF(ABS(LARGE('債券'!$BD$5:$BD$404,$A18))&gt;1E8,"",IF(INDEX('債券'!$AQ$5:$AQ$404,MATCH(LARGE('債券'!$BD$5:$BD$404,$A18),'債券'!$BD$5:$BD$404,0))="","",INDEX('債券'!$AQ$5:$AQ$404,MATCH(LARGE('債券'!$BD$5:$BD$404,$A18),'債券'!$BD$5:$BD$404,0))))</f>
        <v/>
      </c>
      <c r="N18" s="38">
        <f>IF(ABS(LARGE('債券'!$BD$5:$BD$404,$A18))&gt;1E8,"",IF(INDEX('債券'!$AI$5:$AI$404,MATCH(LARGE('債券'!$BD$5:$BD$404,$A18),'債券'!$BD$5:$BD$404,0))="","",INDEX('債券'!$AI$5:$AI$404,MATCH(LARGE('債券'!$BD$5:$BD$404,$A18),'債券'!$BD$5:$BD$404,0))))</f>
        <v/>
      </c>
    </row>
    <row r="19">
      <c r="A19" s="8" t="n">
        <v>14</v>
      </c>
      <c r="B19" s="32">
        <f>IF(ABS(LARGE('債券'!$BD$5:$BD$404,$A19))&gt;1E8,"",IF(INDEX('債券'!$A$5:$A$404,MATCH(LARGE('債券'!$BD$5:$BD$404,$A19),'債券'!$BD$5:$BD$404,0))="","",INDEX('債券'!$A$5:$A$404,MATCH(LARGE('債券'!$BD$5:$BD$404,$A19),'債券'!$BD$5:$BD$404,0))))</f>
        <v/>
      </c>
      <c r="C19" s="32">
        <f>IF(ABS(LARGE('債券'!$BD$5:$BD$404,$A19))&gt;1E8,"",IF(INDEX('債券'!$C$5:$C$404,MATCH(LARGE('債券'!$BD$5:$BD$404,$A19),'債券'!$BD$5:$BD$404,0))="","",INDEX('債券'!$C$5:$C$404,MATCH(LARGE('債券'!$BD$5:$BD$404,$A19),'債券'!$BD$5:$BD$404,0))))</f>
        <v/>
      </c>
      <c r="D19" s="32">
        <f>IF(ABS(LARGE('債券'!$BD$5:$BD$404,$A19))&gt;1E8,"",IF(INDEX('債券'!$S$5:$S$404,MATCH(LARGE('債券'!$BD$5:$BD$404,$A19),'債券'!$BD$5:$BD$404,0))="","",INDEX('債券'!$S$5:$S$404,MATCH(LARGE('債券'!$BD$5:$BD$404,$A19),'債券'!$BD$5:$BD$404,0))))</f>
        <v/>
      </c>
      <c r="E19" s="32">
        <f>IF(ABS(LARGE('債券'!$BD$5:$BD$404,$A19))&gt;1E8,"",IF(INDEX('債券'!$G$5:$G$404,MATCH(LARGE('債券'!$BD$5:$BD$404,$A19),'債券'!$BD$5:$BD$404,0))="","",INDEX('債券'!$G$5:$G$404,MATCH(LARGE('債券'!$BD$5:$BD$404,$A19),'債券'!$BD$5:$BD$404,0))))</f>
        <v/>
      </c>
      <c r="F19" s="24">
        <f>IF(ABS(LARGE('債券'!$BD$5:$BD$404,$A19))&gt;1E8,"",IF(INDEX('債券'!$U$5:$U$404,MATCH(LARGE('債券'!$BD$5:$BD$404,$A19),'債券'!$BD$5:$BD$404,0))="","",INDEX('債券'!$U$5:$U$404,MATCH(LARGE('債券'!$BD$5:$BD$404,$A19),'債券'!$BD$5:$BD$404,0))))</f>
        <v/>
      </c>
      <c r="G19" s="22">
        <f>IF(ABS(LARGE('債券'!$BD$5:$BD$404,$A19))&gt;1E8,"",IF(INDEX('債券'!$N$5:$N$404,MATCH(LARGE('債券'!$BD$5:$BD$404,$A19),'債券'!$BD$5:$BD$404,0))="","",INDEX('債券'!$N$5:$N$404,MATCH(LARGE('債券'!$BD$5:$BD$404,$A19),'債券'!$BD$5:$BD$404,0))))</f>
        <v/>
      </c>
      <c r="H19" s="23">
        <f>IF(ABS(LARGE('債券'!$BD$5:$BD$404,$A19))&gt;1E8,"",IF(INDEX('債券'!$Z$5:$Z$404,MATCH(LARGE('債券'!$BD$5:$BD$404,$A19),'債券'!$BD$5:$BD$404,0))="","",INDEX('債券'!$Z$5:$Z$404,MATCH(LARGE('債券'!$BD$5:$BD$404,$A19),'債券'!$BD$5:$BD$404,0))))</f>
        <v/>
      </c>
      <c r="I19" s="25">
        <f>IF(ABS(LARGE('債券'!$BD$5:$BD$404,$A19))&gt;1E8,"",IF(INDEX('債券'!$AF$5:$AF$404,MATCH(LARGE('債券'!$BD$5:$BD$404,$A19),'債券'!$BD$5:$BD$404,0))="","",INDEX('債券'!$AF$5:$AF$404,MATCH(LARGE('債券'!$BD$5:$BD$404,$A19),'債券'!$BD$5:$BD$404,0))))</f>
        <v/>
      </c>
      <c r="J19" s="25">
        <f>IF(ABS(LARGE('債券'!$BD$5:$BD$404,$A19))&gt;1E8,"",IF(INDEX('債券'!$AM$5:$AM$404,MATCH(LARGE('債券'!$BD$5:$BD$404,$A19),'債券'!$BD$5:$BD$404,0))="","",INDEX('債券'!$AM$5:$AM$404,MATCH(LARGE('債券'!$BD$5:$BD$404,$A19),'債券'!$BD$5:$BD$404,0))))</f>
        <v/>
      </c>
      <c r="K19" s="25">
        <f>IF(ABS(LARGE('債券'!$BD$5:$BD$404,$A19))&gt;1E8,"",IF(INDEX('債券'!$AO$5:$AO$404,MATCH(LARGE('債券'!$BD$5:$BD$404,$A19),'債券'!$BD$5:$BD$404,0))="","",INDEX('債券'!$AO$5:$AO$404,MATCH(LARGE('債券'!$BD$5:$BD$404,$A19),'債券'!$BD$5:$BD$404,0))))</f>
        <v/>
      </c>
      <c r="L19" s="25">
        <f>IF(ABS(LARGE('債券'!$BD$5:$BD$404,$A19))&gt;1E8,"",IF(INDEX('債券'!$AP$5:$AP$404,MATCH(LARGE('債券'!$BD$5:$BD$404,$A19),'債券'!$BD$5:$BD$404,0))="","",INDEX('債券'!$AP$5:$AP$404,MATCH(LARGE('債券'!$BD$5:$BD$404,$A19),'債券'!$BD$5:$BD$404,0))))</f>
        <v/>
      </c>
      <c r="M19" s="25">
        <f>IF(ABS(LARGE('債券'!$BD$5:$BD$404,$A19))&gt;1E8,"",IF(INDEX('債券'!$AQ$5:$AQ$404,MATCH(LARGE('債券'!$BD$5:$BD$404,$A19),'債券'!$BD$5:$BD$404,0))="","",INDEX('債券'!$AQ$5:$AQ$404,MATCH(LARGE('債券'!$BD$5:$BD$404,$A19),'債券'!$BD$5:$BD$404,0))))</f>
        <v/>
      </c>
      <c r="N19" s="38">
        <f>IF(ABS(LARGE('債券'!$BD$5:$BD$404,$A19))&gt;1E8,"",IF(INDEX('債券'!$AI$5:$AI$404,MATCH(LARGE('債券'!$BD$5:$BD$404,$A19),'債券'!$BD$5:$BD$404,0))="","",INDEX('債券'!$AI$5:$AI$404,MATCH(LARGE('債券'!$BD$5:$BD$404,$A19),'債券'!$BD$5:$BD$404,0))))</f>
        <v/>
      </c>
    </row>
    <row r="20">
      <c r="A20" s="8" t="n">
        <v>15</v>
      </c>
      <c r="B20" s="32">
        <f>IF(ABS(LARGE('債券'!$BD$5:$BD$404,$A20))&gt;1E8,"",IF(INDEX('債券'!$A$5:$A$404,MATCH(LARGE('債券'!$BD$5:$BD$404,$A20),'債券'!$BD$5:$BD$404,0))="","",INDEX('債券'!$A$5:$A$404,MATCH(LARGE('債券'!$BD$5:$BD$404,$A20),'債券'!$BD$5:$BD$404,0))))</f>
        <v/>
      </c>
      <c r="C20" s="32">
        <f>IF(ABS(LARGE('債券'!$BD$5:$BD$404,$A20))&gt;1E8,"",IF(INDEX('債券'!$C$5:$C$404,MATCH(LARGE('債券'!$BD$5:$BD$404,$A20),'債券'!$BD$5:$BD$404,0))="","",INDEX('債券'!$C$5:$C$404,MATCH(LARGE('債券'!$BD$5:$BD$404,$A20),'債券'!$BD$5:$BD$404,0))))</f>
        <v/>
      </c>
      <c r="D20" s="32">
        <f>IF(ABS(LARGE('債券'!$BD$5:$BD$404,$A20))&gt;1E8,"",IF(INDEX('債券'!$S$5:$S$404,MATCH(LARGE('債券'!$BD$5:$BD$404,$A20),'債券'!$BD$5:$BD$404,0))="","",INDEX('債券'!$S$5:$S$404,MATCH(LARGE('債券'!$BD$5:$BD$404,$A20),'債券'!$BD$5:$BD$404,0))))</f>
        <v/>
      </c>
      <c r="E20" s="32">
        <f>IF(ABS(LARGE('債券'!$BD$5:$BD$404,$A20))&gt;1E8,"",IF(INDEX('債券'!$G$5:$G$404,MATCH(LARGE('債券'!$BD$5:$BD$404,$A20),'債券'!$BD$5:$BD$404,0))="","",INDEX('債券'!$G$5:$G$404,MATCH(LARGE('債券'!$BD$5:$BD$404,$A20),'債券'!$BD$5:$BD$404,0))))</f>
        <v/>
      </c>
      <c r="F20" s="24">
        <f>IF(ABS(LARGE('債券'!$BD$5:$BD$404,$A20))&gt;1E8,"",IF(INDEX('債券'!$U$5:$U$404,MATCH(LARGE('債券'!$BD$5:$BD$404,$A20),'債券'!$BD$5:$BD$404,0))="","",INDEX('債券'!$U$5:$U$404,MATCH(LARGE('債券'!$BD$5:$BD$404,$A20),'債券'!$BD$5:$BD$404,0))))</f>
        <v/>
      </c>
      <c r="G20" s="22">
        <f>IF(ABS(LARGE('債券'!$BD$5:$BD$404,$A20))&gt;1E8,"",IF(INDEX('債券'!$N$5:$N$404,MATCH(LARGE('債券'!$BD$5:$BD$404,$A20),'債券'!$BD$5:$BD$404,0))="","",INDEX('債券'!$N$5:$N$404,MATCH(LARGE('債券'!$BD$5:$BD$404,$A20),'債券'!$BD$5:$BD$404,0))))</f>
        <v/>
      </c>
      <c r="H20" s="23">
        <f>IF(ABS(LARGE('債券'!$BD$5:$BD$404,$A20))&gt;1E8,"",IF(INDEX('債券'!$Z$5:$Z$404,MATCH(LARGE('債券'!$BD$5:$BD$404,$A20),'債券'!$BD$5:$BD$404,0))="","",INDEX('債券'!$Z$5:$Z$404,MATCH(LARGE('債券'!$BD$5:$BD$404,$A20),'債券'!$BD$5:$BD$404,0))))</f>
        <v/>
      </c>
      <c r="I20" s="25">
        <f>IF(ABS(LARGE('債券'!$BD$5:$BD$404,$A20))&gt;1E8,"",IF(INDEX('債券'!$AF$5:$AF$404,MATCH(LARGE('債券'!$BD$5:$BD$404,$A20),'債券'!$BD$5:$BD$404,0))="","",INDEX('債券'!$AF$5:$AF$404,MATCH(LARGE('債券'!$BD$5:$BD$404,$A20),'債券'!$BD$5:$BD$404,0))))</f>
        <v/>
      </c>
      <c r="J20" s="25">
        <f>IF(ABS(LARGE('債券'!$BD$5:$BD$404,$A20))&gt;1E8,"",IF(INDEX('債券'!$AM$5:$AM$404,MATCH(LARGE('債券'!$BD$5:$BD$404,$A20),'債券'!$BD$5:$BD$404,0))="","",INDEX('債券'!$AM$5:$AM$404,MATCH(LARGE('債券'!$BD$5:$BD$404,$A20),'債券'!$BD$5:$BD$404,0))))</f>
        <v/>
      </c>
      <c r="K20" s="25">
        <f>IF(ABS(LARGE('債券'!$BD$5:$BD$404,$A20))&gt;1E8,"",IF(INDEX('債券'!$AO$5:$AO$404,MATCH(LARGE('債券'!$BD$5:$BD$404,$A20),'債券'!$BD$5:$BD$404,0))="","",INDEX('債券'!$AO$5:$AO$404,MATCH(LARGE('債券'!$BD$5:$BD$404,$A20),'債券'!$BD$5:$BD$404,0))))</f>
        <v/>
      </c>
      <c r="L20" s="25">
        <f>IF(ABS(LARGE('債券'!$BD$5:$BD$404,$A20))&gt;1E8,"",IF(INDEX('債券'!$AP$5:$AP$404,MATCH(LARGE('債券'!$BD$5:$BD$404,$A20),'債券'!$BD$5:$BD$404,0))="","",INDEX('債券'!$AP$5:$AP$404,MATCH(LARGE('債券'!$BD$5:$BD$404,$A20),'債券'!$BD$5:$BD$404,0))))</f>
        <v/>
      </c>
      <c r="M20" s="25">
        <f>IF(ABS(LARGE('債券'!$BD$5:$BD$404,$A20))&gt;1E8,"",IF(INDEX('債券'!$AQ$5:$AQ$404,MATCH(LARGE('債券'!$BD$5:$BD$404,$A20),'債券'!$BD$5:$BD$404,0))="","",INDEX('債券'!$AQ$5:$AQ$404,MATCH(LARGE('債券'!$BD$5:$BD$404,$A20),'債券'!$BD$5:$BD$404,0))))</f>
        <v/>
      </c>
      <c r="N20" s="38">
        <f>IF(ABS(LARGE('債券'!$BD$5:$BD$404,$A20))&gt;1E8,"",IF(INDEX('債券'!$AI$5:$AI$404,MATCH(LARGE('債券'!$BD$5:$BD$404,$A20),'債券'!$BD$5:$BD$404,0))="","",INDEX('債券'!$AI$5:$AI$404,MATCH(LARGE('債券'!$BD$5:$BD$404,$A20),'債券'!$BD$5:$BD$404,0))))</f>
        <v/>
      </c>
    </row>
    <row r="21">
      <c r="A21" s="8" t="n">
        <v>16</v>
      </c>
      <c r="B21" s="32">
        <f>IF(ABS(LARGE('債券'!$BD$5:$BD$404,$A21))&gt;1E8,"",IF(INDEX('債券'!$A$5:$A$404,MATCH(LARGE('債券'!$BD$5:$BD$404,$A21),'債券'!$BD$5:$BD$404,0))="","",INDEX('債券'!$A$5:$A$404,MATCH(LARGE('債券'!$BD$5:$BD$404,$A21),'債券'!$BD$5:$BD$404,0))))</f>
        <v/>
      </c>
      <c r="C21" s="32">
        <f>IF(ABS(LARGE('債券'!$BD$5:$BD$404,$A21))&gt;1E8,"",IF(INDEX('債券'!$C$5:$C$404,MATCH(LARGE('債券'!$BD$5:$BD$404,$A21),'債券'!$BD$5:$BD$404,0))="","",INDEX('債券'!$C$5:$C$404,MATCH(LARGE('債券'!$BD$5:$BD$404,$A21),'債券'!$BD$5:$BD$404,0))))</f>
        <v/>
      </c>
      <c r="D21" s="32">
        <f>IF(ABS(LARGE('債券'!$BD$5:$BD$404,$A21))&gt;1E8,"",IF(INDEX('債券'!$S$5:$S$404,MATCH(LARGE('債券'!$BD$5:$BD$404,$A21),'債券'!$BD$5:$BD$404,0))="","",INDEX('債券'!$S$5:$S$404,MATCH(LARGE('債券'!$BD$5:$BD$404,$A21),'債券'!$BD$5:$BD$404,0))))</f>
        <v/>
      </c>
      <c r="E21" s="32">
        <f>IF(ABS(LARGE('債券'!$BD$5:$BD$404,$A21))&gt;1E8,"",IF(INDEX('債券'!$G$5:$G$404,MATCH(LARGE('債券'!$BD$5:$BD$404,$A21),'債券'!$BD$5:$BD$404,0))="","",INDEX('債券'!$G$5:$G$404,MATCH(LARGE('債券'!$BD$5:$BD$404,$A21),'債券'!$BD$5:$BD$404,0))))</f>
        <v/>
      </c>
      <c r="F21" s="24">
        <f>IF(ABS(LARGE('債券'!$BD$5:$BD$404,$A21))&gt;1E8,"",IF(INDEX('債券'!$U$5:$U$404,MATCH(LARGE('債券'!$BD$5:$BD$404,$A21),'債券'!$BD$5:$BD$404,0))="","",INDEX('債券'!$U$5:$U$404,MATCH(LARGE('債券'!$BD$5:$BD$404,$A21),'債券'!$BD$5:$BD$404,0))))</f>
        <v/>
      </c>
      <c r="G21" s="22">
        <f>IF(ABS(LARGE('債券'!$BD$5:$BD$404,$A21))&gt;1E8,"",IF(INDEX('債券'!$N$5:$N$404,MATCH(LARGE('債券'!$BD$5:$BD$404,$A21),'債券'!$BD$5:$BD$404,0))="","",INDEX('債券'!$N$5:$N$404,MATCH(LARGE('債券'!$BD$5:$BD$404,$A21),'債券'!$BD$5:$BD$404,0))))</f>
        <v/>
      </c>
      <c r="H21" s="23">
        <f>IF(ABS(LARGE('債券'!$BD$5:$BD$404,$A21))&gt;1E8,"",IF(INDEX('債券'!$Z$5:$Z$404,MATCH(LARGE('債券'!$BD$5:$BD$404,$A21),'債券'!$BD$5:$BD$404,0))="","",INDEX('債券'!$Z$5:$Z$404,MATCH(LARGE('債券'!$BD$5:$BD$404,$A21),'債券'!$BD$5:$BD$404,0))))</f>
        <v/>
      </c>
      <c r="I21" s="25">
        <f>IF(ABS(LARGE('債券'!$BD$5:$BD$404,$A21))&gt;1E8,"",IF(INDEX('債券'!$AF$5:$AF$404,MATCH(LARGE('債券'!$BD$5:$BD$404,$A21),'債券'!$BD$5:$BD$404,0))="","",INDEX('債券'!$AF$5:$AF$404,MATCH(LARGE('債券'!$BD$5:$BD$404,$A21),'債券'!$BD$5:$BD$404,0))))</f>
        <v/>
      </c>
      <c r="J21" s="25">
        <f>IF(ABS(LARGE('債券'!$BD$5:$BD$404,$A21))&gt;1E8,"",IF(INDEX('債券'!$AM$5:$AM$404,MATCH(LARGE('債券'!$BD$5:$BD$404,$A21),'債券'!$BD$5:$BD$404,0))="","",INDEX('債券'!$AM$5:$AM$404,MATCH(LARGE('債券'!$BD$5:$BD$404,$A21),'債券'!$BD$5:$BD$404,0))))</f>
        <v/>
      </c>
      <c r="K21" s="25">
        <f>IF(ABS(LARGE('債券'!$BD$5:$BD$404,$A21))&gt;1E8,"",IF(INDEX('債券'!$AO$5:$AO$404,MATCH(LARGE('債券'!$BD$5:$BD$404,$A21),'債券'!$BD$5:$BD$404,0))="","",INDEX('債券'!$AO$5:$AO$404,MATCH(LARGE('債券'!$BD$5:$BD$404,$A21),'債券'!$BD$5:$BD$404,0))))</f>
        <v/>
      </c>
      <c r="L21" s="25">
        <f>IF(ABS(LARGE('債券'!$BD$5:$BD$404,$A21))&gt;1E8,"",IF(INDEX('債券'!$AP$5:$AP$404,MATCH(LARGE('債券'!$BD$5:$BD$404,$A21),'債券'!$BD$5:$BD$404,0))="","",INDEX('債券'!$AP$5:$AP$404,MATCH(LARGE('債券'!$BD$5:$BD$404,$A21),'債券'!$BD$5:$BD$404,0))))</f>
        <v/>
      </c>
      <c r="M21" s="25">
        <f>IF(ABS(LARGE('債券'!$BD$5:$BD$404,$A21))&gt;1E8,"",IF(INDEX('債券'!$AQ$5:$AQ$404,MATCH(LARGE('債券'!$BD$5:$BD$404,$A21),'債券'!$BD$5:$BD$404,0))="","",INDEX('債券'!$AQ$5:$AQ$404,MATCH(LARGE('債券'!$BD$5:$BD$404,$A21),'債券'!$BD$5:$BD$404,0))))</f>
        <v/>
      </c>
      <c r="N21" s="38">
        <f>IF(ABS(LARGE('債券'!$BD$5:$BD$404,$A21))&gt;1E8,"",IF(INDEX('債券'!$AI$5:$AI$404,MATCH(LARGE('債券'!$BD$5:$BD$404,$A21),'債券'!$BD$5:$BD$404,0))="","",INDEX('債券'!$AI$5:$AI$404,MATCH(LARGE('債券'!$BD$5:$BD$404,$A21),'債券'!$BD$5:$BD$404,0))))</f>
        <v/>
      </c>
    </row>
    <row r="22">
      <c r="A22" s="8" t="n">
        <v>17</v>
      </c>
      <c r="B22" s="32">
        <f>IF(ABS(LARGE('債券'!$BD$5:$BD$404,$A22))&gt;1E8,"",IF(INDEX('債券'!$A$5:$A$404,MATCH(LARGE('債券'!$BD$5:$BD$404,$A22),'債券'!$BD$5:$BD$404,0))="","",INDEX('債券'!$A$5:$A$404,MATCH(LARGE('債券'!$BD$5:$BD$404,$A22),'債券'!$BD$5:$BD$404,0))))</f>
        <v/>
      </c>
      <c r="C22" s="32">
        <f>IF(ABS(LARGE('債券'!$BD$5:$BD$404,$A22))&gt;1E8,"",IF(INDEX('債券'!$C$5:$C$404,MATCH(LARGE('債券'!$BD$5:$BD$404,$A22),'債券'!$BD$5:$BD$404,0))="","",INDEX('債券'!$C$5:$C$404,MATCH(LARGE('債券'!$BD$5:$BD$404,$A22),'債券'!$BD$5:$BD$404,0))))</f>
        <v/>
      </c>
      <c r="D22" s="32">
        <f>IF(ABS(LARGE('債券'!$BD$5:$BD$404,$A22))&gt;1E8,"",IF(INDEX('債券'!$S$5:$S$404,MATCH(LARGE('債券'!$BD$5:$BD$404,$A22),'債券'!$BD$5:$BD$404,0))="","",INDEX('債券'!$S$5:$S$404,MATCH(LARGE('債券'!$BD$5:$BD$404,$A22),'債券'!$BD$5:$BD$404,0))))</f>
        <v/>
      </c>
      <c r="E22" s="32">
        <f>IF(ABS(LARGE('債券'!$BD$5:$BD$404,$A22))&gt;1E8,"",IF(INDEX('債券'!$G$5:$G$404,MATCH(LARGE('債券'!$BD$5:$BD$404,$A22),'債券'!$BD$5:$BD$404,0))="","",INDEX('債券'!$G$5:$G$404,MATCH(LARGE('債券'!$BD$5:$BD$404,$A22),'債券'!$BD$5:$BD$404,0))))</f>
        <v/>
      </c>
      <c r="F22" s="24">
        <f>IF(ABS(LARGE('債券'!$BD$5:$BD$404,$A22))&gt;1E8,"",IF(INDEX('債券'!$U$5:$U$404,MATCH(LARGE('債券'!$BD$5:$BD$404,$A22),'債券'!$BD$5:$BD$404,0))="","",INDEX('債券'!$U$5:$U$404,MATCH(LARGE('債券'!$BD$5:$BD$404,$A22),'債券'!$BD$5:$BD$404,0))))</f>
        <v/>
      </c>
      <c r="G22" s="22">
        <f>IF(ABS(LARGE('債券'!$BD$5:$BD$404,$A22))&gt;1E8,"",IF(INDEX('債券'!$N$5:$N$404,MATCH(LARGE('債券'!$BD$5:$BD$404,$A22),'債券'!$BD$5:$BD$404,0))="","",INDEX('債券'!$N$5:$N$404,MATCH(LARGE('債券'!$BD$5:$BD$404,$A22),'債券'!$BD$5:$BD$404,0))))</f>
        <v/>
      </c>
      <c r="H22" s="23">
        <f>IF(ABS(LARGE('債券'!$BD$5:$BD$404,$A22))&gt;1E8,"",IF(INDEX('債券'!$Z$5:$Z$404,MATCH(LARGE('債券'!$BD$5:$BD$404,$A22),'債券'!$BD$5:$BD$404,0))="","",INDEX('債券'!$Z$5:$Z$404,MATCH(LARGE('債券'!$BD$5:$BD$404,$A22),'債券'!$BD$5:$BD$404,0))))</f>
        <v/>
      </c>
      <c r="I22" s="25">
        <f>IF(ABS(LARGE('債券'!$BD$5:$BD$404,$A22))&gt;1E8,"",IF(INDEX('債券'!$AF$5:$AF$404,MATCH(LARGE('債券'!$BD$5:$BD$404,$A22),'債券'!$BD$5:$BD$404,0))="","",INDEX('債券'!$AF$5:$AF$404,MATCH(LARGE('債券'!$BD$5:$BD$404,$A22),'債券'!$BD$5:$BD$404,0))))</f>
        <v/>
      </c>
      <c r="J22" s="25">
        <f>IF(ABS(LARGE('債券'!$BD$5:$BD$404,$A22))&gt;1E8,"",IF(INDEX('債券'!$AM$5:$AM$404,MATCH(LARGE('債券'!$BD$5:$BD$404,$A22),'債券'!$BD$5:$BD$404,0))="","",INDEX('債券'!$AM$5:$AM$404,MATCH(LARGE('債券'!$BD$5:$BD$404,$A22),'債券'!$BD$5:$BD$404,0))))</f>
        <v/>
      </c>
      <c r="K22" s="25">
        <f>IF(ABS(LARGE('債券'!$BD$5:$BD$404,$A22))&gt;1E8,"",IF(INDEX('債券'!$AO$5:$AO$404,MATCH(LARGE('債券'!$BD$5:$BD$404,$A22),'債券'!$BD$5:$BD$404,0))="","",INDEX('債券'!$AO$5:$AO$404,MATCH(LARGE('債券'!$BD$5:$BD$404,$A22),'債券'!$BD$5:$BD$404,0))))</f>
        <v/>
      </c>
      <c r="L22" s="25">
        <f>IF(ABS(LARGE('債券'!$BD$5:$BD$404,$A22))&gt;1E8,"",IF(INDEX('債券'!$AP$5:$AP$404,MATCH(LARGE('債券'!$BD$5:$BD$404,$A22),'債券'!$BD$5:$BD$404,0))="","",INDEX('債券'!$AP$5:$AP$404,MATCH(LARGE('債券'!$BD$5:$BD$404,$A22),'債券'!$BD$5:$BD$404,0))))</f>
        <v/>
      </c>
      <c r="M22" s="25">
        <f>IF(ABS(LARGE('債券'!$BD$5:$BD$404,$A22))&gt;1E8,"",IF(INDEX('債券'!$AQ$5:$AQ$404,MATCH(LARGE('債券'!$BD$5:$BD$404,$A22),'債券'!$BD$5:$BD$404,0))="","",INDEX('債券'!$AQ$5:$AQ$404,MATCH(LARGE('債券'!$BD$5:$BD$404,$A22),'債券'!$BD$5:$BD$404,0))))</f>
        <v/>
      </c>
      <c r="N22" s="38">
        <f>IF(ABS(LARGE('債券'!$BD$5:$BD$404,$A22))&gt;1E8,"",IF(INDEX('債券'!$AI$5:$AI$404,MATCH(LARGE('債券'!$BD$5:$BD$404,$A22),'債券'!$BD$5:$BD$404,0))="","",INDEX('債券'!$AI$5:$AI$404,MATCH(LARGE('債券'!$BD$5:$BD$404,$A22),'債券'!$BD$5:$BD$404,0))))</f>
        <v/>
      </c>
    </row>
    <row r="23">
      <c r="A23" s="8" t="n">
        <v>18</v>
      </c>
      <c r="B23" s="32">
        <f>IF(ABS(LARGE('債券'!$BD$5:$BD$404,$A23))&gt;1E8,"",IF(INDEX('債券'!$A$5:$A$404,MATCH(LARGE('債券'!$BD$5:$BD$404,$A23),'債券'!$BD$5:$BD$404,0))="","",INDEX('債券'!$A$5:$A$404,MATCH(LARGE('債券'!$BD$5:$BD$404,$A23),'債券'!$BD$5:$BD$404,0))))</f>
        <v/>
      </c>
      <c r="C23" s="32">
        <f>IF(ABS(LARGE('債券'!$BD$5:$BD$404,$A23))&gt;1E8,"",IF(INDEX('債券'!$C$5:$C$404,MATCH(LARGE('債券'!$BD$5:$BD$404,$A23),'債券'!$BD$5:$BD$404,0))="","",INDEX('債券'!$C$5:$C$404,MATCH(LARGE('債券'!$BD$5:$BD$404,$A23),'債券'!$BD$5:$BD$404,0))))</f>
        <v/>
      </c>
      <c r="D23" s="32">
        <f>IF(ABS(LARGE('債券'!$BD$5:$BD$404,$A23))&gt;1E8,"",IF(INDEX('債券'!$S$5:$S$404,MATCH(LARGE('債券'!$BD$5:$BD$404,$A23),'債券'!$BD$5:$BD$404,0))="","",INDEX('債券'!$S$5:$S$404,MATCH(LARGE('債券'!$BD$5:$BD$404,$A23),'債券'!$BD$5:$BD$404,0))))</f>
        <v/>
      </c>
      <c r="E23" s="32">
        <f>IF(ABS(LARGE('債券'!$BD$5:$BD$404,$A23))&gt;1E8,"",IF(INDEX('債券'!$G$5:$G$404,MATCH(LARGE('債券'!$BD$5:$BD$404,$A23),'債券'!$BD$5:$BD$404,0))="","",INDEX('債券'!$G$5:$G$404,MATCH(LARGE('債券'!$BD$5:$BD$404,$A23),'債券'!$BD$5:$BD$404,0))))</f>
        <v/>
      </c>
      <c r="F23" s="24">
        <f>IF(ABS(LARGE('債券'!$BD$5:$BD$404,$A23))&gt;1E8,"",IF(INDEX('債券'!$U$5:$U$404,MATCH(LARGE('債券'!$BD$5:$BD$404,$A23),'債券'!$BD$5:$BD$404,0))="","",INDEX('債券'!$U$5:$U$404,MATCH(LARGE('債券'!$BD$5:$BD$404,$A23),'債券'!$BD$5:$BD$404,0))))</f>
        <v/>
      </c>
      <c r="G23" s="22">
        <f>IF(ABS(LARGE('債券'!$BD$5:$BD$404,$A23))&gt;1E8,"",IF(INDEX('債券'!$N$5:$N$404,MATCH(LARGE('債券'!$BD$5:$BD$404,$A23),'債券'!$BD$5:$BD$404,0))="","",INDEX('債券'!$N$5:$N$404,MATCH(LARGE('債券'!$BD$5:$BD$404,$A23),'債券'!$BD$5:$BD$404,0))))</f>
        <v/>
      </c>
      <c r="H23" s="23">
        <f>IF(ABS(LARGE('債券'!$BD$5:$BD$404,$A23))&gt;1E8,"",IF(INDEX('債券'!$Z$5:$Z$404,MATCH(LARGE('債券'!$BD$5:$BD$404,$A23),'債券'!$BD$5:$BD$404,0))="","",INDEX('債券'!$Z$5:$Z$404,MATCH(LARGE('債券'!$BD$5:$BD$404,$A23),'債券'!$BD$5:$BD$404,0))))</f>
        <v/>
      </c>
      <c r="I23" s="25">
        <f>IF(ABS(LARGE('債券'!$BD$5:$BD$404,$A23))&gt;1E8,"",IF(INDEX('債券'!$AF$5:$AF$404,MATCH(LARGE('債券'!$BD$5:$BD$404,$A23),'債券'!$BD$5:$BD$404,0))="","",INDEX('債券'!$AF$5:$AF$404,MATCH(LARGE('債券'!$BD$5:$BD$404,$A23),'債券'!$BD$5:$BD$404,0))))</f>
        <v/>
      </c>
      <c r="J23" s="25">
        <f>IF(ABS(LARGE('債券'!$BD$5:$BD$404,$A23))&gt;1E8,"",IF(INDEX('債券'!$AM$5:$AM$404,MATCH(LARGE('債券'!$BD$5:$BD$404,$A23),'債券'!$BD$5:$BD$404,0))="","",INDEX('債券'!$AM$5:$AM$404,MATCH(LARGE('債券'!$BD$5:$BD$404,$A23),'債券'!$BD$5:$BD$404,0))))</f>
        <v/>
      </c>
      <c r="K23" s="25">
        <f>IF(ABS(LARGE('債券'!$BD$5:$BD$404,$A23))&gt;1E8,"",IF(INDEX('債券'!$AO$5:$AO$404,MATCH(LARGE('債券'!$BD$5:$BD$404,$A23),'債券'!$BD$5:$BD$404,0))="","",INDEX('債券'!$AO$5:$AO$404,MATCH(LARGE('債券'!$BD$5:$BD$404,$A23),'債券'!$BD$5:$BD$404,0))))</f>
        <v/>
      </c>
      <c r="L23" s="25">
        <f>IF(ABS(LARGE('債券'!$BD$5:$BD$404,$A23))&gt;1E8,"",IF(INDEX('債券'!$AP$5:$AP$404,MATCH(LARGE('債券'!$BD$5:$BD$404,$A23),'債券'!$BD$5:$BD$404,0))="","",INDEX('債券'!$AP$5:$AP$404,MATCH(LARGE('債券'!$BD$5:$BD$404,$A23),'債券'!$BD$5:$BD$404,0))))</f>
        <v/>
      </c>
      <c r="M23" s="25">
        <f>IF(ABS(LARGE('債券'!$BD$5:$BD$404,$A23))&gt;1E8,"",IF(INDEX('債券'!$AQ$5:$AQ$404,MATCH(LARGE('債券'!$BD$5:$BD$404,$A23),'債券'!$BD$5:$BD$404,0))="","",INDEX('債券'!$AQ$5:$AQ$404,MATCH(LARGE('債券'!$BD$5:$BD$404,$A23),'債券'!$BD$5:$BD$404,0))))</f>
        <v/>
      </c>
      <c r="N23" s="38">
        <f>IF(ABS(LARGE('債券'!$BD$5:$BD$404,$A23))&gt;1E8,"",IF(INDEX('債券'!$AI$5:$AI$404,MATCH(LARGE('債券'!$BD$5:$BD$404,$A23),'債券'!$BD$5:$BD$404,0))="","",INDEX('債券'!$AI$5:$AI$404,MATCH(LARGE('債券'!$BD$5:$BD$404,$A23),'債券'!$BD$5:$BD$404,0))))</f>
        <v/>
      </c>
    </row>
    <row r="24">
      <c r="A24" s="8" t="n">
        <v>19</v>
      </c>
      <c r="B24" s="32">
        <f>IF(ABS(LARGE('債券'!$BD$5:$BD$404,$A24))&gt;1E8,"",IF(INDEX('債券'!$A$5:$A$404,MATCH(LARGE('債券'!$BD$5:$BD$404,$A24),'債券'!$BD$5:$BD$404,0))="","",INDEX('債券'!$A$5:$A$404,MATCH(LARGE('債券'!$BD$5:$BD$404,$A24),'債券'!$BD$5:$BD$404,0))))</f>
        <v/>
      </c>
      <c r="C24" s="32">
        <f>IF(ABS(LARGE('債券'!$BD$5:$BD$404,$A24))&gt;1E8,"",IF(INDEX('債券'!$C$5:$C$404,MATCH(LARGE('債券'!$BD$5:$BD$404,$A24),'債券'!$BD$5:$BD$404,0))="","",INDEX('債券'!$C$5:$C$404,MATCH(LARGE('債券'!$BD$5:$BD$404,$A24),'債券'!$BD$5:$BD$404,0))))</f>
        <v/>
      </c>
      <c r="D24" s="32">
        <f>IF(ABS(LARGE('債券'!$BD$5:$BD$404,$A24))&gt;1E8,"",IF(INDEX('債券'!$S$5:$S$404,MATCH(LARGE('債券'!$BD$5:$BD$404,$A24),'債券'!$BD$5:$BD$404,0))="","",INDEX('債券'!$S$5:$S$404,MATCH(LARGE('債券'!$BD$5:$BD$404,$A24),'債券'!$BD$5:$BD$404,0))))</f>
        <v/>
      </c>
      <c r="E24" s="32">
        <f>IF(ABS(LARGE('債券'!$BD$5:$BD$404,$A24))&gt;1E8,"",IF(INDEX('債券'!$G$5:$G$404,MATCH(LARGE('債券'!$BD$5:$BD$404,$A24),'債券'!$BD$5:$BD$404,0))="","",INDEX('債券'!$G$5:$G$404,MATCH(LARGE('債券'!$BD$5:$BD$404,$A24),'債券'!$BD$5:$BD$404,0))))</f>
        <v/>
      </c>
      <c r="F24" s="24">
        <f>IF(ABS(LARGE('債券'!$BD$5:$BD$404,$A24))&gt;1E8,"",IF(INDEX('債券'!$U$5:$U$404,MATCH(LARGE('債券'!$BD$5:$BD$404,$A24),'債券'!$BD$5:$BD$404,0))="","",INDEX('債券'!$U$5:$U$404,MATCH(LARGE('債券'!$BD$5:$BD$404,$A24),'債券'!$BD$5:$BD$404,0))))</f>
        <v/>
      </c>
      <c r="G24" s="22">
        <f>IF(ABS(LARGE('債券'!$BD$5:$BD$404,$A24))&gt;1E8,"",IF(INDEX('債券'!$N$5:$N$404,MATCH(LARGE('債券'!$BD$5:$BD$404,$A24),'債券'!$BD$5:$BD$404,0))="","",INDEX('債券'!$N$5:$N$404,MATCH(LARGE('債券'!$BD$5:$BD$404,$A24),'債券'!$BD$5:$BD$404,0))))</f>
        <v/>
      </c>
      <c r="H24" s="23">
        <f>IF(ABS(LARGE('債券'!$BD$5:$BD$404,$A24))&gt;1E8,"",IF(INDEX('債券'!$Z$5:$Z$404,MATCH(LARGE('債券'!$BD$5:$BD$404,$A24),'債券'!$BD$5:$BD$404,0))="","",INDEX('債券'!$Z$5:$Z$404,MATCH(LARGE('債券'!$BD$5:$BD$404,$A24),'債券'!$BD$5:$BD$404,0))))</f>
        <v/>
      </c>
      <c r="I24" s="25">
        <f>IF(ABS(LARGE('債券'!$BD$5:$BD$404,$A24))&gt;1E8,"",IF(INDEX('債券'!$AF$5:$AF$404,MATCH(LARGE('債券'!$BD$5:$BD$404,$A24),'債券'!$BD$5:$BD$404,0))="","",INDEX('債券'!$AF$5:$AF$404,MATCH(LARGE('債券'!$BD$5:$BD$404,$A24),'債券'!$BD$5:$BD$404,0))))</f>
        <v/>
      </c>
      <c r="J24" s="25">
        <f>IF(ABS(LARGE('債券'!$BD$5:$BD$404,$A24))&gt;1E8,"",IF(INDEX('債券'!$AM$5:$AM$404,MATCH(LARGE('債券'!$BD$5:$BD$404,$A24),'債券'!$BD$5:$BD$404,0))="","",INDEX('債券'!$AM$5:$AM$404,MATCH(LARGE('債券'!$BD$5:$BD$404,$A24),'債券'!$BD$5:$BD$404,0))))</f>
        <v/>
      </c>
      <c r="K24" s="25">
        <f>IF(ABS(LARGE('債券'!$BD$5:$BD$404,$A24))&gt;1E8,"",IF(INDEX('債券'!$AO$5:$AO$404,MATCH(LARGE('債券'!$BD$5:$BD$404,$A24),'債券'!$BD$5:$BD$404,0))="","",INDEX('債券'!$AO$5:$AO$404,MATCH(LARGE('債券'!$BD$5:$BD$404,$A24),'債券'!$BD$5:$BD$404,0))))</f>
        <v/>
      </c>
      <c r="L24" s="25">
        <f>IF(ABS(LARGE('債券'!$BD$5:$BD$404,$A24))&gt;1E8,"",IF(INDEX('債券'!$AP$5:$AP$404,MATCH(LARGE('債券'!$BD$5:$BD$404,$A24),'債券'!$BD$5:$BD$404,0))="","",INDEX('債券'!$AP$5:$AP$404,MATCH(LARGE('債券'!$BD$5:$BD$404,$A24),'債券'!$BD$5:$BD$404,0))))</f>
        <v/>
      </c>
      <c r="M24" s="25">
        <f>IF(ABS(LARGE('債券'!$BD$5:$BD$404,$A24))&gt;1E8,"",IF(INDEX('債券'!$AQ$5:$AQ$404,MATCH(LARGE('債券'!$BD$5:$BD$404,$A24),'債券'!$BD$5:$BD$404,0))="","",INDEX('債券'!$AQ$5:$AQ$404,MATCH(LARGE('債券'!$BD$5:$BD$404,$A24),'債券'!$BD$5:$BD$404,0))))</f>
        <v/>
      </c>
      <c r="N24" s="38">
        <f>IF(ABS(LARGE('債券'!$BD$5:$BD$404,$A24))&gt;1E8,"",IF(INDEX('債券'!$AI$5:$AI$404,MATCH(LARGE('債券'!$BD$5:$BD$404,$A24),'債券'!$BD$5:$BD$404,0))="","",INDEX('債券'!$AI$5:$AI$404,MATCH(LARGE('債券'!$BD$5:$BD$404,$A24),'債券'!$BD$5:$BD$404,0))))</f>
        <v/>
      </c>
    </row>
    <row r="25">
      <c r="A25" s="8" t="n">
        <v>20</v>
      </c>
      <c r="B25" s="32">
        <f>IF(ABS(LARGE('債券'!$BD$5:$BD$404,$A25))&gt;1E8,"",IF(INDEX('債券'!$A$5:$A$404,MATCH(LARGE('債券'!$BD$5:$BD$404,$A25),'債券'!$BD$5:$BD$404,0))="","",INDEX('債券'!$A$5:$A$404,MATCH(LARGE('債券'!$BD$5:$BD$404,$A25),'債券'!$BD$5:$BD$404,0))))</f>
        <v/>
      </c>
      <c r="C25" s="32">
        <f>IF(ABS(LARGE('債券'!$BD$5:$BD$404,$A25))&gt;1E8,"",IF(INDEX('債券'!$C$5:$C$404,MATCH(LARGE('債券'!$BD$5:$BD$404,$A25),'債券'!$BD$5:$BD$404,0))="","",INDEX('債券'!$C$5:$C$404,MATCH(LARGE('債券'!$BD$5:$BD$404,$A25),'債券'!$BD$5:$BD$404,0))))</f>
        <v/>
      </c>
      <c r="D25" s="32">
        <f>IF(ABS(LARGE('債券'!$BD$5:$BD$404,$A25))&gt;1E8,"",IF(INDEX('債券'!$S$5:$S$404,MATCH(LARGE('債券'!$BD$5:$BD$404,$A25),'債券'!$BD$5:$BD$404,0))="","",INDEX('債券'!$S$5:$S$404,MATCH(LARGE('債券'!$BD$5:$BD$404,$A25),'債券'!$BD$5:$BD$404,0))))</f>
        <v/>
      </c>
      <c r="E25" s="32">
        <f>IF(ABS(LARGE('債券'!$BD$5:$BD$404,$A25))&gt;1E8,"",IF(INDEX('債券'!$G$5:$G$404,MATCH(LARGE('債券'!$BD$5:$BD$404,$A25),'債券'!$BD$5:$BD$404,0))="","",INDEX('債券'!$G$5:$G$404,MATCH(LARGE('債券'!$BD$5:$BD$404,$A25),'債券'!$BD$5:$BD$404,0))))</f>
        <v/>
      </c>
      <c r="F25" s="24">
        <f>IF(ABS(LARGE('債券'!$BD$5:$BD$404,$A25))&gt;1E8,"",IF(INDEX('債券'!$U$5:$U$404,MATCH(LARGE('債券'!$BD$5:$BD$404,$A25),'債券'!$BD$5:$BD$404,0))="","",INDEX('債券'!$U$5:$U$404,MATCH(LARGE('債券'!$BD$5:$BD$404,$A25),'債券'!$BD$5:$BD$404,0))))</f>
        <v/>
      </c>
      <c r="G25" s="22">
        <f>IF(ABS(LARGE('債券'!$BD$5:$BD$404,$A25))&gt;1E8,"",IF(INDEX('債券'!$N$5:$N$404,MATCH(LARGE('債券'!$BD$5:$BD$404,$A25),'債券'!$BD$5:$BD$404,0))="","",INDEX('債券'!$N$5:$N$404,MATCH(LARGE('債券'!$BD$5:$BD$404,$A25),'債券'!$BD$5:$BD$404,0))))</f>
        <v/>
      </c>
      <c r="H25" s="23">
        <f>IF(ABS(LARGE('債券'!$BD$5:$BD$404,$A25))&gt;1E8,"",IF(INDEX('債券'!$Z$5:$Z$404,MATCH(LARGE('債券'!$BD$5:$BD$404,$A25),'債券'!$BD$5:$BD$404,0))="","",INDEX('債券'!$Z$5:$Z$404,MATCH(LARGE('債券'!$BD$5:$BD$404,$A25),'債券'!$BD$5:$BD$404,0))))</f>
        <v/>
      </c>
      <c r="I25" s="25">
        <f>IF(ABS(LARGE('債券'!$BD$5:$BD$404,$A25))&gt;1E8,"",IF(INDEX('債券'!$AF$5:$AF$404,MATCH(LARGE('債券'!$BD$5:$BD$404,$A25),'債券'!$BD$5:$BD$404,0))="","",INDEX('債券'!$AF$5:$AF$404,MATCH(LARGE('債券'!$BD$5:$BD$404,$A25),'債券'!$BD$5:$BD$404,0))))</f>
        <v/>
      </c>
      <c r="J25" s="25">
        <f>IF(ABS(LARGE('債券'!$BD$5:$BD$404,$A25))&gt;1E8,"",IF(INDEX('債券'!$AM$5:$AM$404,MATCH(LARGE('債券'!$BD$5:$BD$404,$A25),'債券'!$BD$5:$BD$404,0))="","",INDEX('債券'!$AM$5:$AM$404,MATCH(LARGE('債券'!$BD$5:$BD$404,$A25),'債券'!$BD$5:$BD$404,0))))</f>
        <v/>
      </c>
      <c r="K25" s="25">
        <f>IF(ABS(LARGE('債券'!$BD$5:$BD$404,$A25))&gt;1E8,"",IF(INDEX('債券'!$AO$5:$AO$404,MATCH(LARGE('債券'!$BD$5:$BD$404,$A25),'債券'!$BD$5:$BD$404,0))="","",INDEX('債券'!$AO$5:$AO$404,MATCH(LARGE('債券'!$BD$5:$BD$404,$A25),'債券'!$BD$5:$BD$404,0))))</f>
        <v/>
      </c>
      <c r="L25" s="25">
        <f>IF(ABS(LARGE('債券'!$BD$5:$BD$404,$A25))&gt;1E8,"",IF(INDEX('債券'!$AP$5:$AP$404,MATCH(LARGE('債券'!$BD$5:$BD$404,$A25),'債券'!$BD$5:$BD$404,0))="","",INDEX('債券'!$AP$5:$AP$404,MATCH(LARGE('債券'!$BD$5:$BD$404,$A25),'債券'!$BD$5:$BD$404,0))))</f>
        <v/>
      </c>
      <c r="M25" s="25">
        <f>IF(ABS(LARGE('債券'!$BD$5:$BD$404,$A25))&gt;1E8,"",IF(INDEX('債券'!$AQ$5:$AQ$404,MATCH(LARGE('債券'!$BD$5:$BD$404,$A25),'債券'!$BD$5:$BD$404,0))="","",INDEX('債券'!$AQ$5:$AQ$404,MATCH(LARGE('債券'!$BD$5:$BD$404,$A25),'債券'!$BD$5:$BD$404,0))))</f>
        <v/>
      </c>
      <c r="N25" s="38">
        <f>IF(ABS(LARGE('債券'!$BD$5:$BD$404,$A25))&gt;1E8,"",IF(INDEX('債券'!$AI$5:$AI$404,MATCH(LARGE('債券'!$BD$5:$BD$404,$A25),'債券'!$BD$5:$BD$404,0))="","",INDEX('債券'!$AI$5:$AI$404,MATCH(LARGE('債券'!$BD$5:$BD$404,$A25),'債券'!$BD$5:$BD$404,0))))</f>
        <v/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3" t="inlineStr">
        <is>
          <t>偏貴／偏弱勢 前 20 名（減碼研究清單）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 ht="32" customHeight="1">
      <c r="A28" s="14" t="inlineStr">
        <is>
          <t>排名</t>
        </is>
      </c>
      <c r="B28" s="14" t="inlineStr">
        <is>
          <t>債券代碼</t>
        </is>
      </c>
      <c r="C28" s="14" t="inlineStr">
        <is>
          <t>債券簡稱</t>
        </is>
      </c>
      <c r="D28" s="14" t="inlineStr">
        <is>
          <t>分類</t>
        </is>
      </c>
      <c r="E28" s="14" t="inlineStr">
        <is>
          <t>評等</t>
        </is>
      </c>
      <c r="F28" s="14" t="inlineStr">
        <is>
          <t>剩餘年限</t>
        </is>
      </c>
      <c r="G28" s="14" t="inlineStr">
        <is>
          <t>OAS (bp)</t>
        </is>
      </c>
      <c r="H28" s="14" t="inlineStr">
        <is>
          <t>DTS</t>
        </is>
      </c>
      <c r="I28" s="14" t="inlineStr">
        <is>
          <t>Carry z</t>
        </is>
      </c>
      <c r="J28" s="14" t="inlineStr">
        <is>
          <t>Value z</t>
        </is>
      </c>
      <c r="K28" s="14" t="inlineStr">
        <is>
          <t>Momentum z</t>
        </is>
      </c>
      <c r="L28" s="14" t="inlineStr">
        <is>
          <t>股票動能 z</t>
        </is>
      </c>
      <c r="M28" s="14" t="inlineStr">
        <is>
          <t>綜合分數</t>
        </is>
      </c>
      <c r="N28" s="14" t="inlineStr">
        <is>
          <t>相對發行人
曲線 (bp)</t>
        </is>
      </c>
    </row>
    <row r="29">
      <c r="A29" s="8" t="n">
        <v>1</v>
      </c>
      <c r="B29" s="32">
        <f>IF(ABS(SMALL('債券'!$BE$5:$BE$404,$A29))&gt;1E8,"",IF(INDEX('債券'!$A$5:$A$404,MATCH(SMALL('債券'!$BE$5:$BE$404,$A29),'債券'!$BE$5:$BE$404,0))="","",INDEX('債券'!$A$5:$A$404,MATCH(SMALL('債券'!$BE$5:$BE$404,$A29),'債券'!$BE$5:$BE$404,0))))</f>
        <v/>
      </c>
      <c r="C29" s="32">
        <f>IF(ABS(SMALL('債券'!$BE$5:$BE$404,$A29))&gt;1E8,"",IF(INDEX('債券'!$C$5:$C$404,MATCH(SMALL('債券'!$BE$5:$BE$404,$A29),'債券'!$BE$5:$BE$404,0))="","",INDEX('債券'!$C$5:$C$404,MATCH(SMALL('債券'!$BE$5:$BE$404,$A29),'債券'!$BE$5:$BE$404,0))))</f>
        <v/>
      </c>
      <c r="D29" s="32">
        <f>IF(ABS(SMALL('債券'!$BE$5:$BE$404,$A29))&gt;1E8,"",IF(INDEX('債券'!$S$5:$S$404,MATCH(SMALL('債券'!$BE$5:$BE$404,$A29),'債券'!$BE$5:$BE$404,0))="","",INDEX('債券'!$S$5:$S$404,MATCH(SMALL('債券'!$BE$5:$BE$404,$A29),'債券'!$BE$5:$BE$404,0))))</f>
        <v/>
      </c>
      <c r="E29" s="32">
        <f>IF(ABS(SMALL('債券'!$BE$5:$BE$404,$A29))&gt;1E8,"",IF(INDEX('債券'!$G$5:$G$404,MATCH(SMALL('債券'!$BE$5:$BE$404,$A29),'債券'!$BE$5:$BE$404,0))="","",INDEX('債券'!$G$5:$G$404,MATCH(SMALL('債券'!$BE$5:$BE$404,$A29),'債券'!$BE$5:$BE$404,0))))</f>
        <v/>
      </c>
      <c r="F29" s="24">
        <f>IF(ABS(SMALL('債券'!$BE$5:$BE$404,$A29))&gt;1E8,"",IF(INDEX('債券'!$U$5:$U$404,MATCH(SMALL('債券'!$BE$5:$BE$404,$A29),'債券'!$BE$5:$BE$404,0))="","",INDEX('債券'!$U$5:$U$404,MATCH(SMALL('債券'!$BE$5:$BE$404,$A29),'債券'!$BE$5:$BE$404,0))))</f>
        <v/>
      </c>
      <c r="G29" s="22">
        <f>IF(ABS(SMALL('債券'!$BE$5:$BE$404,$A29))&gt;1E8,"",IF(INDEX('債券'!$N$5:$N$404,MATCH(SMALL('債券'!$BE$5:$BE$404,$A29),'債券'!$BE$5:$BE$404,0))="","",INDEX('債券'!$N$5:$N$404,MATCH(SMALL('債券'!$BE$5:$BE$404,$A29),'債券'!$BE$5:$BE$404,0))))</f>
        <v/>
      </c>
      <c r="H29" s="23">
        <f>IF(ABS(SMALL('債券'!$BE$5:$BE$404,$A29))&gt;1E8,"",IF(INDEX('債券'!$Z$5:$Z$404,MATCH(SMALL('債券'!$BE$5:$BE$404,$A29),'債券'!$BE$5:$BE$404,0))="","",INDEX('債券'!$Z$5:$Z$404,MATCH(SMALL('債券'!$BE$5:$BE$404,$A29),'債券'!$BE$5:$BE$404,0))))</f>
        <v/>
      </c>
      <c r="I29" s="25">
        <f>IF(ABS(SMALL('債券'!$BE$5:$BE$404,$A29))&gt;1E8,"",IF(INDEX('債券'!$AF$5:$AF$404,MATCH(SMALL('債券'!$BE$5:$BE$404,$A29),'債券'!$BE$5:$BE$404,0))="","",INDEX('債券'!$AF$5:$AF$404,MATCH(SMALL('債券'!$BE$5:$BE$404,$A29),'債券'!$BE$5:$BE$404,0))))</f>
        <v/>
      </c>
      <c r="J29" s="25">
        <f>IF(ABS(SMALL('債券'!$BE$5:$BE$404,$A29))&gt;1E8,"",IF(INDEX('債券'!$AM$5:$AM$404,MATCH(SMALL('債券'!$BE$5:$BE$404,$A29),'債券'!$BE$5:$BE$404,0))="","",INDEX('債券'!$AM$5:$AM$404,MATCH(SMALL('債券'!$BE$5:$BE$404,$A29),'債券'!$BE$5:$BE$404,0))))</f>
        <v/>
      </c>
      <c r="K29" s="25">
        <f>IF(ABS(SMALL('債券'!$BE$5:$BE$404,$A29))&gt;1E8,"",IF(INDEX('債券'!$AO$5:$AO$404,MATCH(SMALL('債券'!$BE$5:$BE$404,$A29),'債券'!$BE$5:$BE$404,0))="","",INDEX('債券'!$AO$5:$AO$404,MATCH(SMALL('債券'!$BE$5:$BE$404,$A29),'債券'!$BE$5:$BE$404,0))))</f>
        <v/>
      </c>
      <c r="L29" s="25">
        <f>IF(ABS(SMALL('債券'!$BE$5:$BE$404,$A29))&gt;1E8,"",IF(INDEX('債券'!$AP$5:$AP$404,MATCH(SMALL('債券'!$BE$5:$BE$404,$A29),'債券'!$BE$5:$BE$404,0))="","",INDEX('債券'!$AP$5:$AP$404,MATCH(SMALL('債券'!$BE$5:$BE$404,$A29),'債券'!$BE$5:$BE$404,0))))</f>
        <v/>
      </c>
      <c r="M29" s="25">
        <f>IF(ABS(SMALL('債券'!$BE$5:$BE$404,$A29))&gt;1E8,"",IF(INDEX('債券'!$AQ$5:$AQ$404,MATCH(SMALL('債券'!$BE$5:$BE$404,$A29),'債券'!$BE$5:$BE$404,0))="","",INDEX('債券'!$AQ$5:$AQ$404,MATCH(SMALL('債券'!$BE$5:$BE$404,$A29),'債券'!$BE$5:$BE$404,0))))</f>
        <v/>
      </c>
      <c r="N29" s="38">
        <f>IF(ABS(SMALL('債券'!$BE$5:$BE$404,$A29))&gt;1E8,"",IF(INDEX('債券'!$AI$5:$AI$404,MATCH(SMALL('債券'!$BE$5:$BE$404,$A29),'債券'!$BE$5:$BE$404,0))="","",INDEX('債券'!$AI$5:$AI$404,MATCH(SMALL('債券'!$BE$5:$BE$404,$A29),'債券'!$BE$5:$BE$404,0))))</f>
        <v/>
      </c>
    </row>
    <row r="30">
      <c r="A30" s="8" t="n">
        <v>2</v>
      </c>
      <c r="B30" s="32">
        <f>IF(ABS(SMALL('債券'!$BE$5:$BE$404,$A30))&gt;1E8,"",IF(INDEX('債券'!$A$5:$A$404,MATCH(SMALL('債券'!$BE$5:$BE$404,$A30),'債券'!$BE$5:$BE$404,0))="","",INDEX('債券'!$A$5:$A$404,MATCH(SMALL('債券'!$BE$5:$BE$404,$A30),'債券'!$BE$5:$BE$404,0))))</f>
        <v/>
      </c>
      <c r="C30" s="32">
        <f>IF(ABS(SMALL('債券'!$BE$5:$BE$404,$A30))&gt;1E8,"",IF(INDEX('債券'!$C$5:$C$404,MATCH(SMALL('債券'!$BE$5:$BE$404,$A30),'債券'!$BE$5:$BE$404,0))="","",INDEX('債券'!$C$5:$C$404,MATCH(SMALL('債券'!$BE$5:$BE$404,$A30),'債券'!$BE$5:$BE$404,0))))</f>
        <v/>
      </c>
      <c r="D30" s="32">
        <f>IF(ABS(SMALL('債券'!$BE$5:$BE$404,$A30))&gt;1E8,"",IF(INDEX('債券'!$S$5:$S$404,MATCH(SMALL('債券'!$BE$5:$BE$404,$A30),'債券'!$BE$5:$BE$404,0))="","",INDEX('債券'!$S$5:$S$404,MATCH(SMALL('債券'!$BE$5:$BE$404,$A30),'債券'!$BE$5:$BE$404,0))))</f>
        <v/>
      </c>
      <c r="E30" s="32">
        <f>IF(ABS(SMALL('債券'!$BE$5:$BE$404,$A30))&gt;1E8,"",IF(INDEX('債券'!$G$5:$G$404,MATCH(SMALL('債券'!$BE$5:$BE$404,$A30),'債券'!$BE$5:$BE$404,0))="","",INDEX('債券'!$G$5:$G$404,MATCH(SMALL('債券'!$BE$5:$BE$404,$A30),'債券'!$BE$5:$BE$404,0))))</f>
        <v/>
      </c>
      <c r="F30" s="24">
        <f>IF(ABS(SMALL('債券'!$BE$5:$BE$404,$A30))&gt;1E8,"",IF(INDEX('債券'!$U$5:$U$404,MATCH(SMALL('債券'!$BE$5:$BE$404,$A30),'債券'!$BE$5:$BE$404,0))="","",INDEX('債券'!$U$5:$U$404,MATCH(SMALL('債券'!$BE$5:$BE$404,$A30),'債券'!$BE$5:$BE$404,0))))</f>
        <v/>
      </c>
      <c r="G30" s="22">
        <f>IF(ABS(SMALL('債券'!$BE$5:$BE$404,$A30))&gt;1E8,"",IF(INDEX('債券'!$N$5:$N$404,MATCH(SMALL('債券'!$BE$5:$BE$404,$A30),'債券'!$BE$5:$BE$404,0))="","",INDEX('債券'!$N$5:$N$404,MATCH(SMALL('債券'!$BE$5:$BE$404,$A30),'債券'!$BE$5:$BE$404,0))))</f>
        <v/>
      </c>
      <c r="H30" s="23">
        <f>IF(ABS(SMALL('債券'!$BE$5:$BE$404,$A30))&gt;1E8,"",IF(INDEX('債券'!$Z$5:$Z$404,MATCH(SMALL('債券'!$BE$5:$BE$404,$A30),'債券'!$BE$5:$BE$404,0))="","",INDEX('債券'!$Z$5:$Z$404,MATCH(SMALL('債券'!$BE$5:$BE$404,$A30),'債券'!$BE$5:$BE$404,0))))</f>
        <v/>
      </c>
      <c r="I30" s="25">
        <f>IF(ABS(SMALL('債券'!$BE$5:$BE$404,$A30))&gt;1E8,"",IF(INDEX('債券'!$AF$5:$AF$404,MATCH(SMALL('債券'!$BE$5:$BE$404,$A30),'債券'!$BE$5:$BE$404,0))="","",INDEX('債券'!$AF$5:$AF$404,MATCH(SMALL('債券'!$BE$5:$BE$404,$A30),'債券'!$BE$5:$BE$404,0))))</f>
        <v/>
      </c>
      <c r="J30" s="25">
        <f>IF(ABS(SMALL('債券'!$BE$5:$BE$404,$A30))&gt;1E8,"",IF(INDEX('債券'!$AM$5:$AM$404,MATCH(SMALL('債券'!$BE$5:$BE$404,$A30),'債券'!$BE$5:$BE$404,0))="","",INDEX('債券'!$AM$5:$AM$404,MATCH(SMALL('債券'!$BE$5:$BE$404,$A30),'債券'!$BE$5:$BE$404,0))))</f>
        <v/>
      </c>
      <c r="K30" s="25">
        <f>IF(ABS(SMALL('債券'!$BE$5:$BE$404,$A30))&gt;1E8,"",IF(INDEX('債券'!$AO$5:$AO$404,MATCH(SMALL('債券'!$BE$5:$BE$404,$A30),'債券'!$BE$5:$BE$404,0))="","",INDEX('債券'!$AO$5:$AO$404,MATCH(SMALL('債券'!$BE$5:$BE$404,$A30),'債券'!$BE$5:$BE$404,0))))</f>
        <v/>
      </c>
      <c r="L30" s="25">
        <f>IF(ABS(SMALL('債券'!$BE$5:$BE$404,$A30))&gt;1E8,"",IF(INDEX('債券'!$AP$5:$AP$404,MATCH(SMALL('債券'!$BE$5:$BE$404,$A30),'債券'!$BE$5:$BE$404,0))="","",INDEX('債券'!$AP$5:$AP$404,MATCH(SMALL('債券'!$BE$5:$BE$404,$A30),'債券'!$BE$5:$BE$404,0))))</f>
        <v/>
      </c>
      <c r="M30" s="25">
        <f>IF(ABS(SMALL('債券'!$BE$5:$BE$404,$A30))&gt;1E8,"",IF(INDEX('債券'!$AQ$5:$AQ$404,MATCH(SMALL('債券'!$BE$5:$BE$404,$A30),'債券'!$BE$5:$BE$404,0))="","",INDEX('債券'!$AQ$5:$AQ$404,MATCH(SMALL('債券'!$BE$5:$BE$404,$A30),'債券'!$BE$5:$BE$404,0))))</f>
        <v/>
      </c>
      <c r="N30" s="38">
        <f>IF(ABS(SMALL('債券'!$BE$5:$BE$404,$A30))&gt;1E8,"",IF(INDEX('債券'!$AI$5:$AI$404,MATCH(SMALL('債券'!$BE$5:$BE$404,$A30),'債券'!$BE$5:$BE$404,0))="","",INDEX('債券'!$AI$5:$AI$404,MATCH(SMALL('債券'!$BE$5:$BE$404,$A30),'債券'!$BE$5:$BE$404,0))))</f>
        <v/>
      </c>
    </row>
    <row r="31">
      <c r="A31" s="8" t="n">
        <v>3</v>
      </c>
      <c r="B31" s="32">
        <f>IF(ABS(SMALL('債券'!$BE$5:$BE$404,$A31))&gt;1E8,"",IF(INDEX('債券'!$A$5:$A$404,MATCH(SMALL('債券'!$BE$5:$BE$404,$A31),'債券'!$BE$5:$BE$404,0))="","",INDEX('債券'!$A$5:$A$404,MATCH(SMALL('債券'!$BE$5:$BE$404,$A31),'債券'!$BE$5:$BE$404,0))))</f>
        <v/>
      </c>
      <c r="C31" s="32">
        <f>IF(ABS(SMALL('債券'!$BE$5:$BE$404,$A31))&gt;1E8,"",IF(INDEX('債券'!$C$5:$C$404,MATCH(SMALL('債券'!$BE$5:$BE$404,$A31),'債券'!$BE$5:$BE$404,0))="","",INDEX('債券'!$C$5:$C$404,MATCH(SMALL('債券'!$BE$5:$BE$404,$A31),'債券'!$BE$5:$BE$404,0))))</f>
        <v/>
      </c>
      <c r="D31" s="32">
        <f>IF(ABS(SMALL('債券'!$BE$5:$BE$404,$A31))&gt;1E8,"",IF(INDEX('債券'!$S$5:$S$404,MATCH(SMALL('債券'!$BE$5:$BE$404,$A31),'債券'!$BE$5:$BE$404,0))="","",INDEX('債券'!$S$5:$S$404,MATCH(SMALL('債券'!$BE$5:$BE$404,$A31),'債券'!$BE$5:$BE$404,0))))</f>
        <v/>
      </c>
      <c r="E31" s="32">
        <f>IF(ABS(SMALL('債券'!$BE$5:$BE$404,$A31))&gt;1E8,"",IF(INDEX('債券'!$G$5:$G$404,MATCH(SMALL('債券'!$BE$5:$BE$404,$A31),'債券'!$BE$5:$BE$404,0))="","",INDEX('債券'!$G$5:$G$404,MATCH(SMALL('債券'!$BE$5:$BE$404,$A31),'債券'!$BE$5:$BE$404,0))))</f>
        <v/>
      </c>
      <c r="F31" s="24">
        <f>IF(ABS(SMALL('債券'!$BE$5:$BE$404,$A31))&gt;1E8,"",IF(INDEX('債券'!$U$5:$U$404,MATCH(SMALL('債券'!$BE$5:$BE$404,$A31),'債券'!$BE$5:$BE$404,0))="","",INDEX('債券'!$U$5:$U$404,MATCH(SMALL('債券'!$BE$5:$BE$404,$A31),'債券'!$BE$5:$BE$404,0))))</f>
        <v/>
      </c>
      <c r="G31" s="22">
        <f>IF(ABS(SMALL('債券'!$BE$5:$BE$404,$A31))&gt;1E8,"",IF(INDEX('債券'!$N$5:$N$404,MATCH(SMALL('債券'!$BE$5:$BE$404,$A31),'債券'!$BE$5:$BE$404,0))="","",INDEX('債券'!$N$5:$N$404,MATCH(SMALL('債券'!$BE$5:$BE$404,$A31),'債券'!$BE$5:$BE$404,0))))</f>
        <v/>
      </c>
      <c r="H31" s="23">
        <f>IF(ABS(SMALL('債券'!$BE$5:$BE$404,$A31))&gt;1E8,"",IF(INDEX('債券'!$Z$5:$Z$404,MATCH(SMALL('債券'!$BE$5:$BE$404,$A31),'債券'!$BE$5:$BE$404,0))="","",INDEX('債券'!$Z$5:$Z$404,MATCH(SMALL('債券'!$BE$5:$BE$404,$A31),'債券'!$BE$5:$BE$404,0))))</f>
        <v/>
      </c>
      <c r="I31" s="25">
        <f>IF(ABS(SMALL('債券'!$BE$5:$BE$404,$A31))&gt;1E8,"",IF(INDEX('債券'!$AF$5:$AF$404,MATCH(SMALL('債券'!$BE$5:$BE$404,$A31),'債券'!$BE$5:$BE$404,0))="","",INDEX('債券'!$AF$5:$AF$404,MATCH(SMALL('債券'!$BE$5:$BE$404,$A31),'債券'!$BE$5:$BE$404,0))))</f>
        <v/>
      </c>
      <c r="J31" s="25">
        <f>IF(ABS(SMALL('債券'!$BE$5:$BE$404,$A31))&gt;1E8,"",IF(INDEX('債券'!$AM$5:$AM$404,MATCH(SMALL('債券'!$BE$5:$BE$404,$A31),'債券'!$BE$5:$BE$404,0))="","",INDEX('債券'!$AM$5:$AM$404,MATCH(SMALL('債券'!$BE$5:$BE$404,$A31),'債券'!$BE$5:$BE$404,0))))</f>
        <v/>
      </c>
      <c r="K31" s="25">
        <f>IF(ABS(SMALL('債券'!$BE$5:$BE$404,$A31))&gt;1E8,"",IF(INDEX('債券'!$AO$5:$AO$404,MATCH(SMALL('債券'!$BE$5:$BE$404,$A31),'債券'!$BE$5:$BE$404,0))="","",INDEX('債券'!$AO$5:$AO$404,MATCH(SMALL('債券'!$BE$5:$BE$404,$A31),'債券'!$BE$5:$BE$404,0))))</f>
        <v/>
      </c>
      <c r="L31" s="25">
        <f>IF(ABS(SMALL('債券'!$BE$5:$BE$404,$A31))&gt;1E8,"",IF(INDEX('債券'!$AP$5:$AP$404,MATCH(SMALL('債券'!$BE$5:$BE$404,$A31),'債券'!$BE$5:$BE$404,0))="","",INDEX('債券'!$AP$5:$AP$404,MATCH(SMALL('債券'!$BE$5:$BE$404,$A31),'債券'!$BE$5:$BE$404,0))))</f>
        <v/>
      </c>
      <c r="M31" s="25">
        <f>IF(ABS(SMALL('債券'!$BE$5:$BE$404,$A31))&gt;1E8,"",IF(INDEX('債券'!$AQ$5:$AQ$404,MATCH(SMALL('債券'!$BE$5:$BE$404,$A31),'債券'!$BE$5:$BE$404,0))="","",INDEX('債券'!$AQ$5:$AQ$404,MATCH(SMALL('債券'!$BE$5:$BE$404,$A31),'債券'!$BE$5:$BE$404,0))))</f>
        <v/>
      </c>
      <c r="N31" s="38">
        <f>IF(ABS(SMALL('債券'!$BE$5:$BE$404,$A31))&gt;1E8,"",IF(INDEX('債券'!$AI$5:$AI$404,MATCH(SMALL('債券'!$BE$5:$BE$404,$A31),'債券'!$BE$5:$BE$404,0))="","",INDEX('債券'!$AI$5:$AI$404,MATCH(SMALL('債券'!$BE$5:$BE$404,$A31),'債券'!$BE$5:$BE$404,0))))</f>
        <v/>
      </c>
    </row>
    <row r="32">
      <c r="A32" s="8" t="n">
        <v>4</v>
      </c>
      <c r="B32" s="32">
        <f>IF(ABS(SMALL('債券'!$BE$5:$BE$404,$A32))&gt;1E8,"",IF(INDEX('債券'!$A$5:$A$404,MATCH(SMALL('債券'!$BE$5:$BE$404,$A32),'債券'!$BE$5:$BE$404,0))="","",INDEX('債券'!$A$5:$A$404,MATCH(SMALL('債券'!$BE$5:$BE$404,$A32),'債券'!$BE$5:$BE$404,0))))</f>
        <v/>
      </c>
      <c r="C32" s="32">
        <f>IF(ABS(SMALL('債券'!$BE$5:$BE$404,$A32))&gt;1E8,"",IF(INDEX('債券'!$C$5:$C$404,MATCH(SMALL('債券'!$BE$5:$BE$404,$A32),'債券'!$BE$5:$BE$404,0))="","",INDEX('債券'!$C$5:$C$404,MATCH(SMALL('債券'!$BE$5:$BE$404,$A32),'債券'!$BE$5:$BE$404,0))))</f>
        <v/>
      </c>
      <c r="D32" s="32">
        <f>IF(ABS(SMALL('債券'!$BE$5:$BE$404,$A32))&gt;1E8,"",IF(INDEX('債券'!$S$5:$S$404,MATCH(SMALL('債券'!$BE$5:$BE$404,$A32),'債券'!$BE$5:$BE$404,0))="","",INDEX('債券'!$S$5:$S$404,MATCH(SMALL('債券'!$BE$5:$BE$404,$A32),'債券'!$BE$5:$BE$404,0))))</f>
        <v/>
      </c>
      <c r="E32" s="32">
        <f>IF(ABS(SMALL('債券'!$BE$5:$BE$404,$A32))&gt;1E8,"",IF(INDEX('債券'!$G$5:$G$404,MATCH(SMALL('債券'!$BE$5:$BE$404,$A32),'債券'!$BE$5:$BE$404,0))="","",INDEX('債券'!$G$5:$G$404,MATCH(SMALL('債券'!$BE$5:$BE$404,$A32),'債券'!$BE$5:$BE$404,0))))</f>
        <v/>
      </c>
      <c r="F32" s="24">
        <f>IF(ABS(SMALL('債券'!$BE$5:$BE$404,$A32))&gt;1E8,"",IF(INDEX('債券'!$U$5:$U$404,MATCH(SMALL('債券'!$BE$5:$BE$404,$A32),'債券'!$BE$5:$BE$404,0))="","",INDEX('債券'!$U$5:$U$404,MATCH(SMALL('債券'!$BE$5:$BE$404,$A32),'債券'!$BE$5:$BE$404,0))))</f>
        <v/>
      </c>
      <c r="G32" s="22">
        <f>IF(ABS(SMALL('債券'!$BE$5:$BE$404,$A32))&gt;1E8,"",IF(INDEX('債券'!$N$5:$N$404,MATCH(SMALL('債券'!$BE$5:$BE$404,$A32),'債券'!$BE$5:$BE$404,0))="","",INDEX('債券'!$N$5:$N$404,MATCH(SMALL('債券'!$BE$5:$BE$404,$A32),'債券'!$BE$5:$BE$404,0))))</f>
        <v/>
      </c>
      <c r="H32" s="23">
        <f>IF(ABS(SMALL('債券'!$BE$5:$BE$404,$A32))&gt;1E8,"",IF(INDEX('債券'!$Z$5:$Z$404,MATCH(SMALL('債券'!$BE$5:$BE$404,$A32),'債券'!$BE$5:$BE$404,0))="","",INDEX('債券'!$Z$5:$Z$404,MATCH(SMALL('債券'!$BE$5:$BE$404,$A32),'債券'!$BE$5:$BE$404,0))))</f>
        <v/>
      </c>
      <c r="I32" s="25">
        <f>IF(ABS(SMALL('債券'!$BE$5:$BE$404,$A32))&gt;1E8,"",IF(INDEX('債券'!$AF$5:$AF$404,MATCH(SMALL('債券'!$BE$5:$BE$404,$A32),'債券'!$BE$5:$BE$404,0))="","",INDEX('債券'!$AF$5:$AF$404,MATCH(SMALL('債券'!$BE$5:$BE$404,$A32),'債券'!$BE$5:$BE$404,0))))</f>
        <v/>
      </c>
      <c r="J32" s="25">
        <f>IF(ABS(SMALL('債券'!$BE$5:$BE$404,$A32))&gt;1E8,"",IF(INDEX('債券'!$AM$5:$AM$404,MATCH(SMALL('債券'!$BE$5:$BE$404,$A32),'債券'!$BE$5:$BE$404,0))="","",INDEX('債券'!$AM$5:$AM$404,MATCH(SMALL('債券'!$BE$5:$BE$404,$A32),'債券'!$BE$5:$BE$404,0))))</f>
        <v/>
      </c>
      <c r="K32" s="25">
        <f>IF(ABS(SMALL('債券'!$BE$5:$BE$404,$A32))&gt;1E8,"",IF(INDEX('債券'!$AO$5:$AO$404,MATCH(SMALL('債券'!$BE$5:$BE$404,$A32),'債券'!$BE$5:$BE$404,0))="","",INDEX('債券'!$AO$5:$AO$404,MATCH(SMALL('債券'!$BE$5:$BE$404,$A32),'債券'!$BE$5:$BE$404,0))))</f>
        <v/>
      </c>
      <c r="L32" s="25">
        <f>IF(ABS(SMALL('債券'!$BE$5:$BE$404,$A32))&gt;1E8,"",IF(INDEX('債券'!$AP$5:$AP$404,MATCH(SMALL('債券'!$BE$5:$BE$404,$A32),'債券'!$BE$5:$BE$404,0))="","",INDEX('債券'!$AP$5:$AP$404,MATCH(SMALL('債券'!$BE$5:$BE$404,$A32),'債券'!$BE$5:$BE$404,0))))</f>
        <v/>
      </c>
      <c r="M32" s="25">
        <f>IF(ABS(SMALL('債券'!$BE$5:$BE$404,$A32))&gt;1E8,"",IF(INDEX('債券'!$AQ$5:$AQ$404,MATCH(SMALL('債券'!$BE$5:$BE$404,$A32),'債券'!$BE$5:$BE$404,0))="","",INDEX('債券'!$AQ$5:$AQ$404,MATCH(SMALL('債券'!$BE$5:$BE$404,$A32),'債券'!$BE$5:$BE$404,0))))</f>
        <v/>
      </c>
      <c r="N32" s="38">
        <f>IF(ABS(SMALL('債券'!$BE$5:$BE$404,$A32))&gt;1E8,"",IF(INDEX('債券'!$AI$5:$AI$404,MATCH(SMALL('債券'!$BE$5:$BE$404,$A32),'債券'!$BE$5:$BE$404,0))="","",INDEX('債券'!$AI$5:$AI$404,MATCH(SMALL('債券'!$BE$5:$BE$404,$A32),'債券'!$BE$5:$BE$404,0))))</f>
        <v/>
      </c>
    </row>
    <row r="33">
      <c r="A33" s="8" t="n">
        <v>5</v>
      </c>
      <c r="B33" s="32">
        <f>IF(ABS(SMALL('債券'!$BE$5:$BE$404,$A33))&gt;1E8,"",IF(INDEX('債券'!$A$5:$A$404,MATCH(SMALL('債券'!$BE$5:$BE$404,$A33),'債券'!$BE$5:$BE$404,0))="","",INDEX('債券'!$A$5:$A$404,MATCH(SMALL('債券'!$BE$5:$BE$404,$A33),'債券'!$BE$5:$BE$404,0))))</f>
        <v/>
      </c>
      <c r="C33" s="32">
        <f>IF(ABS(SMALL('債券'!$BE$5:$BE$404,$A33))&gt;1E8,"",IF(INDEX('債券'!$C$5:$C$404,MATCH(SMALL('債券'!$BE$5:$BE$404,$A33),'債券'!$BE$5:$BE$404,0))="","",INDEX('債券'!$C$5:$C$404,MATCH(SMALL('債券'!$BE$5:$BE$404,$A33),'債券'!$BE$5:$BE$404,0))))</f>
        <v/>
      </c>
      <c r="D33" s="32">
        <f>IF(ABS(SMALL('債券'!$BE$5:$BE$404,$A33))&gt;1E8,"",IF(INDEX('債券'!$S$5:$S$404,MATCH(SMALL('債券'!$BE$5:$BE$404,$A33),'債券'!$BE$5:$BE$404,0))="","",INDEX('債券'!$S$5:$S$404,MATCH(SMALL('債券'!$BE$5:$BE$404,$A33),'債券'!$BE$5:$BE$404,0))))</f>
        <v/>
      </c>
      <c r="E33" s="32">
        <f>IF(ABS(SMALL('債券'!$BE$5:$BE$404,$A33))&gt;1E8,"",IF(INDEX('債券'!$G$5:$G$404,MATCH(SMALL('債券'!$BE$5:$BE$404,$A33),'債券'!$BE$5:$BE$404,0))="","",INDEX('債券'!$G$5:$G$404,MATCH(SMALL('債券'!$BE$5:$BE$404,$A33),'債券'!$BE$5:$BE$404,0))))</f>
        <v/>
      </c>
      <c r="F33" s="24">
        <f>IF(ABS(SMALL('債券'!$BE$5:$BE$404,$A33))&gt;1E8,"",IF(INDEX('債券'!$U$5:$U$404,MATCH(SMALL('債券'!$BE$5:$BE$404,$A33),'債券'!$BE$5:$BE$404,0))="","",INDEX('債券'!$U$5:$U$404,MATCH(SMALL('債券'!$BE$5:$BE$404,$A33),'債券'!$BE$5:$BE$404,0))))</f>
        <v/>
      </c>
      <c r="G33" s="22">
        <f>IF(ABS(SMALL('債券'!$BE$5:$BE$404,$A33))&gt;1E8,"",IF(INDEX('債券'!$N$5:$N$404,MATCH(SMALL('債券'!$BE$5:$BE$404,$A33),'債券'!$BE$5:$BE$404,0))="","",INDEX('債券'!$N$5:$N$404,MATCH(SMALL('債券'!$BE$5:$BE$404,$A33),'債券'!$BE$5:$BE$404,0))))</f>
        <v/>
      </c>
      <c r="H33" s="23">
        <f>IF(ABS(SMALL('債券'!$BE$5:$BE$404,$A33))&gt;1E8,"",IF(INDEX('債券'!$Z$5:$Z$404,MATCH(SMALL('債券'!$BE$5:$BE$404,$A33),'債券'!$BE$5:$BE$404,0))="","",INDEX('債券'!$Z$5:$Z$404,MATCH(SMALL('債券'!$BE$5:$BE$404,$A33),'債券'!$BE$5:$BE$404,0))))</f>
        <v/>
      </c>
      <c r="I33" s="25">
        <f>IF(ABS(SMALL('債券'!$BE$5:$BE$404,$A33))&gt;1E8,"",IF(INDEX('債券'!$AF$5:$AF$404,MATCH(SMALL('債券'!$BE$5:$BE$404,$A33),'債券'!$BE$5:$BE$404,0))="","",INDEX('債券'!$AF$5:$AF$404,MATCH(SMALL('債券'!$BE$5:$BE$404,$A33),'債券'!$BE$5:$BE$404,0))))</f>
        <v/>
      </c>
      <c r="J33" s="25">
        <f>IF(ABS(SMALL('債券'!$BE$5:$BE$404,$A33))&gt;1E8,"",IF(INDEX('債券'!$AM$5:$AM$404,MATCH(SMALL('債券'!$BE$5:$BE$404,$A33),'債券'!$BE$5:$BE$404,0))="","",INDEX('債券'!$AM$5:$AM$404,MATCH(SMALL('債券'!$BE$5:$BE$404,$A33),'債券'!$BE$5:$BE$404,0))))</f>
        <v/>
      </c>
      <c r="K33" s="25">
        <f>IF(ABS(SMALL('債券'!$BE$5:$BE$404,$A33))&gt;1E8,"",IF(INDEX('債券'!$AO$5:$AO$404,MATCH(SMALL('債券'!$BE$5:$BE$404,$A33),'債券'!$BE$5:$BE$404,0))="","",INDEX('債券'!$AO$5:$AO$404,MATCH(SMALL('債券'!$BE$5:$BE$404,$A33),'債券'!$BE$5:$BE$404,0))))</f>
        <v/>
      </c>
      <c r="L33" s="25">
        <f>IF(ABS(SMALL('債券'!$BE$5:$BE$404,$A33))&gt;1E8,"",IF(INDEX('債券'!$AP$5:$AP$404,MATCH(SMALL('債券'!$BE$5:$BE$404,$A33),'債券'!$BE$5:$BE$404,0))="","",INDEX('債券'!$AP$5:$AP$404,MATCH(SMALL('債券'!$BE$5:$BE$404,$A33),'債券'!$BE$5:$BE$404,0))))</f>
        <v/>
      </c>
      <c r="M33" s="25">
        <f>IF(ABS(SMALL('債券'!$BE$5:$BE$404,$A33))&gt;1E8,"",IF(INDEX('債券'!$AQ$5:$AQ$404,MATCH(SMALL('債券'!$BE$5:$BE$404,$A33),'債券'!$BE$5:$BE$404,0))="","",INDEX('債券'!$AQ$5:$AQ$404,MATCH(SMALL('債券'!$BE$5:$BE$404,$A33),'債券'!$BE$5:$BE$404,0))))</f>
        <v/>
      </c>
      <c r="N33" s="38">
        <f>IF(ABS(SMALL('債券'!$BE$5:$BE$404,$A33))&gt;1E8,"",IF(INDEX('債券'!$AI$5:$AI$404,MATCH(SMALL('債券'!$BE$5:$BE$404,$A33),'債券'!$BE$5:$BE$404,0))="","",INDEX('債券'!$AI$5:$AI$404,MATCH(SMALL('債券'!$BE$5:$BE$404,$A33),'債券'!$BE$5:$BE$404,0))))</f>
        <v/>
      </c>
    </row>
    <row r="34">
      <c r="A34" s="8" t="n">
        <v>6</v>
      </c>
      <c r="B34" s="32">
        <f>IF(ABS(SMALL('債券'!$BE$5:$BE$404,$A34))&gt;1E8,"",IF(INDEX('債券'!$A$5:$A$404,MATCH(SMALL('債券'!$BE$5:$BE$404,$A34),'債券'!$BE$5:$BE$404,0))="","",INDEX('債券'!$A$5:$A$404,MATCH(SMALL('債券'!$BE$5:$BE$404,$A34),'債券'!$BE$5:$BE$404,0))))</f>
        <v/>
      </c>
      <c r="C34" s="32">
        <f>IF(ABS(SMALL('債券'!$BE$5:$BE$404,$A34))&gt;1E8,"",IF(INDEX('債券'!$C$5:$C$404,MATCH(SMALL('債券'!$BE$5:$BE$404,$A34),'債券'!$BE$5:$BE$404,0))="","",INDEX('債券'!$C$5:$C$404,MATCH(SMALL('債券'!$BE$5:$BE$404,$A34),'債券'!$BE$5:$BE$404,0))))</f>
        <v/>
      </c>
      <c r="D34" s="32">
        <f>IF(ABS(SMALL('債券'!$BE$5:$BE$404,$A34))&gt;1E8,"",IF(INDEX('債券'!$S$5:$S$404,MATCH(SMALL('債券'!$BE$5:$BE$404,$A34),'債券'!$BE$5:$BE$404,0))="","",INDEX('債券'!$S$5:$S$404,MATCH(SMALL('債券'!$BE$5:$BE$404,$A34),'債券'!$BE$5:$BE$404,0))))</f>
        <v/>
      </c>
      <c r="E34" s="32">
        <f>IF(ABS(SMALL('債券'!$BE$5:$BE$404,$A34))&gt;1E8,"",IF(INDEX('債券'!$G$5:$G$404,MATCH(SMALL('債券'!$BE$5:$BE$404,$A34),'債券'!$BE$5:$BE$404,0))="","",INDEX('債券'!$G$5:$G$404,MATCH(SMALL('債券'!$BE$5:$BE$404,$A34),'債券'!$BE$5:$BE$404,0))))</f>
        <v/>
      </c>
      <c r="F34" s="24">
        <f>IF(ABS(SMALL('債券'!$BE$5:$BE$404,$A34))&gt;1E8,"",IF(INDEX('債券'!$U$5:$U$404,MATCH(SMALL('債券'!$BE$5:$BE$404,$A34),'債券'!$BE$5:$BE$404,0))="","",INDEX('債券'!$U$5:$U$404,MATCH(SMALL('債券'!$BE$5:$BE$404,$A34),'債券'!$BE$5:$BE$404,0))))</f>
        <v/>
      </c>
      <c r="G34" s="22">
        <f>IF(ABS(SMALL('債券'!$BE$5:$BE$404,$A34))&gt;1E8,"",IF(INDEX('債券'!$N$5:$N$404,MATCH(SMALL('債券'!$BE$5:$BE$404,$A34),'債券'!$BE$5:$BE$404,0))="","",INDEX('債券'!$N$5:$N$404,MATCH(SMALL('債券'!$BE$5:$BE$404,$A34),'債券'!$BE$5:$BE$404,0))))</f>
        <v/>
      </c>
      <c r="H34" s="23">
        <f>IF(ABS(SMALL('債券'!$BE$5:$BE$404,$A34))&gt;1E8,"",IF(INDEX('債券'!$Z$5:$Z$404,MATCH(SMALL('債券'!$BE$5:$BE$404,$A34),'債券'!$BE$5:$BE$404,0))="","",INDEX('債券'!$Z$5:$Z$404,MATCH(SMALL('債券'!$BE$5:$BE$404,$A34),'債券'!$BE$5:$BE$404,0))))</f>
        <v/>
      </c>
      <c r="I34" s="25">
        <f>IF(ABS(SMALL('債券'!$BE$5:$BE$404,$A34))&gt;1E8,"",IF(INDEX('債券'!$AF$5:$AF$404,MATCH(SMALL('債券'!$BE$5:$BE$404,$A34),'債券'!$BE$5:$BE$404,0))="","",INDEX('債券'!$AF$5:$AF$404,MATCH(SMALL('債券'!$BE$5:$BE$404,$A34),'債券'!$BE$5:$BE$404,0))))</f>
        <v/>
      </c>
      <c r="J34" s="25">
        <f>IF(ABS(SMALL('債券'!$BE$5:$BE$404,$A34))&gt;1E8,"",IF(INDEX('債券'!$AM$5:$AM$404,MATCH(SMALL('債券'!$BE$5:$BE$404,$A34),'債券'!$BE$5:$BE$404,0))="","",INDEX('債券'!$AM$5:$AM$404,MATCH(SMALL('債券'!$BE$5:$BE$404,$A34),'債券'!$BE$5:$BE$404,0))))</f>
        <v/>
      </c>
      <c r="K34" s="25">
        <f>IF(ABS(SMALL('債券'!$BE$5:$BE$404,$A34))&gt;1E8,"",IF(INDEX('債券'!$AO$5:$AO$404,MATCH(SMALL('債券'!$BE$5:$BE$404,$A34),'債券'!$BE$5:$BE$404,0))="","",INDEX('債券'!$AO$5:$AO$404,MATCH(SMALL('債券'!$BE$5:$BE$404,$A34),'債券'!$BE$5:$BE$404,0))))</f>
        <v/>
      </c>
      <c r="L34" s="25">
        <f>IF(ABS(SMALL('債券'!$BE$5:$BE$404,$A34))&gt;1E8,"",IF(INDEX('債券'!$AP$5:$AP$404,MATCH(SMALL('債券'!$BE$5:$BE$404,$A34),'債券'!$BE$5:$BE$404,0))="","",INDEX('債券'!$AP$5:$AP$404,MATCH(SMALL('債券'!$BE$5:$BE$404,$A34),'債券'!$BE$5:$BE$404,0))))</f>
        <v/>
      </c>
      <c r="M34" s="25">
        <f>IF(ABS(SMALL('債券'!$BE$5:$BE$404,$A34))&gt;1E8,"",IF(INDEX('債券'!$AQ$5:$AQ$404,MATCH(SMALL('債券'!$BE$5:$BE$404,$A34),'債券'!$BE$5:$BE$404,0))="","",INDEX('債券'!$AQ$5:$AQ$404,MATCH(SMALL('債券'!$BE$5:$BE$404,$A34),'債券'!$BE$5:$BE$404,0))))</f>
        <v/>
      </c>
      <c r="N34" s="38">
        <f>IF(ABS(SMALL('債券'!$BE$5:$BE$404,$A34))&gt;1E8,"",IF(INDEX('債券'!$AI$5:$AI$404,MATCH(SMALL('債券'!$BE$5:$BE$404,$A34),'債券'!$BE$5:$BE$404,0))="","",INDEX('債券'!$AI$5:$AI$404,MATCH(SMALL('債券'!$BE$5:$BE$404,$A34),'債券'!$BE$5:$BE$404,0))))</f>
        <v/>
      </c>
    </row>
    <row r="35">
      <c r="A35" s="8" t="n">
        <v>7</v>
      </c>
      <c r="B35" s="32">
        <f>IF(ABS(SMALL('債券'!$BE$5:$BE$404,$A35))&gt;1E8,"",IF(INDEX('債券'!$A$5:$A$404,MATCH(SMALL('債券'!$BE$5:$BE$404,$A35),'債券'!$BE$5:$BE$404,0))="","",INDEX('債券'!$A$5:$A$404,MATCH(SMALL('債券'!$BE$5:$BE$404,$A35),'債券'!$BE$5:$BE$404,0))))</f>
        <v/>
      </c>
      <c r="C35" s="32">
        <f>IF(ABS(SMALL('債券'!$BE$5:$BE$404,$A35))&gt;1E8,"",IF(INDEX('債券'!$C$5:$C$404,MATCH(SMALL('債券'!$BE$5:$BE$404,$A35),'債券'!$BE$5:$BE$404,0))="","",INDEX('債券'!$C$5:$C$404,MATCH(SMALL('債券'!$BE$5:$BE$404,$A35),'債券'!$BE$5:$BE$404,0))))</f>
        <v/>
      </c>
      <c r="D35" s="32">
        <f>IF(ABS(SMALL('債券'!$BE$5:$BE$404,$A35))&gt;1E8,"",IF(INDEX('債券'!$S$5:$S$404,MATCH(SMALL('債券'!$BE$5:$BE$404,$A35),'債券'!$BE$5:$BE$404,0))="","",INDEX('債券'!$S$5:$S$404,MATCH(SMALL('債券'!$BE$5:$BE$404,$A35),'債券'!$BE$5:$BE$404,0))))</f>
        <v/>
      </c>
      <c r="E35" s="32">
        <f>IF(ABS(SMALL('債券'!$BE$5:$BE$404,$A35))&gt;1E8,"",IF(INDEX('債券'!$G$5:$G$404,MATCH(SMALL('債券'!$BE$5:$BE$404,$A35),'債券'!$BE$5:$BE$404,0))="","",INDEX('債券'!$G$5:$G$404,MATCH(SMALL('債券'!$BE$5:$BE$404,$A35),'債券'!$BE$5:$BE$404,0))))</f>
        <v/>
      </c>
      <c r="F35" s="24">
        <f>IF(ABS(SMALL('債券'!$BE$5:$BE$404,$A35))&gt;1E8,"",IF(INDEX('債券'!$U$5:$U$404,MATCH(SMALL('債券'!$BE$5:$BE$404,$A35),'債券'!$BE$5:$BE$404,0))="","",INDEX('債券'!$U$5:$U$404,MATCH(SMALL('債券'!$BE$5:$BE$404,$A35),'債券'!$BE$5:$BE$404,0))))</f>
        <v/>
      </c>
      <c r="G35" s="22">
        <f>IF(ABS(SMALL('債券'!$BE$5:$BE$404,$A35))&gt;1E8,"",IF(INDEX('債券'!$N$5:$N$404,MATCH(SMALL('債券'!$BE$5:$BE$404,$A35),'債券'!$BE$5:$BE$404,0))="","",INDEX('債券'!$N$5:$N$404,MATCH(SMALL('債券'!$BE$5:$BE$404,$A35),'債券'!$BE$5:$BE$404,0))))</f>
        <v/>
      </c>
      <c r="H35" s="23">
        <f>IF(ABS(SMALL('債券'!$BE$5:$BE$404,$A35))&gt;1E8,"",IF(INDEX('債券'!$Z$5:$Z$404,MATCH(SMALL('債券'!$BE$5:$BE$404,$A35),'債券'!$BE$5:$BE$404,0))="","",INDEX('債券'!$Z$5:$Z$404,MATCH(SMALL('債券'!$BE$5:$BE$404,$A35),'債券'!$BE$5:$BE$404,0))))</f>
        <v/>
      </c>
      <c r="I35" s="25">
        <f>IF(ABS(SMALL('債券'!$BE$5:$BE$404,$A35))&gt;1E8,"",IF(INDEX('債券'!$AF$5:$AF$404,MATCH(SMALL('債券'!$BE$5:$BE$404,$A35),'債券'!$BE$5:$BE$404,0))="","",INDEX('債券'!$AF$5:$AF$404,MATCH(SMALL('債券'!$BE$5:$BE$404,$A35),'債券'!$BE$5:$BE$404,0))))</f>
        <v/>
      </c>
      <c r="J35" s="25">
        <f>IF(ABS(SMALL('債券'!$BE$5:$BE$404,$A35))&gt;1E8,"",IF(INDEX('債券'!$AM$5:$AM$404,MATCH(SMALL('債券'!$BE$5:$BE$404,$A35),'債券'!$BE$5:$BE$404,0))="","",INDEX('債券'!$AM$5:$AM$404,MATCH(SMALL('債券'!$BE$5:$BE$404,$A35),'債券'!$BE$5:$BE$404,0))))</f>
        <v/>
      </c>
      <c r="K35" s="25">
        <f>IF(ABS(SMALL('債券'!$BE$5:$BE$404,$A35))&gt;1E8,"",IF(INDEX('債券'!$AO$5:$AO$404,MATCH(SMALL('債券'!$BE$5:$BE$404,$A35),'債券'!$BE$5:$BE$404,0))="","",INDEX('債券'!$AO$5:$AO$404,MATCH(SMALL('債券'!$BE$5:$BE$404,$A35),'債券'!$BE$5:$BE$404,0))))</f>
        <v/>
      </c>
      <c r="L35" s="25">
        <f>IF(ABS(SMALL('債券'!$BE$5:$BE$404,$A35))&gt;1E8,"",IF(INDEX('債券'!$AP$5:$AP$404,MATCH(SMALL('債券'!$BE$5:$BE$404,$A35),'債券'!$BE$5:$BE$404,0))="","",INDEX('債券'!$AP$5:$AP$404,MATCH(SMALL('債券'!$BE$5:$BE$404,$A35),'債券'!$BE$5:$BE$404,0))))</f>
        <v/>
      </c>
      <c r="M35" s="25">
        <f>IF(ABS(SMALL('債券'!$BE$5:$BE$404,$A35))&gt;1E8,"",IF(INDEX('債券'!$AQ$5:$AQ$404,MATCH(SMALL('債券'!$BE$5:$BE$404,$A35),'債券'!$BE$5:$BE$404,0))="","",INDEX('債券'!$AQ$5:$AQ$404,MATCH(SMALL('債券'!$BE$5:$BE$404,$A35),'債券'!$BE$5:$BE$404,0))))</f>
        <v/>
      </c>
      <c r="N35" s="38">
        <f>IF(ABS(SMALL('債券'!$BE$5:$BE$404,$A35))&gt;1E8,"",IF(INDEX('債券'!$AI$5:$AI$404,MATCH(SMALL('債券'!$BE$5:$BE$404,$A35),'債券'!$BE$5:$BE$404,0))="","",INDEX('債券'!$AI$5:$AI$404,MATCH(SMALL('債券'!$BE$5:$BE$404,$A35),'債券'!$BE$5:$BE$404,0))))</f>
        <v/>
      </c>
    </row>
    <row r="36">
      <c r="A36" s="8" t="n">
        <v>8</v>
      </c>
      <c r="B36" s="32">
        <f>IF(ABS(SMALL('債券'!$BE$5:$BE$404,$A36))&gt;1E8,"",IF(INDEX('債券'!$A$5:$A$404,MATCH(SMALL('債券'!$BE$5:$BE$404,$A36),'債券'!$BE$5:$BE$404,0))="","",INDEX('債券'!$A$5:$A$404,MATCH(SMALL('債券'!$BE$5:$BE$404,$A36),'債券'!$BE$5:$BE$404,0))))</f>
        <v/>
      </c>
      <c r="C36" s="32">
        <f>IF(ABS(SMALL('債券'!$BE$5:$BE$404,$A36))&gt;1E8,"",IF(INDEX('債券'!$C$5:$C$404,MATCH(SMALL('債券'!$BE$5:$BE$404,$A36),'債券'!$BE$5:$BE$404,0))="","",INDEX('債券'!$C$5:$C$404,MATCH(SMALL('債券'!$BE$5:$BE$404,$A36),'債券'!$BE$5:$BE$404,0))))</f>
        <v/>
      </c>
      <c r="D36" s="32">
        <f>IF(ABS(SMALL('債券'!$BE$5:$BE$404,$A36))&gt;1E8,"",IF(INDEX('債券'!$S$5:$S$404,MATCH(SMALL('債券'!$BE$5:$BE$404,$A36),'債券'!$BE$5:$BE$404,0))="","",INDEX('債券'!$S$5:$S$404,MATCH(SMALL('債券'!$BE$5:$BE$404,$A36),'債券'!$BE$5:$BE$404,0))))</f>
        <v/>
      </c>
      <c r="E36" s="32">
        <f>IF(ABS(SMALL('債券'!$BE$5:$BE$404,$A36))&gt;1E8,"",IF(INDEX('債券'!$G$5:$G$404,MATCH(SMALL('債券'!$BE$5:$BE$404,$A36),'債券'!$BE$5:$BE$404,0))="","",INDEX('債券'!$G$5:$G$404,MATCH(SMALL('債券'!$BE$5:$BE$404,$A36),'債券'!$BE$5:$BE$404,0))))</f>
        <v/>
      </c>
      <c r="F36" s="24">
        <f>IF(ABS(SMALL('債券'!$BE$5:$BE$404,$A36))&gt;1E8,"",IF(INDEX('債券'!$U$5:$U$404,MATCH(SMALL('債券'!$BE$5:$BE$404,$A36),'債券'!$BE$5:$BE$404,0))="","",INDEX('債券'!$U$5:$U$404,MATCH(SMALL('債券'!$BE$5:$BE$404,$A36),'債券'!$BE$5:$BE$404,0))))</f>
        <v/>
      </c>
      <c r="G36" s="22">
        <f>IF(ABS(SMALL('債券'!$BE$5:$BE$404,$A36))&gt;1E8,"",IF(INDEX('債券'!$N$5:$N$404,MATCH(SMALL('債券'!$BE$5:$BE$404,$A36),'債券'!$BE$5:$BE$404,0))="","",INDEX('債券'!$N$5:$N$404,MATCH(SMALL('債券'!$BE$5:$BE$404,$A36),'債券'!$BE$5:$BE$404,0))))</f>
        <v/>
      </c>
      <c r="H36" s="23">
        <f>IF(ABS(SMALL('債券'!$BE$5:$BE$404,$A36))&gt;1E8,"",IF(INDEX('債券'!$Z$5:$Z$404,MATCH(SMALL('債券'!$BE$5:$BE$404,$A36),'債券'!$BE$5:$BE$404,0))="","",INDEX('債券'!$Z$5:$Z$404,MATCH(SMALL('債券'!$BE$5:$BE$404,$A36),'債券'!$BE$5:$BE$404,0))))</f>
        <v/>
      </c>
      <c r="I36" s="25">
        <f>IF(ABS(SMALL('債券'!$BE$5:$BE$404,$A36))&gt;1E8,"",IF(INDEX('債券'!$AF$5:$AF$404,MATCH(SMALL('債券'!$BE$5:$BE$404,$A36),'債券'!$BE$5:$BE$404,0))="","",INDEX('債券'!$AF$5:$AF$404,MATCH(SMALL('債券'!$BE$5:$BE$404,$A36),'債券'!$BE$5:$BE$404,0))))</f>
        <v/>
      </c>
      <c r="J36" s="25">
        <f>IF(ABS(SMALL('債券'!$BE$5:$BE$404,$A36))&gt;1E8,"",IF(INDEX('債券'!$AM$5:$AM$404,MATCH(SMALL('債券'!$BE$5:$BE$404,$A36),'債券'!$BE$5:$BE$404,0))="","",INDEX('債券'!$AM$5:$AM$404,MATCH(SMALL('債券'!$BE$5:$BE$404,$A36),'債券'!$BE$5:$BE$404,0))))</f>
        <v/>
      </c>
      <c r="K36" s="25">
        <f>IF(ABS(SMALL('債券'!$BE$5:$BE$404,$A36))&gt;1E8,"",IF(INDEX('債券'!$AO$5:$AO$404,MATCH(SMALL('債券'!$BE$5:$BE$404,$A36),'債券'!$BE$5:$BE$404,0))="","",INDEX('債券'!$AO$5:$AO$404,MATCH(SMALL('債券'!$BE$5:$BE$404,$A36),'債券'!$BE$5:$BE$404,0))))</f>
        <v/>
      </c>
      <c r="L36" s="25">
        <f>IF(ABS(SMALL('債券'!$BE$5:$BE$404,$A36))&gt;1E8,"",IF(INDEX('債券'!$AP$5:$AP$404,MATCH(SMALL('債券'!$BE$5:$BE$404,$A36),'債券'!$BE$5:$BE$404,0))="","",INDEX('債券'!$AP$5:$AP$404,MATCH(SMALL('債券'!$BE$5:$BE$404,$A36),'債券'!$BE$5:$BE$404,0))))</f>
        <v/>
      </c>
      <c r="M36" s="25">
        <f>IF(ABS(SMALL('債券'!$BE$5:$BE$404,$A36))&gt;1E8,"",IF(INDEX('債券'!$AQ$5:$AQ$404,MATCH(SMALL('債券'!$BE$5:$BE$404,$A36),'債券'!$BE$5:$BE$404,0))="","",INDEX('債券'!$AQ$5:$AQ$404,MATCH(SMALL('債券'!$BE$5:$BE$404,$A36),'債券'!$BE$5:$BE$404,0))))</f>
        <v/>
      </c>
      <c r="N36" s="38">
        <f>IF(ABS(SMALL('債券'!$BE$5:$BE$404,$A36))&gt;1E8,"",IF(INDEX('債券'!$AI$5:$AI$404,MATCH(SMALL('債券'!$BE$5:$BE$404,$A36),'債券'!$BE$5:$BE$404,0))="","",INDEX('債券'!$AI$5:$AI$404,MATCH(SMALL('債券'!$BE$5:$BE$404,$A36),'債券'!$BE$5:$BE$404,0))))</f>
        <v/>
      </c>
    </row>
    <row r="37">
      <c r="A37" s="8" t="n">
        <v>9</v>
      </c>
      <c r="B37" s="32">
        <f>IF(ABS(SMALL('債券'!$BE$5:$BE$404,$A37))&gt;1E8,"",IF(INDEX('債券'!$A$5:$A$404,MATCH(SMALL('債券'!$BE$5:$BE$404,$A37),'債券'!$BE$5:$BE$404,0))="","",INDEX('債券'!$A$5:$A$404,MATCH(SMALL('債券'!$BE$5:$BE$404,$A37),'債券'!$BE$5:$BE$404,0))))</f>
        <v/>
      </c>
      <c r="C37" s="32">
        <f>IF(ABS(SMALL('債券'!$BE$5:$BE$404,$A37))&gt;1E8,"",IF(INDEX('債券'!$C$5:$C$404,MATCH(SMALL('債券'!$BE$5:$BE$404,$A37),'債券'!$BE$5:$BE$404,0))="","",INDEX('債券'!$C$5:$C$404,MATCH(SMALL('債券'!$BE$5:$BE$404,$A37),'債券'!$BE$5:$BE$404,0))))</f>
        <v/>
      </c>
      <c r="D37" s="32">
        <f>IF(ABS(SMALL('債券'!$BE$5:$BE$404,$A37))&gt;1E8,"",IF(INDEX('債券'!$S$5:$S$404,MATCH(SMALL('債券'!$BE$5:$BE$404,$A37),'債券'!$BE$5:$BE$404,0))="","",INDEX('債券'!$S$5:$S$404,MATCH(SMALL('債券'!$BE$5:$BE$404,$A37),'債券'!$BE$5:$BE$404,0))))</f>
        <v/>
      </c>
      <c r="E37" s="32">
        <f>IF(ABS(SMALL('債券'!$BE$5:$BE$404,$A37))&gt;1E8,"",IF(INDEX('債券'!$G$5:$G$404,MATCH(SMALL('債券'!$BE$5:$BE$404,$A37),'債券'!$BE$5:$BE$404,0))="","",INDEX('債券'!$G$5:$G$404,MATCH(SMALL('債券'!$BE$5:$BE$404,$A37),'債券'!$BE$5:$BE$404,0))))</f>
        <v/>
      </c>
      <c r="F37" s="24">
        <f>IF(ABS(SMALL('債券'!$BE$5:$BE$404,$A37))&gt;1E8,"",IF(INDEX('債券'!$U$5:$U$404,MATCH(SMALL('債券'!$BE$5:$BE$404,$A37),'債券'!$BE$5:$BE$404,0))="","",INDEX('債券'!$U$5:$U$404,MATCH(SMALL('債券'!$BE$5:$BE$404,$A37),'債券'!$BE$5:$BE$404,0))))</f>
        <v/>
      </c>
      <c r="G37" s="22">
        <f>IF(ABS(SMALL('債券'!$BE$5:$BE$404,$A37))&gt;1E8,"",IF(INDEX('債券'!$N$5:$N$404,MATCH(SMALL('債券'!$BE$5:$BE$404,$A37),'債券'!$BE$5:$BE$404,0))="","",INDEX('債券'!$N$5:$N$404,MATCH(SMALL('債券'!$BE$5:$BE$404,$A37),'債券'!$BE$5:$BE$404,0))))</f>
        <v/>
      </c>
      <c r="H37" s="23">
        <f>IF(ABS(SMALL('債券'!$BE$5:$BE$404,$A37))&gt;1E8,"",IF(INDEX('債券'!$Z$5:$Z$404,MATCH(SMALL('債券'!$BE$5:$BE$404,$A37),'債券'!$BE$5:$BE$404,0))="","",INDEX('債券'!$Z$5:$Z$404,MATCH(SMALL('債券'!$BE$5:$BE$404,$A37),'債券'!$BE$5:$BE$404,0))))</f>
        <v/>
      </c>
      <c r="I37" s="25">
        <f>IF(ABS(SMALL('債券'!$BE$5:$BE$404,$A37))&gt;1E8,"",IF(INDEX('債券'!$AF$5:$AF$404,MATCH(SMALL('債券'!$BE$5:$BE$404,$A37),'債券'!$BE$5:$BE$404,0))="","",INDEX('債券'!$AF$5:$AF$404,MATCH(SMALL('債券'!$BE$5:$BE$404,$A37),'債券'!$BE$5:$BE$404,0))))</f>
        <v/>
      </c>
      <c r="J37" s="25">
        <f>IF(ABS(SMALL('債券'!$BE$5:$BE$404,$A37))&gt;1E8,"",IF(INDEX('債券'!$AM$5:$AM$404,MATCH(SMALL('債券'!$BE$5:$BE$404,$A37),'債券'!$BE$5:$BE$404,0))="","",INDEX('債券'!$AM$5:$AM$404,MATCH(SMALL('債券'!$BE$5:$BE$404,$A37),'債券'!$BE$5:$BE$404,0))))</f>
        <v/>
      </c>
      <c r="K37" s="25">
        <f>IF(ABS(SMALL('債券'!$BE$5:$BE$404,$A37))&gt;1E8,"",IF(INDEX('債券'!$AO$5:$AO$404,MATCH(SMALL('債券'!$BE$5:$BE$404,$A37),'債券'!$BE$5:$BE$404,0))="","",INDEX('債券'!$AO$5:$AO$404,MATCH(SMALL('債券'!$BE$5:$BE$404,$A37),'債券'!$BE$5:$BE$404,0))))</f>
        <v/>
      </c>
      <c r="L37" s="25">
        <f>IF(ABS(SMALL('債券'!$BE$5:$BE$404,$A37))&gt;1E8,"",IF(INDEX('債券'!$AP$5:$AP$404,MATCH(SMALL('債券'!$BE$5:$BE$404,$A37),'債券'!$BE$5:$BE$404,0))="","",INDEX('債券'!$AP$5:$AP$404,MATCH(SMALL('債券'!$BE$5:$BE$404,$A37),'債券'!$BE$5:$BE$404,0))))</f>
        <v/>
      </c>
      <c r="M37" s="25">
        <f>IF(ABS(SMALL('債券'!$BE$5:$BE$404,$A37))&gt;1E8,"",IF(INDEX('債券'!$AQ$5:$AQ$404,MATCH(SMALL('債券'!$BE$5:$BE$404,$A37),'債券'!$BE$5:$BE$404,0))="","",INDEX('債券'!$AQ$5:$AQ$404,MATCH(SMALL('債券'!$BE$5:$BE$404,$A37),'債券'!$BE$5:$BE$404,0))))</f>
        <v/>
      </c>
      <c r="N37" s="38">
        <f>IF(ABS(SMALL('債券'!$BE$5:$BE$404,$A37))&gt;1E8,"",IF(INDEX('債券'!$AI$5:$AI$404,MATCH(SMALL('債券'!$BE$5:$BE$404,$A37),'債券'!$BE$5:$BE$404,0))="","",INDEX('債券'!$AI$5:$AI$404,MATCH(SMALL('債券'!$BE$5:$BE$404,$A37),'債券'!$BE$5:$BE$404,0))))</f>
        <v/>
      </c>
    </row>
    <row r="38">
      <c r="A38" s="8" t="n">
        <v>10</v>
      </c>
      <c r="B38" s="32">
        <f>IF(ABS(SMALL('債券'!$BE$5:$BE$404,$A38))&gt;1E8,"",IF(INDEX('債券'!$A$5:$A$404,MATCH(SMALL('債券'!$BE$5:$BE$404,$A38),'債券'!$BE$5:$BE$404,0))="","",INDEX('債券'!$A$5:$A$404,MATCH(SMALL('債券'!$BE$5:$BE$404,$A38),'債券'!$BE$5:$BE$404,0))))</f>
        <v/>
      </c>
      <c r="C38" s="32">
        <f>IF(ABS(SMALL('債券'!$BE$5:$BE$404,$A38))&gt;1E8,"",IF(INDEX('債券'!$C$5:$C$404,MATCH(SMALL('債券'!$BE$5:$BE$404,$A38),'債券'!$BE$5:$BE$404,0))="","",INDEX('債券'!$C$5:$C$404,MATCH(SMALL('債券'!$BE$5:$BE$404,$A38),'債券'!$BE$5:$BE$404,0))))</f>
        <v/>
      </c>
      <c r="D38" s="32">
        <f>IF(ABS(SMALL('債券'!$BE$5:$BE$404,$A38))&gt;1E8,"",IF(INDEX('債券'!$S$5:$S$404,MATCH(SMALL('債券'!$BE$5:$BE$404,$A38),'債券'!$BE$5:$BE$404,0))="","",INDEX('債券'!$S$5:$S$404,MATCH(SMALL('債券'!$BE$5:$BE$404,$A38),'債券'!$BE$5:$BE$404,0))))</f>
        <v/>
      </c>
      <c r="E38" s="32">
        <f>IF(ABS(SMALL('債券'!$BE$5:$BE$404,$A38))&gt;1E8,"",IF(INDEX('債券'!$G$5:$G$404,MATCH(SMALL('債券'!$BE$5:$BE$404,$A38),'債券'!$BE$5:$BE$404,0))="","",INDEX('債券'!$G$5:$G$404,MATCH(SMALL('債券'!$BE$5:$BE$404,$A38),'債券'!$BE$5:$BE$404,0))))</f>
        <v/>
      </c>
      <c r="F38" s="24">
        <f>IF(ABS(SMALL('債券'!$BE$5:$BE$404,$A38))&gt;1E8,"",IF(INDEX('債券'!$U$5:$U$404,MATCH(SMALL('債券'!$BE$5:$BE$404,$A38),'債券'!$BE$5:$BE$404,0))="","",INDEX('債券'!$U$5:$U$404,MATCH(SMALL('債券'!$BE$5:$BE$404,$A38),'債券'!$BE$5:$BE$404,0))))</f>
        <v/>
      </c>
      <c r="G38" s="22">
        <f>IF(ABS(SMALL('債券'!$BE$5:$BE$404,$A38))&gt;1E8,"",IF(INDEX('債券'!$N$5:$N$404,MATCH(SMALL('債券'!$BE$5:$BE$404,$A38),'債券'!$BE$5:$BE$404,0))="","",INDEX('債券'!$N$5:$N$404,MATCH(SMALL('債券'!$BE$5:$BE$404,$A38),'債券'!$BE$5:$BE$404,0))))</f>
        <v/>
      </c>
      <c r="H38" s="23">
        <f>IF(ABS(SMALL('債券'!$BE$5:$BE$404,$A38))&gt;1E8,"",IF(INDEX('債券'!$Z$5:$Z$404,MATCH(SMALL('債券'!$BE$5:$BE$404,$A38),'債券'!$BE$5:$BE$404,0))="","",INDEX('債券'!$Z$5:$Z$404,MATCH(SMALL('債券'!$BE$5:$BE$404,$A38),'債券'!$BE$5:$BE$404,0))))</f>
        <v/>
      </c>
      <c r="I38" s="25">
        <f>IF(ABS(SMALL('債券'!$BE$5:$BE$404,$A38))&gt;1E8,"",IF(INDEX('債券'!$AF$5:$AF$404,MATCH(SMALL('債券'!$BE$5:$BE$404,$A38),'債券'!$BE$5:$BE$404,0))="","",INDEX('債券'!$AF$5:$AF$404,MATCH(SMALL('債券'!$BE$5:$BE$404,$A38),'債券'!$BE$5:$BE$404,0))))</f>
        <v/>
      </c>
      <c r="J38" s="25">
        <f>IF(ABS(SMALL('債券'!$BE$5:$BE$404,$A38))&gt;1E8,"",IF(INDEX('債券'!$AM$5:$AM$404,MATCH(SMALL('債券'!$BE$5:$BE$404,$A38),'債券'!$BE$5:$BE$404,0))="","",INDEX('債券'!$AM$5:$AM$404,MATCH(SMALL('債券'!$BE$5:$BE$404,$A38),'債券'!$BE$5:$BE$404,0))))</f>
        <v/>
      </c>
      <c r="K38" s="25">
        <f>IF(ABS(SMALL('債券'!$BE$5:$BE$404,$A38))&gt;1E8,"",IF(INDEX('債券'!$AO$5:$AO$404,MATCH(SMALL('債券'!$BE$5:$BE$404,$A38),'債券'!$BE$5:$BE$404,0))="","",INDEX('債券'!$AO$5:$AO$404,MATCH(SMALL('債券'!$BE$5:$BE$404,$A38),'債券'!$BE$5:$BE$404,0))))</f>
        <v/>
      </c>
      <c r="L38" s="25">
        <f>IF(ABS(SMALL('債券'!$BE$5:$BE$404,$A38))&gt;1E8,"",IF(INDEX('債券'!$AP$5:$AP$404,MATCH(SMALL('債券'!$BE$5:$BE$404,$A38),'債券'!$BE$5:$BE$404,0))="","",INDEX('債券'!$AP$5:$AP$404,MATCH(SMALL('債券'!$BE$5:$BE$404,$A38),'債券'!$BE$5:$BE$404,0))))</f>
        <v/>
      </c>
      <c r="M38" s="25">
        <f>IF(ABS(SMALL('債券'!$BE$5:$BE$404,$A38))&gt;1E8,"",IF(INDEX('債券'!$AQ$5:$AQ$404,MATCH(SMALL('債券'!$BE$5:$BE$404,$A38),'債券'!$BE$5:$BE$404,0))="","",INDEX('債券'!$AQ$5:$AQ$404,MATCH(SMALL('債券'!$BE$5:$BE$404,$A38),'債券'!$BE$5:$BE$404,0))))</f>
        <v/>
      </c>
      <c r="N38" s="38">
        <f>IF(ABS(SMALL('債券'!$BE$5:$BE$404,$A38))&gt;1E8,"",IF(INDEX('債券'!$AI$5:$AI$404,MATCH(SMALL('債券'!$BE$5:$BE$404,$A38),'債券'!$BE$5:$BE$404,0))="","",INDEX('債券'!$AI$5:$AI$404,MATCH(SMALL('債券'!$BE$5:$BE$404,$A38),'債券'!$BE$5:$BE$404,0))))</f>
        <v/>
      </c>
    </row>
    <row r="39">
      <c r="A39" s="8" t="n">
        <v>11</v>
      </c>
      <c r="B39" s="32">
        <f>IF(ABS(SMALL('債券'!$BE$5:$BE$404,$A39))&gt;1E8,"",IF(INDEX('債券'!$A$5:$A$404,MATCH(SMALL('債券'!$BE$5:$BE$404,$A39),'債券'!$BE$5:$BE$404,0))="","",INDEX('債券'!$A$5:$A$404,MATCH(SMALL('債券'!$BE$5:$BE$404,$A39),'債券'!$BE$5:$BE$404,0))))</f>
        <v/>
      </c>
      <c r="C39" s="32">
        <f>IF(ABS(SMALL('債券'!$BE$5:$BE$404,$A39))&gt;1E8,"",IF(INDEX('債券'!$C$5:$C$404,MATCH(SMALL('債券'!$BE$5:$BE$404,$A39),'債券'!$BE$5:$BE$404,0))="","",INDEX('債券'!$C$5:$C$404,MATCH(SMALL('債券'!$BE$5:$BE$404,$A39),'債券'!$BE$5:$BE$404,0))))</f>
        <v/>
      </c>
      <c r="D39" s="32">
        <f>IF(ABS(SMALL('債券'!$BE$5:$BE$404,$A39))&gt;1E8,"",IF(INDEX('債券'!$S$5:$S$404,MATCH(SMALL('債券'!$BE$5:$BE$404,$A39),'債券'!$BE$5:$BE$404,0))="","",INDEX('債券'!$S$5:$S$404,MATCH(SMALL('債券'!$BE$5:$BE$404,$A39),'債券'!$BE$5:$BE$404,0))))</f>
        <v/>
      </c>
      <c r="E39" s="32">
        <f>IF(ABS(SMALL('債券'!$BE$5:$BE$404,$A39))&gt;1E8,"",IF(INDEX('債券'!$G$5:$G$404,MATCH(SMALL('債券'!$BE$5:$BE$404,$A39),'債券'!$BE$5:$BE$404,0))="","",INDEX('債券'!$G$5:$G$404,MATCH(SMALL('債券'!$BE$5:$BE$404,$A39),'債券'!$BE$5:$BE$404,0))))</f>
        <v/>
      </c>
      <c r="F39" s="24">
        <f>IF(ABS(SMALL('債券'!$BE$5:$BE$404,$A39))&gt;1E8,"",IF(INDEX('債券'!$U$5:$U$404,MATCH(SMALL('債券'!$BE$5:$BE$404,$A39),'債券'!$BE$5:$BE$404,0))="","",INDEX('債券'!$U$5:$U$404,MATCH(SMALL('債券'!$BE$5:$BE$404,$A39),'債券'!$BE$5:$BE$404,0))))</f>
        <v/>
      </c>
      <c r="G39" s="22">
        <f>IF(ABS(SMALL('債券'!$BE$5:$BE$404,$A39))&gt;1E8,"",IF(INDEX('債券'!$N$5:$N$404,MATCH(SMALL('債券'!$BE$5:$BE$404,$A39),'債券'!$BE$5:$BE$404,0))="","",INDEX('債券'!$N$5:$N$404,MATCH(SMALL('債券'!$BE$5:$BE$404,$A39),'債券'!$BE$5:$BE$404,0))))</f>
        <v/>
      </c>
      <c r="H39" s="23">
        <f>IF(ABS(SMALL('債券'!$BE$5:$BE$404,$A39))&gt;1E8,"",IF(INDEX('債券'!$Z$5:$Z$404,MATCH(SMALL('債券'!$BE$5:$BE$404,$A39),'債券'!$BE$5:$BE$404,0))="","",INDEX('債券'!$Z$5:$Z$404,MATCH(SMALL('債券'!$BE$5:$BE$404,$A39),'債券'!$BE$5:$BE$404,0))))</f>
        <v/>
      </c>
      <c r="I39" s="25">
        <f>IF(ABS(SMALL('債券'!$BE$5:$BE$404,$A39))&gt;1E8,"",IF(INDEX('債券'!$AF$5:$AF$404,MATCH(SMALL('債券'!$BE$5:$BE$404,$A39),'債券'!$BE$5:$BE$404,0))="","",INDEX('債券'!$AF$5:$AF$404,MATCH(SMALL('債券'!$BE$5:$BE$404,$A39),'債券'!$BE$5:$BE$404,0))))</f>
        <v/>
      </c>
      <c r="J39" s="25">
        <f>IF(ABS(SMALL('債券'!$BE$5:$BE$404,$A39))&gt;1E8,"",IF(INDEX('債券'!$AM$5:$AM$404,MATCH(SMALL('債券'!$BE$5:$BE$404,$A39),'債券'!$BE$5:$BE$404,0))="","",INDEX('債券'!$AM$5:$AM$404,MATCH(SMALL('債券'!$BE$5:$BE$404,$A39),'債券'!$BE$5:$BE$404,0))))</f>
        <v/>
      </c>
      <c r="K39" s="25">
        <f>IF(ABS(SMALL('債券'!$BE$5:$BE$404,$A39))&gt;1E8,"",IF(INDEX('債券'!$AO$5:$AO$404,MATCH(SMALL('債券'!$BE$5:$BE$404,$A39),'債券'!$BE$5:$BE$404,0))="","",INDEX('債券'!$AO$5:$AO$404,MATCH(SMALL('債券'!$BE$5:$BE$404,$A39),'債券'!$BE$5:$BE$404,0))))</f>
        <v/>
      </c>
      <c r="L39" s="25">
        <f>IF(ABS(SMALL('債券'!$BE$5:$BE$404,$A39))&gt;1E8,"",IF(INDEX('債券'!$AP$5:$AP$404,MATCH(SMALL('債券'!$BE$5:$BE$404,$A39),'債券'!$BE$5:$BE$404,0))="","",INDEX('債券'!$AP$5:$AP$404,MATCH(SMALL('債券'!$BE$5:$BE$404,$A39),'債券'!$BE$5:$BE$404,0))))</f>
        <v/>
      </c>
      <c r="M39" s="25">
        <f>IF(ABS(SMALL('債券'!$BE$5:$BE$404,$A39))&gt;1E8,"",IF(INDEX('債券'!$AQ$5:$AQ$404,MATCH(SMALL('債券'!$BE$5:$BE$404,$A39),'債券'!$BE$5:$BE$404,0))="","",INDEX('債券'!$AQ$5:$AQ$404,MATCH(SMALL('債券'!$BE$5:$BE$404,$A39),'債券'!$BE$5:$BE$404,0))))</f>
        <v/>
      </c>
      <c r="N39" s="38">
        <f>IF(ABS(SMALL('債券'!$BE$5:$BE$404,$A39))&gt;1E8,"",IF(INDEX('債券'!$AI$5:$AI$404,MATCH(SMALL('債券'!$BE$5:$BE$404,$A39),'債券'!$BE$5:$BE$404,0))="","",INDEX('債券'!$AI$5:$AI$404,MATCH(SMALL('債券'!$BE$5:$BE$404,$A39),'債券'!$BE$5:$BE$404,0))))</f>
        <v/>
      </c>
    </row>
    <row r="40">
      <c r="A40" s="8" t="n">
        <v>12</v>
      </c>
      <c r="B40" s="32">
        <f>IF(ABS(SMALL('債券'!$BE$5:$BE$404,$A40))&gt;1E8,"",IF(INDEX('債券'!$A$5:$A$404,MATCH(SMALL('債券'!$BE$5:$BE$404,$A40),'債券'!$BE$5:$BE$404,0))="","",INDEX('債券'!$A$5:$A$404,MATCH(SMALL('債券'!$BE$5:$BE$404,$A40),'債券'!$BE$5:$BE$404,0))))</f>
        <v/>
      </c>
      <c r="C40" s="32">
        <f>IF(ABS(SMALL('債券'!$BE$5:$BE$404,$A40))&gt;1E8,"",IF(INDEX('債券'!$C$5:$C$404,MATCH(SMALL('債券'!$BE$5:$BE$404,$A40),'債券'!$BE$5:$BE$404,0))="","",INDEX('債券'!$C$5:$C$404,MATCH(SMALL('債券'!$BE$5:$BE$404,$A40),'債券'!$BE$5:$BE$404,0))))</f>
        <v/>
      </c>
      <c r="D40" s="32">
        <f>IF(ABS(SMALL('債券'!$BE$5:$BE$404,$A40))&gt;1E8,"",IF(INDEX('債券'!$S$5:$S$404,MATCH(SMALL('債券'!$BE$5:$BE$404,$A40),'債券'!$BE$5:$BE$404,0))="","",INDEX('債券'!$S$5:$S$404,MATCH(SMALL('債券'!$BE$5:$BE$404,$A40),'債券'!$BE$5:$BE$404,0))))</f>
        <v/>
      </c>
      <c r="E40" s="32">
        <f>IF(ABS(SMALL('債券'!$BE$5:$BE$404,$A40))&gt;1E8,"",IF(INDEX('債券'!$G$5:$G$404,MATCH(SMALL('債券'!$BE$5:$BE$404,$A40),'債券'!$BE$5:$BE$404,0))="","",INDEX('債券'!$G$5:$G$404,MATCH(SMALL('債券'!$BE$5:$BE$404,$A40),'債券'!$BE$5:$BE$404,0))))</f>
        <v/>
      </c>
      <c r="F40" s="24">
        <f>IF(ABS(SMALL('債券'!$BE$5:$BE$404,$A40))&gt;1E8,"",IF(INDEX('債券'!$U$5:$U$404,MATCH(SMALL('債券'!$BE$5:$BE$404,$A40),'債券'!$BE$5:$BE$404,0))="","",INDEX('債券'!$U$5:$U$404,MATCH(SMALL('債券'!$BE$5:$BE$404,$A40),'債券'!$BE$5:$BE$404,0))))</f>
        <v/>
      </c>
      <c r="G40" s="22">
        <f>IF(ABS(SMALL('債券'!$BE$5:$BE$404,$A40))&gt;1E8,"",IF(INDEX('債券'!$N$5:$N$404,MATCH(SMALL('債券'!$BE$5:$BE$404,$A40),'債券'!$BE$5:$BE$404,0))="","",INDEX('債券'!$N$5:$N$404,MATCH(SMALL('債券'!$BE$5:$BE$404,$A40),'債券'!$BE$5:$BE$404,0))))</f>
        <v/>
      </c>
      <c r="H40" s="23">
        <f>IF(ABS(SMALL('債券'!$BE$5:$BE$404,$A40))&gt;1E8,"",IF(INDEX('債券'!$Z$5:$Z$404,MATCH(SMALL('債券'!$BE$5:$BE$404,$A40),'債券'!$BE$5:$BE$404,0))="","",INDEX('債券'!$Z$5:$Z$404,MATCH(SMALL('債券'!$BE$5:$BE$404,$A40),'債券'!$BE$5:$BE$404,0))))</f>
        <v/>
      </c>
      <c r="I40" s="25">
        <f>IF(ABS(SMALL('債券'!$BE$5:$BE$404,$A40))&gt;1E8,"",IF(INDEX('債券'!$AF$5:$AF$404,MATCH(SMALL('債券'!$BE$5:$BE$404,$A40),'債券'!$BE$5:$BE$404,0))="","",INDEX('債券'!$AF$5:$AF$404,MATCH(SMALL('債券'!$BE$5:$BE$404,$A40),'債券'!$BE$5:$BE$404,0))))</f>
        <v/>
      </c>
      <c r="J40" s="25">
        <f>IF(ABS(SMALL('債券'!$BE$5:$BE$404,$A40))&gt;1E8,"",IF(INDEX('債券'!$AM$5:$AM$404,MATCH(SMALL('債券'!$BE$5:$BE$404,$A40),'債券'!$BE$5:$BE$404,0))="","",INDEX('債券'!$AM$5:$AM$404,MATCH(SMALL('債券'!$BE$5:$BE$404,$A40),'債券'!$BE$5:$BE$404,0))))</f>
        <v/>
      </c>
      <c r="K40" s="25">
        <f>IF(ABS(SMALL('債券'!$BE$5:$BE$404,$A40))&gt;1E8,"",IF(INDEX('債券'!$AO$5:$AO$404,MATCH(SMALL('債券'!$BE$5:$BE$404,$A40),'債券'!$BE$5:$BE$404,0))="","",INDEX('債券'!$AO$5:$AO$404,MATCH(SMALL('債券'!$BE$5:$BE$404,$A40),'債券'!$BE$5:$BE$404,0))))</f>
        <v/>
      </c>
      <c r="L40" s="25">
        <f>IF(ABS(SMALL('債券'!$BE$5:$BE$404,$A40))&gt;1E8,"",IF(INDEX('債券'!$AP$5:$AP$404,MATCH(SMALL('債券'!$BE$5:$BE$404,$A40),'債券'!$BE$5:$BE$404,0))="","",INDEX('債券'!$AP$5:$AP$404,MATCH(SMALL('債券'!$BE$5:$BE$404,$A40),'債券'!$BE$5:$BE$404,0))))</f>
        <v/>
      </c>
      <c r="M40" s="25">
        <f>IF(ABS(SMALL('債券'!$BE$5:$BE$404,$A40))&gt;1E8,"",IF(INDEX('債券'!$AQ$5:$AQ$404,MATCH(SMALL('債券'!$BE$5:$BE$404,$A40),'債券'!$BE$5:$BE$404,0))="","",INDEX('債券'!$AQ$5:$AQ$404,MATCH(SMALL('債券'!$BE$5:$BE$404,$A40),'債券'!$BE$5:$BE$404,0))))</f>
        <v/>
      </c>
      <c r="N40" s="38">
        <f>IF(ABS(SMALL('債券'!$BE$5:$BE$404,$A40))&gt;1E8,"",IF(INDEX('債券'!$AI$5:$AI$404,MATCH(SMALL('債券'!$BE$5:$BE$404,$A40),'債券'!$BE$5:$BE$404,0))="","",INDEX('債券'!$AI$5:$AI$404,MATCH(SMALL('債券'!$BE$5:$BE$404,$A40),'債券'!$BE$5:$BE$404,0))))</f>
        <v/>
      </c>
    </row>
    <row r="41">
      <c r="A41" s="8" t="n">
        <v>13</v>
      </c>
      <c r="B41" s="32">
        <f>IF(ABS(SMALL('債券'!$BE$5:$BE$404,$A41))&gt;1E8,"",IF(INDEX('債券'!$A$5:$A$404,MATCH(SMALL('債券'!$BE$5:$BE$404,$A41),'債券'!$BE$5:$BE$404,0))="","",INDEX('債券'!$A$5:$A$404,MATCH(SMALL('債券'!$BE$5:$BE$404,$A41),'債券'!$BE$5:$BE$404,0))))</f>
        <v/>
      </c>
      <c r="C41" s="32">
        <f>IF(ABS(SMALL('債券'!$BE$5:$BE$404,$A41))&gt;1E8,"",IF(INDEX('債券'!$C$5:$C$404,MATCH(SMALL('債券'!$BE$5:$BE$404,$A41),'債券'!$BE$5:$BE$404,0))="","",INDEX('債券'!$C$5:$C$404,MATCH(SMALL('債券'!$BE$5:$BE$404,$A41),'債券'!$BE$5:$BE$404,0))))</f>
        <v/>
      </c>
      <c r="D41" s="32">
        <f>IF(ABS(SMALL('債券'!$BE$5:$BE$404,$A41))&gt;1E8,"",IF(INDEX('債券'!$S$5:$S$404,MATCH(SMALL('債券'!$BE$5:$BE$404,$A41),'債券'!$BE$5:$BE$404,0))="","",INDEX('債券'!$S$5:$S$404,MATCH(SMALL('債券'!$BE$5:$BE$404,$A41),'債券'!$BE$5:$BE$404,0))))</f>
        <v/>
      </c>
      <c r="E41" s="32">
        <f>IF(ABS(SMALL('債券'!$BE$5:$BE$404,$A41))&gt;1E8,"",IF(INDEX('債券'!$G$5:$G$404,MATCH(SMALL('債券'!$BE$5:$BE$404,$A41),'債券'!$BE$5:$BE$404,0))="","",INDEX('債券'!$G$5:$G$404,MATCH(SMALL('債券'!$BE$5:$BE$404,$A41),'債券'!$BE$5:$BE$404,0))))</f>
        <v/>
      </c>
      <c r="F41" s="24">
        <f>IF(ABS(SMALL('債券'!$BE$5:$BE$404,$A41))&gt;1E8,"",IF(INDEX('債券'!$U$5:$U$404,MATCH(SMALL('債券'!$BE$5:$BE$404,$A41),'債券'!$BE$5:$BE$404,0))="","",INDEX('債券'!$U$5:$U$404,MATCH(SMALL('債券'!$BE$5:$BE$404,$A41),'債券'!$BE$5:$BE$404,0))))</f>
        <v/>
      </c>
      <c r="G41" s="22">
        <f>IF(ABS(SMALL('債券'!$BE$5:$BE$404,$A41))&gt;1E8,"",IF(INDEX('債券'!$N$5:$N$404,MATCH(SMALL('債券'!$BE$5:$BE$404,$A41),'債券'!$BE$5:$BE$404,0))="","",INDEX('債券'!$N$5:$N$404,MATCH(SMALL('債券'!$BE$5:$BE$404,$A41),'債券'!$BE$5:$BE$404,0))))</f>
        <v/>
      </c>
      <c r="H41" s="23">
        <f>IF(ABS(SMALL('債券'!$BE$5:$BE$404,$A41))&gt;1E8,"",IF(INDEX('債券'!$Z$5:$Z$404,MATCH(SMALL('債券'!$BE$5:$BE$404,$A41),'債券'!$BE$5:$BE$404,0))="","",INDEX('債券'!$Z$5:$Z$404,MATCH(SMALL('債券'!$BE$5:$BE$404,$A41),'債券'!$BE$5:$BE$404,0))))</f>
        <v/>
      </c>
      <c r="I41" s="25">
        <f>IF(ABS(SMALL('債券'!$BE$5:$BE$404,$A41))&gt;1E8,"",IF(INDEX('債券'!$AF$5:$AF$404,MATCH(SMALL('債券'!$BE$5:$BE$404,$A41),'債券'!$BE$5:$BE$404,0))="","",INDEX('債券'!$AF$5:$AF$404,MATCH(SMALL('債券'!$BE$5:$BE$404,$A41),'債券'!$BE$5:$BE$404,0))))</f>
        <v/>
      </c>
      <c r="J41" s="25">
        <f>IF(ABS(SMALL('債券'!$BE$5:$BE$404,$A41))&gt;1E8,"",IF(INDEX('債券'!$AM$5:$AM$404,MATCH(SMALL('債券'!$BE$5:$BE$404,$A41),'債券'!$BE$5:$BE$404,0))="","",INDEX('債券'!$AM$5:$AM$404,MATCH(SMALL('債券'!$BE$5:$BE$404,$A41),'債券'!$BE$5:$BE$404,0))))</f>
        <v/>
      </c>
      <c r="K41" s="25">
        <f>IF(ABS(SMALL('債券'!$BE$5:$BE$404,$A41))&gt;1E8,"",IF(INDEX('債券'!$AO$5:$AO$404,MATCH(SMALL('債券'!$BE$5:$BE$404,$A41),'債券'!$BE$5:$BE$404,0))="","",INDEX('債券'!$AO$5:$AO$404,MATCH(SMALL('債券'!$BE$5:$BE$404,$A41),'債券'!$BE$5:$BE$404,0))))</f>
        <v/>
      </c>
      <c r="L41" s="25">
        <f>IF(ABS(SMALL('債券'!$BE$5:$BE$404,$A41))&gt;1E8,"",IF(INDEX('債券'!$AP$5:$AP$404,MATCH(SMALL('債券'!$BE$5:$BE$404,$A41),'債券'!$BE$5:$BE$404,0))="","",INDEX('債券'!$AP$5:$AP$404,MATCH(SMALL('債券'!$BE$5:$BE$404,$A41),'債券'!$BE$5:$BE$404,0))))</f>
        <v/>
      </c>
      <c r="M41" s="25">
        <f>IF(ABS(SMALL('債券'!$BE$5:$BE$404,$A41))&gt;1E8,"",IF(INDEX('債券'!$AQ$5:$AQ$404,MATCH(SMALL('債券'!$BE$5:$BE$404,$A41),'債券'!$BE$5:$BE$404,0))="","",INDEX('債券'!$AQ$5:$AQ$404,MATCH(SMALL('債券'!$BE$5:$BE$404,$A41),'債券'!$BE$5:$BE$404,0))))</f>
        <v/>
      </c>
      <c r="N41" s="38">
        <f>IF(ABS(SMALL('債券'!$BE$5:$BE$404,$A41))&gt;1E8,"",IF(INDEX('債券'!$AI$5:$AI$404,MATCH(SMALL('債券'!$BE$5:$BE$404,$A41),'債券'!$BE$5:$BE$404,0))="","",INDEX('債券'!$AI$5:$AI$404,MATCH(SMALL('債券'!$BE$5:$BE$404,$A41),'債券'!$BE$5:$BE$404,0))))</f>
        <v/>
      </c>
    </row>
    <row r="42">
      <c r="A42" s="8" t="n">
        <v>14</v>
      </c>
      <c r="B42" s="32">
        <f>IF(ABS(SMALL('債券'!$BE$5:$BE$404,$A42))&gt;1E8,"",IF(INDEX('債券'!$A$5:$A$404,MATCH(SMALL('債券'!$BE$5:$BE$404,$A42),'債券'!$BE$5:$BE$404,0))="","",INDEX('債券'!$A$5:$A$404,MATCH(SMALL('債券'!$BE$5:$BE$404,$A42),'債券'!$BE$5:$BE$404,0))))</f>
        <v/>
      </c>
      <c r="C42" s="32">
        <f>IF(ABS(SMALL('債券'!$BE$5:$BE$404,$A42))&gt;1E8,"",IF(INDEX('債券'!$C$5:$C$404,MATCH(SMALL('債券'!$BE$5:$BE$404,$A42),'債券'!$BE$5:$BE$404,0))="","",INDEX('債券'!$C$5:$C$404,MATCH(SMALL('債券'!$BE$5:$BE$404,$A42),'債券'!$BE$5:$BE$404,0))))</f>
        <v/>
      </c>
      <c r="D42" s="32">
        <f>IF(ABS(SMALL('債券'!$BE$5:$BE$404,$A42))&gt;1E8,"",IF(INDEX('債券'!$S$5:$S$404,MATCH(SMALL('債券'!$BE$5:$BE$404,$A42),'債券'!$BE$5:$BE$404,0))="","",INDEX('債券'!$S$5:$S$404,MATCH(SMALL('債券'!$BE$5:$BE$404,$A42),'債券'!$BE$5:$BE$404,0))))</f>
        <v/>
      </c>
      <c r="E42" s="32">
        <f>IF(ABS(SMALL('債券'!$BE$5:$BE$404,$A42))&gt;1E8,"",IF(INDEX('債券'!$G$5:$G$404,MATCH(SMALL('債券'!$BE$5:$BE$404,$A42),'債券'!$BE$5:$BE$404,0))="","",INDEX('債券'!$G$5:$G$404,MATCH(SMALL('債券'!$BE$5:$BE$404,$A42),'債券'!$BE$5:$BE$404,0))))</f>
        <v/>
      </c>
      <c r="F42" s="24">
        <f>IF(ABS(SMALL('債券'!$BE$5:$BE$404,$A42))&gt;1E8,"",IF(INDEX('債券'!$U$5:$U$404,MATCH(SMALL('債券'!$BE$5:$BE$404,$A42),'債券'!$BE$5:$BE$404,0))="","",INDEX('債券'!$U$5:$U$404,MATCH(SMALL('債券'!$BE$5:$BE$404,$A42),'債券'!$BE$5:$BE$404,0))))</f>
        <v/>
      </c>
      <c r="G42" s="22">
        <f>IF(ABS(SMALL('債券'!$BE$5:$BE$404,$A42))&gt;1E8,"",IF(INDEX('債券'!$N$5:$N$404,MATCH(SMALL('債券'!$BE$5:$BE$404,$A42),'債券'!$BE$5:$BE$404,0))="","",INDEX('債券'!$N$5:$N$404,MATCH(SMALL('債券'!$BE$5:$BE$404,$A42),'債券'!$BE$5:$BE$404,0))))</f>
        <v/>
      </c>
      <c r="H42" s="23">
        <f>IF(ABS(SMALL('債券'!$BE$5:$BE$404,$A42))&gt;1E8,"",IF(INDEX('債券'!$Z$5:$Z$404,MATCH(SMALL('債券'!$BE$5:$BE$404,$A42),'債券'!$BE$5:$BE$404,0))="","",INDEX('債券'!$Z$5:$Z$404,MATCH(SMALL('債券'!$BE$5:$BE$404,$A42),'債券'!$BE$5:$BE$404,0))))</f>
        <v/>
      </c>
      <c r="I42" s="25">
        <f>IF(ABS(SMALL('債券'!$BE$5:$BE$404,$A42))&gt;1E8,"",IF(INDEX('債券'!$AF$5:$AF$404,MATCH(SMALL('債券'!$BE$5:$BE$404,$A42),'債券'!$BE$5:$BE$404,0))="","",INDEX('債券'!$AF$5:$AF$404,MATCH(SMALL('債券'!$BE$5:$BE$404,$A42),'債券'!$BE$5:$BE$404,0))))</f>
        <v/>
      </c>
      <c r="J42" s="25">
        <f>IF(ABS(SMALL('債券'!$BE$5:$BE$404,$A42))&gt;1E8,"",IF(INDEX('債券'!$AM$5:$AM$404,MATCH(SMALL('債券'!$BE$5:$BE$404,$A42),'債券'!$BE$5:$BE$404,0))="","",INDEX('債券'!$AM$5:$AM$404,MATCH(SMALL('債券'!$BE$5:$BE$404,$A42),'債券'!$BE$5:$BE$404,0))))</f>
        <v/>
      </c>
      <c r="K42" s="25">
        <f>IF(ABS(SMALL('債券'!$BE$5:$BE$404,$A42))&gt;1E8,"",IF(INDEX('債券'!$AO$5:$AO$404,MATCH(SMALL('債券'!$BE$5:$BE$404,$A42),'債券'!$BE$5:$BE$404,0))="","",INDEX('債券'!$AO$5:$AO$404,MATCH(SMALL('債券'!$BE$5:$BE$404,$A42),'債券'!$BE$5:$BE$404,0))))</f>
        <v/>
      </c>
      <c r="L42" s="25">
        <f>IF(ABS(SMALL('債券'!$BE$5:$BE$404,$A42))&gt;1E8,"",IF(INDEX('債券'!$AP$5:$AP$404,MATCH(SMALL('債券'!$BE$5:$BE$404,$A42),'債券'!$BE$5:$BE$404,0))="","",INDEX('債券'!$AP$5:$AP$404,MATCH(SMALL('債券'!$BE$5:$BE$404,$A42),'債券'!$BE$5:$BE$404,0))))</f>
        <v/>
      </c>
      <c r="M42" s="25">
        <f>IF(ABS(SMALL('債券'!$BE$5:$BE$404,$A42))&gt;1E8,"",IF(INDEX('債券'!$AQ$5:$AQ$404,MATCH(SMALL('債券'!$BE$5:$BE$404,$A42),'債券'!$BE$5:$BE$404,0))="","",INDEX('債券'!$AQ$5:$AQ$404,MATCH(SMALL('債券'!$BE$5:$BE$404,$A42),'債券'!$BE$5:$BE$404,0))))</f>
        <v/>
      </c>
      <c r="N42" s="38">
        <f>IF(ABS(SMALL('債券'!$BE$5:$BE$404,$A42))&gt;1E8,"",IF(INDEX('債券'!$AI$5:$AI$404,MATCH(SMALL('債券'!$BE$5:$BE$404,$A42),'債券'!$BE$5:$BE$404,0))="","",INDEX('債券'!$AI$5:$AI$404,MATCH(SMALL('債券'!$BE$5:$BE$404,$A42),'債券'!$BE$5:$BE$404,0))))</f>
        <v/>
      </c>
    </row>
    <row r="43">
      <c r="A43" s="8" t="n">
        <v>15</v>
      </c>
      <c r="B43" s="32">
        <f>IF(ABS(SMALL('債券'!$BE$5:$BE$404,$A43))&gt;1E8,"",IF(INDEX('債券'!$A$5:$A$404,MATCH(SMALL('債券'!$BE$5:$BE$404,$A43),'債券'!$BE$5:$BE$404,0))="","",INDEX('債券'!$A$5:$A$404,MATCH(SMALL('債券'!$BE$5:$BE$404,$A43),'債券'!$BE$5:$BE$404,0))))</f>
        <v/>
      </c>
      <c r="C43" s="32">
        <f>IF(ABS(SMALL('債券'!$BE$5:$BE$404,$A43))&gt;1E8,"",IF(INDEX('債券'!$C$5:$C$404,MATCH(SMALL('債券'!$BE$5:$BE$404,$A43),'債券'!$BE$5:$BE$404,0))="","",INDEX('債券'!$C$5:$C$404,MATCH(SMALL('債券'!$BE$5:$BE$404,$A43),'債券'!$BE$5:$BE$404,0))))</f>
        <v/>
      </c>
      <c r="D43" s="32">
        <f>IF(ABS(SMALL('債券'!$BE$5:$BE$404,$A43))&gt;1E8,"",IF(INDEX('債券'!$S$5:$S$404,MATCH(SMALL('債券'!$BE$5:$BE$404,$A43),'債券'!$BE$5:$BE$404,0))="","",INDEX('債券'!$S$5:$S$404,MATCH(SMALL('債券'!$BE$5:$BE$404,$A43),'債券'!$BE$5:$BE$404,0))))</f>
        <v/>
      </c>
      <c r="E43" s="32">
        <f>IF(ABS(SMALL('債券'!$BE$5:$BE$404,$A43))&gt;1E8,"",IF(INDEX('債券'!$G$5:$G$404,MATCH(SMALL('債券'!$BE$5:$BE$404,$A43),'債券'!$BE$5:$BE$404,0))="","",INDEX('債券'!$G$5:$G$404,MATCH(SMALL('債券'!$BE$5:$BE$404,$A43),'債券'!$BE$5:$BE$404,0))))</f>
        <v/>
      </c>
      <c r="F43" s="24">
        <f>IF(ABS(SMALL('債券'!$BE$5:$BE$404,$A43))&gt;1E8,"",IF(INDEX('債券'!$U$5:$U$404,MATCH(SMALL('債券'!$BE$5:$BE$404,$A43),'債券'!$BE$5:$BE$404,0))="","",INDEX('債券'!$U$5:$U$404,MATCH(SMALL('債券'!$BE$5:$BE$404,$A43),'債券'!$BE$5:$BE$404,0))))</f>
        <v/>
      </c>
      <c r="G43" s="22">
        <f>IF(ABS(SMALL('債券'!$BE$5:$BE$404,$A43))&gt;1E8,"",IF(INDEX('債券'!$N$5:$N$404,MATCH(SMALL('債券'!$BE$5:$BE$404,$A43),'債券'!$BE$5:$BE$404,0))="","",INDEX('債券'!$N$5:$N$404,MATCH(SMALL('債券'!$BE$5:$BE$404,$A43),'債券'!$BE$5:$BE$404,0))))</f>
        <v/>
      </c>
      <c r="H43" s="23">
        <f>IF(ABS(SMALL('債券'!$BE$5:$BE$404,$A43))&gt;1E8,"",IF(INDEX('債券'!$Z$5:$Z$404,MATCH(SMALL('債券'!$BE$5:$BE$404,$A43),'債券'!$BE$5:$BE$404,0))="","",INDEX('債券'!$Z$5:$Z$404,MATCH(SMALL('債券'!$BE$5:$BE$404,$A43),'債券'!$BE$5:$BE$404,0))))</f>
        <v/>
      </c>
      <c r="I43" s="25">
        <f>IF(ABS(SMALL('債券'!$BE$5:$BE$404,$A43))&gt;1E8,"",IF(INDEX('債券'!$AF$5:$AF$404,MATCH(SMALL('債券'!$BE$5:$BE$404,$A43),'債券'!$BE$5:$BE$404,0))="","",INDEX('債券'!$AF$5:$AF$404,MATCH(SMALL('債券'!$BE$5:$BE$404,$A43),'債券'!$BE$5:$BE$404,0))))</f>
        <v/>
      </c>
      <c r="J43" s="25">
        <f>IF(ABS(SMALL('債券'!$BE$5:$BE$404,$A43))&gt;1E8,"",IF(INDEX('債券'!$AM$5:$AM$404,MATCH(SMALL('債券'!$BE$5:$BE$404,$A43),'債券'!$BE$5:$BE$404,0))="","",INDEX('債券'!$AM$5:$AM$404,MATCH(SMALL('債券'!$BE$5:$BE$404,$A43),'債券'!$BE$5:$BE$404,0))))</f>
        <v/>
      </c>
      <c r="K43" s="25">
        <f>IF(ABS(SMALL('債券'!$BE$5:$BE$404,$A43))&gt;1E8,"",IF(INDEX('債券'!$AO$5:$AO$404,MATCH(SMALL('債券'!$BE$5:$BE$404,$A43),'債券'!$BE$5:$BE$404,0))="","",INDEX('債券'!$AO$5:$AO$404,MATCH(SMALL('債券'!$BE$5:$BE$404,$A43),'債券'!$BE$5:$BE$404,0))))</f>
        <v/>
      </c>
      <c r="L43" s="25">
        <f>IF(ABS(SMALL('債券'!$BE$5:$BE$404,$A43))&gt;1E8,"",IF(INDEX('債券'!$AP$5:$AP$404,MATCH(SMALL('債券'!$BE$5:$BE$404,$A43),'債券'!$BE$5:$BE$404,0))="","",INDEX('債券'!$AP$5:$AP$404,MATCH(SMALL('債券'!$BE$5:$BE$404,$A43),'債券'!$BE$5:$BE$404,0))))</f>
        <v/>
      </c>
      <c r="M43" s="25">
        <f>IF(ABS(SMALL('債券'!$BE$5:$BE$404,$A43))&gt;1E8,"",IF(INDEX('債券'!$AQ$5:$AQ$404,MATCH(SMALL('債券'!$BE$5:$BE$404,$A43),'債券'!$BE$5:$BE$404,0))="","",INDEX('債券'!$AQ$5:$AQ$404,MATCH(SMALL('債券'!$BE$5:$BE$404,$A43),'債券'!$BE$5:$BE$404,0))))</f>
        <v/>
      </c>
      <c r="N43" s="38">
        <f>IF(ABS(SMALL('債券'!$BE$5:$BE$404,$A43))&gt;1E8,"",IF(INDEX('債券'!$AI$5:$AI$404,MATCH(SMALL('債券'!$BE$5:$BE$404,$A43),'債券'!$BE$5:$BE$404,0))="","",INDEX('債券'!$AI$5:$AI$404,MATCH(SMALL('債券'!$BE$5:$BE$404,$A43),'債券'!$BE$5:$BE$404,0))))</f>
        <v/>
      </c>
    </row>
    <row r="44">
      <c r="A44" s="8" t="n">
        <v>16</v>
      </c>
      <c r="B44" s="32">
        <f>IF(ABS(SMALL('債券'!$BE$5:$BE$404,$A44))&gt;1E8,"",IF(INDEX('債券'!$A$5:$A$404,MATCH(SMALL('債券'!$BE$5:$BE$404,$A44),'債券'!$BE$5:$BE$404,0))="","",INDEX('債券'!$A$5:$A$404,MATCH(SMALL('債券'!$BE$5:$BE$404,$A44),'債券'!$BE$5:$BE$404,0))))</f>
        <v/>
      </c>
      <c r="C44" s="32">
        <f>IF(ABS(SMALL('債券'!$BE$5:$BE$404,$A44))&gt;1E8,"",IF(INDEX('債券'!$C$5:$C$404,MATCH(SMALL('債券'!$BE$5:$BE$404,$A44),'債券'!$BE$5:$BE$404,0))="","",INDEX('債券'!$C$5:$C$404,MATCH(SMALL('債券'!$BE$5:$BE$404,$A44),'債券'!$BE$5:$BE$404,0))))</f>
        <v/>
      </c>
      <c r="D44" s="32">
        <f>IF(ABS(SMALL('債券'!$BE$5:$BE$404,$A44))&gt;1E8,"",IF(INDEX('債券'!$S$5:$S$404,MATCH(SMALL('債券'!$BE$5:$BE$404,$A44),'債券'!$BE$5:$BE$404,0))="","",INDEX('債券'!$S$5:$S$404,MATCH(SMALL('債券'!$BE$5:$BE$404,$A44),'債券'!$BE$5:$BE$404,0))))</f>
        <v/>
      </c>
      <c r="E44" s="32">
        <f>IF(ABS(SMALL('債券'!$BE$5:$BE$404,$A44))&gt;1E8,"",IF(INDEX('債券'!$G$5:$G$404,MATCH(SMALL('債券'!$BE$5:$BE$404,$A44),'債券'!$BE$5:$BE$404,0))="","",INDEX('債券'!$G$5:$G$404,MATCH(SMALL('債券'!$BE$5:$BE$404,$A44),'債券'!$BE$5:$BE$404,0))))</f>
        <v/>
      </c>
      <c r="F44" s="24">
        <f>IF(ABS(SMALL('債券'!$BE$5:$BE$404,$A44))&gt;1E8,"",IF(INDEX('債券'!$U$5:$U$404,MATCH(SMALL('債券'!$BE$5:$BE$404,$A44),'債券'!$BE$5:$BE$404,0))="","",INDEX('債券'!$U$5:$U$404,MATCH(SMALL('債券'!$BE$5:$BE$404,$A44),'債券'!$BE$5:$BE$404,0))))</f>
        <v/>
      </c>
      <c r="G44" s="22">
        <f>IF(ABS(SMALL('債券'!$BE$5:$BE$404,$A44))&gt;1E8,"",IF(INDEX('債券'!$N$5:$N$404,MATCH(SMALL('債券'!$BE$5:$BE$404,$A44),'債券'!$BE$5:$BE$404,0))="","",INDEX('債券'!$N$5:$N$404,MATCH(SMALL('債券'!$BE$5:$BE$404,$A44),'債券'!$BE$5:$BE$404,0))))</f>
        <v/>
      </c>
      <c r="H44" s="23">
        <f>IF(ABS(SMALL('債券'!$BE$5:$BE$404,$A44))&gt;1E8,"",IF(INDEX('債券'!$Z$5:$Z$404,MATCH(SMALL('債券'!$BE$5:$BE$404,$A44),'債券'!$BE$5:$BE$404,0))="","",INDEX('債券'!$Z$5:$Z$404,MATCH(SMALL('債券'!$BE$5:$BE$404,$A44),'債券'!$BE$5:$BE$404,0))))</f>
        <v/>
      </c>
      <c r="I44" s="25">
        <f>IF(ABS(SMALL('債券'!$BE$5:$BE$404,$A44))&gt;1E8,"",IF(INDEX('債券'!$AF$5:$AF$404,MATCH(SMALL('債券'!$BE$5:$BE$404,$A44),'債券'!$BE$5:$BE$404,0))="","",INDEX('債券'!$AF$5:$AF$404,MATCH(SMALL('債券'!$BE$5:$BE$404,$A44),'債券'!$BE$5:$BE$404,0))))</f>
        <v/>
      </c>
      <c r="J44" s="25">
        <f>IF(ABS(SMALL('債券'!$BE$5:$BE$404,$A44))&gt;1E8,"",IF(INDEX('債券'!$AM$5:$AM$404,MATCH(SMALL('債券'!$BE$5:$BE$404,$A44),'債券'!$BE$5:$BE$404,0))="","",INDEX('債券'!$AM$5:$AM$404,MATCH(SMALL('債券'!$BE$5:$BE$404,$A44),'債券'!$BE$5:$BE$404,0))))</f>
        <v/>
      </c>
      <c r="K44" s="25">
        <f>IF(ABS(SMALL('債券'!$BE$5:$BE$404,$A44))&gt;1E8,"",IF(INDEX('債券'!$AO$5:$AO$404,MATCH(SMALL('債券'!$BE$5:$BE$404,$A44),'債券'!$BE$5:$BE$404,0))="","",INDEX('債券'!$AO$5:$AO$404,MATCH(SMALL('債券'!$BE$5:$BE$404,$A44),'債券'!$BE$5:$BE$404,0))))</f>
        <v/>
      </c>
      <c r="L44" s="25">
        <f>IF(ABS(SMALL('債券'!$BE$5:$BE$404,$A44))&gt;1E8,"",IF(INDEX('債券'!$AP$5:$AP$404,MATCH(SMALL('債券'!$BE$5:$BE$404,$A44),'債券'!$BE$5:$BE$404,0))="","",INDEX('債券'!$AP$5:$AP$404,MATCH(SMALL('債券'!$BE$5:$BE$404,$A44),'債券'!$BE$5:$BE$404,0))))</f>
        <v/>
      </c>
      <c r="M44" s="25">
        <f>IF(ABS(SMALL('債券'!$BE$5:$BE$404,$A44))&gt;1E8,"",IF(INDEX('債券'!$AQ$5:$AQ$404,MATCH(SMALL('債券'!$BE$5:$BE$404,$A44),'債券'!$BE$5:$BE$404,0))="","",INDEX('債券'!$AQ$5:$AQ$404,MATCH(SMALL('債券'!$BE$5:$BE$404,$A44),'債券'!$BE$5:$BE$404,0))))</f>
        <v/>
      </c>
      <c r="N44" s="38">
        <f>IF(ABS(SMALL('債券'!$BE$5:$BE$404,$A44))&gt;1E8,"",IF(INDEX('債券'!$AI$5:$AI$404,MATCH(SMALL('債券'!$BE$5:$BE$404,$A44),'債券'!$BE$5:$BE$404,0))="","",INDEX('債券'!$AI$5:$AI$404,MATCH(SMALL('債券'!$BE$5:$BE$404,$A44),'債券'!$BE$5:$BE$404,0))))</f>
        <v/>
      </c>
    </row>
    <row r="45">
      <c r="A45" s="8" t="n">
        <v>17</v>
      </c>
      <c r="B45" s="32">
        <f>IF(ABS(SMALL('債券'!$BE$5:$BE$404,$A45))&gt;1E8,"",IF(INDEX('債券'!$A$5:$A$404,MATCH(SMALL('債券'!$BE$5:$BE$404,$A45),'債券'!$BE$5:$BE$404,0))="","",INDEX('債券'!$A$5:$A$404,MATCH(SMALL('債券'!$BE$5:$BE$404,$A45),'債券'!$BE$5:$BE$404,0))))</f>
        <v/>
      </c>
      <c r="C45" s="32">
        <f>IF(ABS(SMALL('債券'!$BE$5:$BE$404,$A45))&gt;1E8,"",IF(INDEX('債券'!$C$5:$C$404,MATCH(SMALL('債券'!$BE$5:$BE$404,$A45),'債券'!$BE$5:$BE$404,0))="","",INDEX('債券'!$C$5:$C$404,MATCH(SMALL('債券'!$BE$5:$BE$404,$A45),'債券'!$BE$5:$BE$404,0))))</f>
        <v/>
      </c>
      <c r="D45" s="32">
        <f>IF(ABS(SMALL('債券'!$BE$5:$BE$404,$A45))&gt;1E8,"",IF(INDEX('債券'!$S$5:$S$404,MATCH(SMALL('債券'!$BE$5:$BE$404,$A45),'債券'!$BE$5:$BE$404,0))="","",INDEX('債券'!$S$5:$S$404,MATCH(SMALL('債券'!$BE$5:$BE$404,$A45),'債券'!$BE$5:$BE$404,0))))</f>
        <v/>
      </c>
      <c r="E45" s="32">
        <f>IF(ABS(SMALL('債券'!$BE$5:$BE$404,$A45))&gt;1E8,"",IF(INDEX('債券'!$G$5:$G$404,MATCH(SMALL('債券'!$BE$5:$BE$404,$A45),'債券'!$BE$5:$BE$404,0))="","",INDEX('債券'!$G$5:$G$404,MATCH(SMALL('債券'!$BE$5:$BE$404,$A45),'債券'!$BE$5:$BE$404,0))))</f>
        <v/>
      </c>
      <c r="F45" s="24">
        <f>IF(ABS(SMALL('債券'!$BE$5:$BE$404,$A45))&gt;1E8,"",IF(INDEX('債券'!$U$5:$U$404,MATCH(SMALL('債券'!$BE$5:$BE$404,$A45),'債券'!$BE$5:$BE$404,0))="","",INDEX('債券'!$U$5:$U$404,MATCH(SMALL('債券'!$BE$5:$BE$404,$A45),'債券'!$BE$5:$BE$404,0))))</f>
        <v/>
      </c>
      <c r="G45" s="22">
        <f>IF(ABS(SMALL('債券'!$BE$5:$BE$404,$A45))&gt;1E8,"",IF(INDEX('債券'!$N$5:$N$404,MATCH(SMALL('債券'!$BE$5:$BE$404,$A45),'債券'!$BE$5:$BE$404,0))="","",INDEX('債券'!$N$5:$N$404,MATCH(SMALL('債券'!$BE$5:$BE$404,$A45),'債券'!$BE$5:$BE$404,0))))</f>
        <v/>
      </c>
      <c r="H45" s="23">
        <f>IF(ABS(SMALL('債券'!$BE$5:$BE$404,$A45))&gt;1E8,"",IF(INDEX('債券'!$Z$5:$Z$404,MATCH(SMALL('債券'!$BE$5:$BE$404,$A45),'債券'!$BE$5:$BE$404,0))="","",INDEX('債券'!$Z$5:$Z$404,MATCH(SMALL('債券'!$BE$5:$BE$404,$A45),'債券'!$BE$5:$BE$404,0))))</f>
        <v/>
      </c>
      <c r="I45" s="25">
        <f>IF(ABS(SMALL('債券'!$BE$5:$BE$404,$A45))&gt;1E8,"",IF(INDEX('債券'!$AF$5:$AF$404,MATCH(SMALL('債券'!$BE$5:$BE$404,$A45),'債券'!$BE$5:$BE$404,0))="","",INDEX('債券'!$AF$5:$AF$404,MATCH(SMALL('債券'!$BE$5:$BE$404,$A45),'債券'!$BE$5:$BE$404,0))))</f>
        <v/>
      </c>
      <c r="J45" s="25">
        <f>IF(ABS(SMALL('債券'!$BE$5:$BE$404,$A45))&gt;1E8,"",IF(INDEX('債券'!$AM$5:$AM$404,MATCH(SMALL('債券'!$BE$5:$BE$404,$A45),'債券'!$BE$5:$BE$404,0))="","",INDEX('債券'!$AM$5:$AM$404,MATCH(SMALL('債券'!$BE$5:$BE$404,$A45),'債券'!$BE$5:$BE$404,0))))</f>
        <v/>
      </c>
      <c r="K45" s="25">
        <f>IF(ABS(SMALL('債券'!$BE$5:$BE$404,$A45))&gt;1E8,"",IF(INDEX('債券'!$AO$5:$AO$404,MATCH(SMALL('債券'!$BE$5:$BE$404,$A45),'債券'!$BE$5:$BE$404,0))="","",INDEX('債券'!$AO$5:$AO$404,MATCH(SMALL('債券'!$BE$5:$BE$404,$A45),'債券'!$BE$5:$BE$404,0))))</f>
        <v/>
      </c>
      <c r="L45" s="25">
        <f>IF(ABS(SMALL('債券'!$BE$5:$BE$404,$A45))&gt;1E8,"",IF(INDEX('債券'!$AP$5:$AP$404,MATCH(SMALL('債券'!$BE$5:$BE$404,$A45),'債券'!$BE$5:$BE$404,0))="","",INDEX('債券'!$AP$5:$AP$404,MATCH(SMALL('債券'!$BE$5:$BE$404,$A45),'債券'!$BE$5:$BE$404,0))))</f>
        <v/>
      </c>
      <c r="M45" s="25">
        <f>IF(ABS(SMALL('債券'!$BE$5:$BE$404,$A45))&gt;1E8,"",IF(INDEX('債券'!$AQ$5:$AQ$404,MATCH(SMALL('債券'!$BE$5:$BE$404,$A45),'債券'!$BE$5:$BE$404,0))="","",INDEX('債券'!$AQ$5:$AQ$404,MATCH(SMALL('債券'!$BE$5:$BE$404,$A45),'債券'!$BE$5:$BE$404,0))))</f>
        <v/>
      </c>
      <c r="N45" s="38">
        <f>IF(ABS(SMALL('債券'!$BE$5:$BE$404,$A45))&gt;1E8,"",IF(INDEX('債券'!$AI$5:$AI$404,MATCH(SMALL('債券'!$BE$5:$BE$404,$A45),'債券'!$BE$5:$BE$404,0))="","",INDEX('債券'!$AI$5:$AI$404,MATCH(SMALL('債券'!$BE$5:$BE$404,$A45),'債券'!$BE$5:$BE$404,0))))</f>
        <v/>
      </c>
    </row>
    <row r="46">
      <c r="A46" s="8" t="n">
        <v>18</v>
      </c>
      <c r="B46" s="32">
        <f>IF(ABS(SMALL('債券'!$BE$5:$BE$404,$A46))&gt;1E8,"",IF(INDEX('債券'!$A$5:$A$404,MATCH(SMALL('債券'!$BE$5:$BE$404,$A46),'債券'!$BE$5:$BE$404,0))="","",INDEX('債券'!$A$5:$A$404,MATCH(SMALL('債券'!$BE$5:$BE$404,$A46),'債券'!$BE$5:$BE$404,0))))</f>
        <v/>
      </c>
      <c r="C46" s="32">
        <f>IF(ABS(SMALL('債券'!$BE$5:$BE$404,$A46))&gt;1E8,"",IF(INDEX('債券'!$C$5:$C$404,MATCH(SMALL('債券'!$BE$5:$BE$404,$A46),'債券'!$BE$5:$BE$404,0))="","",INDEX('債券'!$C$5:$C$404,MATCH(SMALL('債券'!$BE$5:$BE$404,$A46),'債券'!$BE$5:$BE$404,0))))</f>
        <v/>
      </c>
      <c r="D46" s="32">
        <f>IF(ABS(SMALL('債券'!$BE$5:$BE$404,$A46))&gt;1E8,"",IF(INDEX('債券'!$S$5:$S$404,MATCH(SMALL('債券'!$BE$5:$BE$404,$A46),'債券'!$BE$5:$BE$404,0))="","",INDEX('債券'!$S$5:$S$404,MATCH(SMALL('債券'!$BE$5:$BE$404,$A46),'債券'!$BE$5:$BE$404,0))))</f>
        <v/>
      </c>
      <c r="E46" s="32">
        <f>IF(ABS(SMALL('債券'!$BE$5:$BE$404,$A46))&gt;1E8,"",IF(INDEX('債券'!$G$5:$G$404,MATCH(SMALL('債券'!$BE$5:$BE$404,$A46),'債券'!$BE$5:$BE$404,0))="","",INDEX('債券'!$G$5:$G$404,MATCH(SMALL('債券'!$BE$5:$BE$404,$A46),'債券'!$BE$5:$BE$404,0))))</f>
        <v/>
      </c>
      <c r="F46" s="24">
        <f>IF(ABS(SMALL('債券'!$BE$5:$BE$404,$A46))&gt;1E8,"",IF(INDEX('債券'!$U$5:$U$404,MATCH(SMALL('債券'!$BE$5:$BE$404,$A46),'債券'!$BE$5:$BE$404,0))="","",INDEX('債券'!$U$5:$U$404,MATCH(SMALL('債券'!$BE$5:$BE$404,$A46),'債券'!$BE$5:$BE$404,0))))</f>
        <v/>
      </c>
      <c r="G46" s="22">
        <f>IF(ABS(SMALL('債券'!$BE$5:$BE$404,$A46))&gt;1E8,"",IF(INDEX('債券'!$N$5:$N$404,MATCH(SMALL('債券'!$BE$5:$BE$404,$A46),'債券'!$BE$5:$BE$404,0))="","",INDEX('債券'!$N$5:$N$404,MATCH(SMALL('債券'!$BE$5:$BE$404,$A46),'債券'!$BE$5:$BE$404,0))))</f>
        <v/>
      </c>
      <c r="H46" s="23">
        <f>IF(ABS(SMALL('債券'!$BE$5:$BE$404,$A46))&gt;1E8,"",IF(INDEX('債券'!$Z$5:$Z$404,MATCH(SMALL('債券'!$BE$5:$BE$404,$A46),'債券'!$BE$5:$BE$404,0))="","",INDEX('債券'!$Z$5:$Z$404,MATCH(SMALL('債券'!$BE$5:$BE$404,$A46),'債券'!$BE$5:$BE$404,0))))</f>
        <v/>
      </c>
      <c r="I46" s="25">
        <f>IF(ABS(SMALL('債券'!$BE$5:$BE$404,$A46))&gt;1E8,"",IF(INDEX('債券'!$AF$5:$AF$404,MATCH(SMALL('債券'!$BE$5:$BE$404,$A46),'債券'!$BE$5:$BE$404,0))="","",INDEX('債券'!$AF$5:$AF$404,MATCH(SMALL('債券'!$BE$5:$BE$404,$A46),'債券'!$BE$5:$BE$404,0))))</f>
        <v/>
      </c>
      <c r="J46" s="25">
        <f>IF(ABS(SMALL('債券'!$BE$5:$BE$404,$A46))&gt;1E8,"",IF(INDEX('債券'!$AM$5:$AM$404,MATCH(SMALL('債券'!$BE$5:$BE$404,$A46),'債券'!$BE$5:$BE$404,0))="","",INDEX('債券'!$AM$5:$AM$404,MATCH(SMALL('債券'!$BE$5:$BE$404,$A46),'債券'!$BE$5:$BE$404,0))))</f>
        <v/>
      </c>
      <c r="K46" s="25">
        <f>IF(ABS(SMALL('債券'!$BE$5:$BE$404,$A46))&gt;1E8,"",IF(INDEX('債券'!$AO$5:$AO$404,MATCH(SMALL('債券'!$BE$5:$BE$404,$A46),'債券'!$BE$5:$BE$404,0))="","",INDEX('債券'!$AO$5:$AO$404,MATCH(SMALL('債券'!$BE$5:$BE$404,$A46),'債券'!$BE$5:$BE$404,0))))</f>
        <v/>
      </c>
      <c r="L46" s="25">
        <f>IF(ABS(SMALL('債券'!$BE$5:$BE$404,$A46))&gt;1E8,"",IF(INDEX('債券'!$AP$5:$AP$404,MATCH(SMALL('債券'!$BE$5:$BE$404,$A46),'債券'!$BE$5:$BE$404,0))="","",INDEX('債券'!$AP$5:$AP$404,MATCH(SMALL('債券'!$BE$5:$BE$404,$A46),'債券'!$BE$5:$BE$404,0))))</f>
        <v/>
      </c>
      <c r="M46" s="25">
        <f>IF(ABS(SMALL('債券'!$BE$5:$BE$404,$A46))&gt;1E8,"",IF(INDEX('債券'!$AQ$5:$AQ$404,MATCH(SMALL('債券'!$BE$5:$BE$404,$A46),'債券'!$BE$5:$BE$404,0))="","",INDEX('債券'!$AQ$5:$AQ$404,MATCH(SMALL('債券'!$BE$5:$BE$404,$A46),'債券'!$BE$5:$BE$404,0))))</f>
        <v/>
      </c>
      <c r="N46" s="38">
        <f>IF(ABS(SMALL('債券'!$BE$5:$BE$404,$A46))&gt;1E8,"",IF(INDEX('債券'!$AI$5:$AI$404,MATCH(SMALL('債券'!$BE$5:$BE$404,$A46),'債券'!$BE$5:$BE$404,0))="","",INDEX('債券'!$AI$5:$AI$404,MATCH(SMALL('債券'!$BE$5:$BE$404,$A46),'債券'!$BE$5:$BE$404,0))))</f>
        <v/>
      </c>
    </row>
    <row r="47">
      <c r="A47" s="8" t="n">
        <v>19</v>
      </c>
      <c r="B47" s="32">
        <f>IF(ABS(SMALL('債券'!$BE$5:$BE$404,$A47))&gt;1E8,"",IF(INDEX('債券'!$A$5:$A$404,MATCH(SMALL('債券'!$BE$5:$BE$404,$A47),'債券'!$BE$5:$BE$404,0))="","",INDEX('債券'!$A$5:$A$404,MATCH(SMALL('債券'!$BE$5:$BE$404,$A47),'債券'!$BE$5:$BE$404,0))))</f>
        <v/>
      </c>
      <c r="C47" s="32">
        <f>IF(ABS(SMALL('債券'!$BE$5:$BE$404,$A47))&gt;1E8,"",IF(INDEX('債券'!$C$5:$C$404,MATCH(SMALL('債券'!$BE$5:$BE$404,$A47),'債券'!$BE$5:$BE$404,0))="","",INDEX('債券'!$C$5:$C$404,MATCH(SMALL('債券'!$BE$5:$BE$404,$A47),'債券'!$BE$5:$BE$404,0))))</f>
        <v/>
      </c>
      <c r="D47" s="32">
        <f>IF(ABS(SMALL('債券'!$BE$5:$BE$404,$A47))&gt;1E8,"",IF(INDEX('債券'!$S$5:$S$404,MATCH(SMALL('債券'!$BE$5:$BE$404,$A47),'債券'!$BE$5:$BE$404,0))="","",INDEX('債券'!$S$5:$S$404,MATCH(SMALL('債券'!$BE$5:$BE$404,$A47),'債券'!$BE$5:$BE$404,0))))</f>
        <v/>
      </c>
      <c r="E47" s="32">
        <f>IF(ABS(SMALL('債券'!$BE$5:$BE$404,$A47))&gt;1E8,"",IF(INDEX('債券'!$G$5:$G$404,MATCH(SMALL('債券'!$BE$5:$BE$404,$A47),'債券'!$BE$5:$BE$404,0))="","",INDEX('債券'!$G$5:$G$404,MATCH(SMALL('債券'!$BE$5:$BE$404,$A47),'債券'!$BE$5:$BE$404,0))))</f>
        <v/>
      </c>
      <c r="F47" s="24">
        <f>IF(ABS(SMALL('債券'!$BE$5:$BE$404,$A47))&gt;1E8,"",IF(INDEX('債券'!$U$5:$U$404,MATCH(SMALL('債券'!$BE$5:$BE$404,$A47),'債券'!$BE$5:$BE$404,0))="","",INDEX('債券'!$U$5:$U$404,MATCH(SMALL('債券'!$BE$5:$BE$404,$A47),'債券'!$BE$5:$BE$404,0))))</f>
        <v/>
      </c>
      <c r="G47" s="22">
        <f>IF(ABS(SMALL('債券'!$BE$5:$BE$404,$A47))&gt;1E8,"",IF(INDEX('債券'!$N$5:$N$404,MATCH(SMALL('債券'!$BE$5:$BE$404,$A47),'債券'!$BE$5:$BE$404,0))="","",INDEX('債券'!$N$5:$N$404,MATCH(SMALL('債券'!$BE$5:$BE$404,$A47),'債券'!$BE$5:$BE$404,0))))</f>
        <v/>
      </c>
      <c r="H47" s="23">
        <f>IF(ABS(SMALL('債券'!$BE$5:$BE$404,$A47))&gt;1E8,"",IF(INDEX('債券'!$Z$5:$Z$404,MATCH(SMALL('債券'!$BE$5:$BE$404,$A47),'債券'!$BE$5:$BE$404,0))="","",INDEX('債券'!$Z$5:$Z$404,MATCH(SMALL('債券'!$BE$5:$BE$404,$A47),'債券'!$BE$5:$BE$404,0))))</f>
        <v/>
      </c>
      <c r="I47" s="25">
        <f>IF(ABS(SMALL('債券'!$BE$5:$BE$404,$A47))&gt;1E8,"",IF(INDEX('債券'!$AF$5:$AF$404,MATCH(SMALL('債券'!$BE$5:$BE$404,$A47),'債券'!$BE$5:$BE$404,0))="","",INDEX('債券'!$AF$5:$AF$404,MATCH(SMALL('債券'!$BE$5:$BE$404,$A47),'債券'!$BE$5:$BE$404,0))))</f>
        <v/>
      </c>
      <c r="J47" s="25">
        <f>IF(ABS(SMALL('債券'!$BE$5:$BE$404,$A47))&gt;1E8,"",IF(INDEX('債券'!$AM$5:$AM$404,MATCH(SMALL('債券'!$BE$5:$BE$404,$A47),'債券'!$BE$5:$BE$404,0))="","",INDEX('債券'!$AM$5:$AM$404,MATCH(SMALL('債券'!$BE$5:$BE$404,$A47),'債券'!$BE$5:$BE$404,0))))</f>
        <v/>
      </c>
      <c r="K47" s="25">
        <f>IF(ABS(SMALL('債券'!$BE$5:$BE$404,$A47))&gt;1E8,"",IF(INDEX('債券'!$AO$5:$AO$404,MATCH(SMALL('債券'!$BE$5:$BE$404,$A47),'債券'!$BE$5:$BE$404,0))="","",INDEX('債券'!$AO$5:$AO$404,MATCH(SMALL('債券'!$BE$5:$BE$404,$A47),'債券'!$BE$5:$BE$404,0))))</f>
        <v/>
      </c>
      <c r="L47" s="25">
        <f>IF(ABS(SMALL('債券'!$BE$5:$BE$404,$A47))&gt;1E8,"",IF(INDEX('債券'!$AP$5:$AP$404,MATCH(SMALL('債券'!$BE$5:$BE$404,$A47),'債券'!$BE$5:$BE$404,0))="","",INDEX('債券'!$AP$5:$AP$404,MATCH(SMALL('債券'!$BE$5:$BE$404,$A47),'債券'!$BE$5:$BE$404,0))))</f>
        <v/>
      </c>
      <c r="M47" s="25">
        <f>IF(ABS(SMALL('債券'!$BE$5:$BE$404,$A47))&gt;1E8,"",IF(INDEX('債券'!$AQ$5:$AQ$404,MATCH(SMALL('債券'!$BE$5:$BE$404,$A47),'債券'!$BE$5:$BE$404,0))="","",INDEX('債券'!$AQ$5:$AQ$404,MATCH(SMALL('債券'!$BE$5:$BE$404,$A47),'債券'!$BE$5:$BE$404,0))))</f>
        <v/>
      </c>
      <c r="N47" s="38">
        <f>IF(ABS(SMALL('債券'!$BE$5:$BE$404,$A47))&gt;1E8,"",IF(INDEX('債券'!$AI$5:$AI$404,MATCH(SMALL('債券'!$BE$5:$BE$404,$A47),'債券'!$BE$5:$BE$404,0))="","",INDEX('債券'!$AI$5:$AI$404,MATCH(SMALL('債券'!$BE$5:$BE$404,$A47),'債券'!$BE$5:$BE$404,0))))</f>
        <v/>
      </c>
    </row>
    <row r="48">
      <c r="A48" s="8" t="n">
        <v>20</v>
      </c>
      <c r="B48" s="32">
        <f>IF(ABS(SMALL('債券'!$BE$5:$BE$404,$A48))&gt;1E8,"",IF(INDEX('債券'!$A$5:$A$404,MATCH(SMALL('債券'!$BE$5:$BE$404,$A48),'債券'!$BE$5:$BE$404,0))="","",INDEX('債券'!$A$5:$A$404,MATCH(SMALL('債券'!$BE$5:$BE$404,$A48),'債券'!$BE$5:$BE$404,0))))</f>
        <v/>
      </c>
      <c r="C48" s="32">
        <f>IF(ABS(SMALL('債券'!$BE$5:$BE$404,$A48))&gt;1E8,"",IF(INDEX('債券'!$C$5:$C$404,MATCH(SMALL('債券'!$BE$5:$BE$404,$A48),'債券'!$BE$5:$BE$404,0))="","",INDEX('債券'!$C$5:$C$404,MATCH(SMALL('債券'!$BE$5:$BE$404,$A48),'債券'!$BE$5:$BE$404,0))))</f>
        <v/>
      </c>
      <c r="D48" s="32">
        <f>IF(ABS(SMALL('債券'!$BE$5:$BE$404,$A48))&gt;1E8,"",IF(INDEX('債券'!$S$5:$S$404,MATCH(SMALL('債券'!$BE$5:$BE$404,$A48),'債券'!$BE$5:$BE$404,0))="","",INDEX('債券'!$S$5:$S$404,MATCH(SMALL('債券'!$BE$5:$BE$404,$A48),'債券'!$BE$5:$BE$404,0))))</f>
        <v/>
      </c>
      <c r="E48" s="32">
        <f>IF(ABS(SMALL('債券'!$BE$5:$BE$404,$A48))&gt;1E8,"",IF(INDEX('債券'!$G$5:$G$404,MATCH(SMALL('債券'!$BE$5:$BE$404,$A48),'債券'!$BE$5:$BE$404,0))="","",INDEX('債券'!$G$5:$G$404,MATCH(SMALL('債券'!$BE$5:$BE$404,$A48),'債券'!$BE$5:$BE$404,0))))</f>
        <v/>
      </c>
      <c r="F48" s="24">
        <f>IF(ABS(SMALL('債券'!$BE$5:$BE$404,$A48))&gt;1E8,"",IF(INDEX('債券'!$U$5:$U$404,MATCH(SMALL('債券'!$BE$5:$BE$404,$A48),'債券'!$BE$5:$BE$404,0))="","",INDEX('債券'!$U$5:$U$404,MATCH(SMALL('債券'!$BE$5:$BE$404,$A48),'債券'!$BE$5:$BE$404,0))))</f>
        <v/>
      </c>
      <c r="G48" s="22">
        <f>IF(ABS(SMALL('債券'!$BE$5:$BE$404,$A48))&gt;1E8,"",IF(INDEX('債券'!$N$5:$N$404,MATCH(SMALL('債券'!$BE$5:$BE$404,$A48),'債券'!$BE$5:$BE$404,0))="","",INDEX('債券'!$N$5:$N$404,MATCH(SMALL('債券'!$BE$5:$BE$404,$A48),'債券'!$BE$5:$BE$404,0))))</f>
        <v/>
      </c>
      <c r="H48" s="23">
        <f>IF(ABS(SMALL('債券'!$BE$5:$BE$404,$A48))&gt;1E8,"",IF(INDEX('債券'!$Z$5:$Z$404,MATCH(SMALL('債券'!$BE$5:$BE$404,$A48),'債券'!$BE$5:$BE$404,0))="","",INDEX('債券'!$Z$5:$Z$404,MATCH(SMALL('債券'!$BE$5:$BE$404,$A48),'債券'!$BE$5:$BE$404,0))))</f>
        <v/>
      </c>
      <c r="I48" s="25">
        <f>IF(ABS(SMALL('債券'!$BE$5:$BE$404,$A48))&gt;1E8,"",IF(INDEX('債券'!$AF$5:$AF$404,MATCH(SMALL('債券'!$BE$5:$BE$404,$A48),'債券'!$BE$5:$BE$404,0))="","",INDEX('債券'!$AF$5:$AF$404,MATCH(SMALL('債券'!$BE$5:$BE$404,$A48),'債券'!$BE$5:$BE$404,0))))</f>
        <v/>
      </c>
      <c r="J48" s="25">
        <f>IF(ABS(SMALL('債券'!$BE$5:$BE$404,$A48))&gt;1E8,"",IF(INDEX('債券'!$AM$5:$AM$404,MATCH(SMALL('債券'!$BE$5:$BE$404,$A48),'債券'!$BE$5:$BE$404,0))="","",INDEX('債券'!$AM$5:$AM$404,MATCH(SMALL('債券'!$BE$5:$BE$404,$A48),'債券'!$BE$5:$BE$404,0))))</f>
        <v/>
      </c>
      <c r="K48" s="25">
        <f>IF(ABS(SMALL('債券'!$BE$5:$BE$404,$A48))&gt;1E8,"",IF(INDEX('債券'!$AO$5:$AO$404,MATCH(SMALL('債券'!$BE$5:$BE$404,$A48),'債券'!$BE$5:$BE$404,0))="","",INDEX('債券'!$AO$5:$AO$404,MATCH(SMALL('債券'!$BE$5:$BE$404,$A48),'債券'!$BE$5:$BE$404,0))))</f>
        <v/>
      </c>
      <c r="L48" s="25">
        <f>IF(ABS(SMALL('債券'!$BE$5:$BE$404,$A48))&gt;1E8,"",IF(INDEX('債券'!$AP$5:$AP$404,MATCH(SMALL('債券'!$BE$5:$BE$404,$A48),'債券'!$BE$5:$BE$404,0))="","",INDEX('債券'!$AP$5:$AP$404,MATCH(SMALL('債券'!$BE$5:$BE$404,$A48),'債券'!$BE$5:$BE$404,0))))</f>
        <v/>
      </c>
      <c r="M48" s="25">
        <f>IF(ABS(SMALL('債券'!$BE$5:$BE$404,$A48))&gt;1E8,"",IF(INDEX('債券'!$AQ$5:$AQ$404,MATCH(SMALL('債券'!$BE$5:$BE$404,$A48),'債券'!$BE$5:$BE$404,0))="","",INDEX('債券'!$AQ$5:$AQ$404,MATCH(SMALL('債券'!$BE$5:$BE$404,$A48),'債券'!$BE$5:$BE$404,0))))</f>
        <v/>
      </c>
      <c r="N48" s="38">
        <f>IF(ABS(SMALL('債券'!$BE$5:$BE$404,$A48))&gt;1E8,"",IF(INDEX('債券'!$AI$5:$AI$404,MATCH(SMALL('債券'!$BE$5:$BE$404,$A48),'債券'!$BE$5:$BE$404,0))="","",INDEX('債券'!$AI$5:$AI$404,MATCH(SMALL('債券'!$BE$5:$BE$404,$A48),'債券'!$BE$5:$BE$404,0))))</f>
        <v/>
      </c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3" t="inlineStr">
        <is>
          <t>分類 × 評等分群：平均 OAS (bp) 與檔數</t>
        </is>
      </c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 ht="32" customHeight="1">
      <c r="A53" s="14" t="inlineStr">
        <is>
          <t>分類</t>
        </is>
      </c>
      <c r="B53" s="14" t="inlineStr">
        <is>
          <t>AA以上
OAS</t>
        </is>
      </c>
      <c r="C53" s="14" t="inlineStr">
        <is>
          <t>A
OAS</t>
        </is>
      </c>
      <c r="D53" s="14" t="inlineStr">
        <is>
          <t>BBB
OAS</t>
        </is>
      </c>
      <c r="E53" s="14" t="inlineStr">
        <is>
          <t>HY
OAS</t>
        </is>
      </c>
      <c r="F53" s="14" t="inlineStr">
        <is>
          <t>AA以上
檔數</t>
        </is>
      </c>
      <c r="G53" s="14" t="inlineStr">
        <is>
          <t>A
檔數</t>
        </is>
      </c>
      <c r="H53" s="14" t="inlineStr">
        <is>
          <t>BBB
檔數</t>
        </is>
      </c>
      <c r="I53" s="14" t="inlineStr">
        <is>
          <t>HY
檔數</t>
        </is>
      </c>
      <c r="J53" s="14" t="inlineStr">
        <is>
          <t>全部
加權 OAS</t>
        </is>
      </c>
      <c r="K53" s="14" t="inlineStr">
        <is>
          <t>全部
檔數</t>
        </is>
      </c>
      <c r="L53" s="1" t="n"/>
      <c r="M53" s="1" t="n"/>
      <c r="N53" s="1" t="n"/>
    </row>
    <row r="54">
      <c r="A54" s="15" t="inlineStr">
        <is>
          <t>超大型雲端</t>
        </is>
      </c>
      <c r="B54" s="22">
        <f>IFERROR(AVERAGEIFS('債券'!$N$5:$N$404,'債券'!$S$5:$S$404,$A54,'債券'!$X$5:$X$404,"AA以上",'債券'!$Y$5:$Y$404,1),"")</f>
        <v/>
      </c>
      <c r="C54" s="22">
        <f>IFERROR(AVERAGEIFS('債券'!$N$5:$N$404,'債券'!$S$5:$S$404,$A54,'債券'!$X$5:$X$404,"A",'債券'!$Y$5:$Y$404,1),"")</f>
        <v/>
      </c>
      <c r="D54" s="22">
        <f>IFERROR(AVERAGEIFS('債券'!$N$5:$N$404,'債券'!$S$5:$S$404,$A54,'債券'!$X$5:$X$404,"BBB",'債券'!$Y$5:$Y$404,1),"")</f>
        <v/>
      </c>
      <c r="E54" s="22">
        <f>IFERROR(AVERAGEIFS('債券'!$N$5:$N$404,'債券'!$S$5:$S$404,$A54,'債券'!$X$5:$X$404,"HY",'債券'!$Y$5:$Y$404,1),"")</f>
        <v/>
      </c>
      <c r="F54" s="39">
        <f>COUNTIFS('債券'!$S$5:$S$404,$A54,'債券'!$X$5:$X$404,"AA以上",'債券'!$Y$5:$Y$404,1)</f>
        <v/>
      </c>
      <c r="G54" s="39">
        <f>COUNTIFS('債券'!$S$5:$S$404,$A54,'債券'!$X$5:$X$404,"A",'債券'!$Y$5:$Y$404,1)</f>
        <v/>
      </c>
      <c r="H54" s="39">
        <f>COUNTIFS('債券'!$S$5:$S$404,$A54,'債券'!$X$5:$X$404,"BBB",'債券'!$Y$5:$Y$404,1)</f>
        <v/>
      </c>
      <c r="I54" s="39">
        <f>COUNTIFS('債券'!$S$5:$S$404,$A54,'債券'!$X$5:$X$404,"HY",'債券'!$Y$5:$Y$404,1)</f>
        <v/>
      </c>
      <c r="J54" s="22">
        <f>IF(SUMPRODUCT(('債券'!$S$5:$S$404=$A54)*('債券'!$Y$5:$Y$404=1)*'債券'!$AV$5:$AV$404)&gt;0,SUMPRODUCT(('債券'!$S$5:$S$404=$A54)*('債券'!$Y$5:$Y$404=1)*'債券'!$AV$5:$AV$404*'債券'!$AT$5:$AT$404)/SUMPRODUCT(('債券'!$S$5:$S$404=$A54)*('債券'!$Y$5:$Y$404=1)*'債券'!$AV$5:$AV$404),"")</f>
        <v/>
      </c>
      <c r="K54" s="39">
        <f>SUMPRODUCT(('債券'!$S$5:$S$404=$A54)*('債券'!$Y$5:$Y$404=1))</f>
        <v/>
      </c>
      <c r="L54" s="1" t="n"/>
      <c r="M54" s="1" t="n"/>
      <c r="N54" s="1" t="n"/>
    </row>
    <row r="55">
      <c r="A55" s="15" t="inlineStr">
        <is>
          <t>大型科技</t>
        </is>
      </c>
      <c r="B55" s="22">
        <f>IFERROR(AVERAGEIFS('債券'!$N$5:$N$404,'債券'!$S$5:$S$404,$A55,'債券'!$X$5:$X$404,"AA以上",'債券'!$Y$5:$Y$404,1),"")</f>
        <v/>
      </c>
      <c r="C55" s="22">
        <f>IFERROR(AVERAGEIFS('債券'!$N$5:$N$404,'債券'!$S$5:$S$404,$A55,'債券'!$X$5:$X$404,"A",'債券'!$Y$5:$Y$404,1),"")</f>
        <v/>
      </c>
      <c r="D55" s="22">
        <f>IFERROR(AVERAGEIFS('債券'!$N$5:$N$404,'債券'!$S$5:$S$404,$A55,'債券'!$X$5:$X$404,"BBB",'債券'!$Y$5:$Y$404,1),"")</f>
        <v/>
      </c>
      <c r="E55" s="22">
        <f>IFERROR(AVERAGEIFS('債券'!$N$5:$N$404,'債券'!$S$5:$S$404,$A55,'債券'!$X$5:$X$404,"HY",'債券'!$Y$5:$Y$404,1),"")</f>
        <v/>
      </c>
      <c r="F55" s="39">
        <f>COUNTIFS('債券'!$S$5:$S$404,$A55,'債券'!$X$5:$X$404,"AA以上",'債券'!$Y$5:$Y$404,1)</f>
        <v/>
      </c>
      <c r="G55" s="39">
        <f>COUNTIFS('債券'!$S$5:$S$404,$A55,'債券'!$X$5:$X$404,"A",'債券'!$Y$5:$Y$404,1)</f>
        <v/>
      </c>
      <c r="H55" s="39">
        <f>COUNTIFS('債券'!$S$5:$S$404,$A55,'債券'!$X$5:$X$404,"BBB",'債券'!$Y$5:$Y$404,1)</f>
        <v/>
      </c>
      <c r="I55" s="39">
        <f>COUNTIFS('債券'!$S$5:$S$404,$A55,'債券'!$X$5:$X$404,"HY",'債券'!$Y$5:$Y$404,1)</f>
        <v/>
      </c>
      <c r="J55" s="22">
        <f>IF(SUMPRODUCT(('債券'!$S$5:$S$404=$A55)*('債券'!$Y$5:$Y$404=1)*'債券'!$AV$5:$AV$404)&gt;0,SUMPRODUCT(('債券'!$S$5:$S$404=$A55)*('債券'!$Y$5:$Y$404=1)*'債券'!$AV$5:$AV$404*'債券'!$AT$5:$AT$404)/SUMPRODUCT(('債券'!$S$5:$S$404=$A55)*('債券'!$Y$5:$Y$404=1)*'債券'!$AV$5:$AV$404),"")</f>
        <v/>
      </c>
      <c r="K55" s="39">
        <f>SUMPRODUCT(('債券'!$S$5:$S$404=$A55)*('債券'!$Y$5:$Y$404=1))</f>
        <v/>
      </c>
      <c r="L55" s="1" t="n"/>
      <c r="M55" s="1" t="n"/>
      <c r="N55" s="1" t="n"/>
    </row>
    <row r="56">
      <c r="A56" s="15" t="inlineStr">
        <is>
          <t>半導體</t>
        </is>
      </c>
      <c r="B56" s="22">
        <f>IFERROR(AVERAGEIFS('債券'!$N$5:$N$404,'債券'!$S$5:$S$404,$A56,'債券'!$X$5:$X$404,"AA以上",'債券'!$Y$5:$Y$404,1),"")</f>
        <v/>
      </c>
      <c r="C56" s="22">
        <f>IFERROR(AVERAGEIFS('債券'!$N$5:$N$404,'債券'!$S$5:$S$404,$A56,'債券'!$X$5:$X$404,"A",'債券'!$Y$5:$Y$404,1),"")</f>
        <v/>
      </c>
      <c r="D56" s="22">
        <f>IFERROR(AVERAGEIFS('債券'!$N$5:$N$404,'債券'!$S$5:$S$404,$A56,'債券'!$X$5:$X$404,"BBB",'債券'!$Y$5:$Y$404,1),"")</f>
        <v/>
      </c>
      <c r="E56" s="22">
        <f>IFERROR(AVERAGEIFS('債券'!$N$5:$N$404,'債券'!$S$5:$S$404,$A56,'債券'!$X$5:$X$404,"HY",'債券'!$Y$5:$Y$404,1),"")</f>
        <v/>
      </c>
      <c r="F56" s="39">
        <f>COUNTIFS('債券'!$S$5:$S$404,$A56,'債券'!$X$5:$X$404,"AA以上",'債券'!$Y$5:$Y$404,1)</f>
        <v/>
      </c>
      <c r="G56" s="39">
        <f>COUNTIFS('債券'!$S$5:$S$404,$A56,'債券'!$X$5:$X$404,"A",'債券'!$Y$5:$Y$404,1)</f>
        <v/>
      </c>
      <c r="H56" s="39">
        <f>COUNTIFS('債券'!$S$5:$S$404,$A56,'債券'!$X$5:$X$404,"BBB",'債券'!$Y$5:$Y$404,1)</f>
        <v/>
      </c>
      <c r="I56" s="39">
        <f>COUNTIFS('債券'!$S$5:$S$404,$A56,'債券'!$X$5:$X$404,"HY",'債券'!$Y$5:$Y$404,1)</f>
        <v/>
      </c>
      <c r="J56" s="22">
        <f>IF(SUMPRODUCT(('債券'!$S$5:$S$404=$A56)*('債券'!$Y$5:$Y$404=1)*'債券'!$AV$5:$AV$404)&gt;0,SUMPRODUCT(('債券'!$S$5:$S$404=$A56)*('債券'!$Y$5:$Y$404=1)*'債券'!$AV$5:$AV$404*'債券'!$AT$5:$AT$404)/SUMPRODUCT(('債券'!$S$5:$S$404=$A56)*('債券'!$Y$5:$Y$404=1)*'債券'!$AV$5:$AV$404),"")</f>
        <v/>
      </c>
      <c r="K56" s="39">
        <f>SUMPRODUCT(('債券'!$S$5:$S$404=$A56)*('債券'!$Y$5:$Y$404=1))</f>
        <v/>
      </c>
      <c r="L56" s="1" t="n"/>
      <c r="M56" s="1" t="n"/>
      <c r="N56" s="1" t="n"/>
    </row>
    <row r="57">
      <c r="A57" s="15" t="inlineStr">
        <is>
          <t>伺服器／網通</t>
        </is>
      </c>
      <c r="B57" s="22">
        <f>IFERROR(AVERAGEIFS('債券'!$N$5:$N$404,'債券'!$S$5:$S$404,$A57,'債券'!$X$5:$X$404,"AA以上",'債券'!$Y$5:$Y$404,1),"")</f>
        <v/>
      </c>
      <c r="C57" s="22">
        <f>IFERROR(AVERAGEIFS('債券'!$N$5:$N$404,'債券'!$S$5:$S$404,$A57,'債券'!$X$5:$X$404,"A",'債券'!$Y$5:$Y$404,1),"")</f>
        <v/>
      </c>
      <c r="D57" s="22">
        <f>IFERROR(AVERAGEIFS('債券'!$N$5:$N$404,'債券'!$S$5:$S$404,$A57,'債券'!$X$5:$X$404,"BBB",'債券'!$Y$5:$Y$404,1),"")</f>
        <v/>
      </c>
      <c r="E57" s="22">
        <f>IFERROR(AVERAGEIFS('債券'!$N$5:$N$404,'債券'!$S$5:$S$404,$A57,'債券'!$X$5:$X$404,"HY",'債券'!$Y$5:$Y$404,1),"")</f>
        <v/>
      </c>
      <c r="F57" s="39">
        <f>COUNTIFS('債券'!$S$5:$S$404,$A57,'債券'!$X$5:$X$404,"AA以上",'債券'!$Y$5:$Y$404,1)</f>
        <v/>
      </c>
      <c r="G57" s="39">
        <f>COUNTIFS('債券'!$S$5:$S$404,$A57,'債券'!$X$5:$X$404,"A",'債券'!$Y$5:$Y$404,1)</f>
        <v/>
      </c>
      <c r="H57" s="39">
        <f>COUNTIFS('債券'!$S$5:$S$404,$A57,'債券'!$X$5:$X$404,"BBB",'債券'!$Y$5:$Y$404,1)</f>
        <v/>
      </c>
      <c r="I57" s="39">
        <f>COUNTIFS('債券'!$S$5:$S$404,$A57,'債券'!$X$5:$X$404,"HY",'債券'!$Y$5:$Y$404,1)</f>
        <v/>
      </c>
      <c r="J57" s="22">
        <f>IF(SUMPRODUCT(('債券'!$S$5:$S$404=$A57)*('債券'!$Y$5:$Y$404=1)*'債券'!$AV$5:$AV$404)&gt;0,SUMPRODUCT(('債券'!$S$5:$S$404=$A57)*('債券'!$Y$5:$Y$404=1)*'債券'!$AV$5:$AV$404*'債券'!$AT$5:$AT$404)/SUMPRODUCT(('債券'!$S$5:$S$404=$A57)*('債券'!$Y$5:$Y$404=1)*'債券'!$AV$5:$AV$404),"")</f>
        <v/>
      </c>
      <c r="K57" s="39">
        <f>SUMPRODUCT(('債券'!$S$5:$S$404=$A57)*('債券'!$Y$5:$Y$404=1))</f>
        <v/>
      </c>
      <c r="L57" s="1" t="n"/>
      <c r="M57" s="1" t="n"/>
      <c r="N57" s="1" t="n"/>
    </row>
    <row r="58">
      <c r="A58" s="15" t="inlineStr">
        <is>
          <t>軟體</t>
        </is>
      </c>
      <c r="B58" s="22">
        <f>IFERROR(AVERAGEIFS('債券'!$N$5:$N$404,'債券'!$S$5:$S$404,$A58,'債券'!$X$5:$X$404,"AA以上",'債券'!$Y$5:$Y$404,1),"")</f>
        <v/>
      </c>
      <c r="C58" s="22">
        <f>IFERROR(AVERAGEIFS('債券'!$N$5:$N$404,'債券'!$S$5:$S$404,$A58,'債券'!$X$5:$X$404,"A",'債券'!$Y$5:$Y$404,1),"")</f>
        <v/>
      </c>
      <c r="D58" s="22">
        <f>IFERROR(AVERAGEIFS('債券'!$N$5:$N$404,'債券'!$S$5:$S$404,$A58,'債券'!$X$5:$X$404,"BBB",'債券'!$Y$5:$Y$404,1),"")</f>
        <v/>
      </c>
      <c r="E58" s="22">
        <f>IFERROR(AVERAGEIFS('債券'!$N$5:$N$404,'債券'!$S$5:$S$404,$A58,'債券'!$X$5:$X$404,"HY",'債券'!$Y$5:$Y$404,1),"")</f>
        <v/>
      </c>
      <c r="F58" s="39">
        <f>COUNTIFS('債券'!$S$5:$S$404,$A58,'債券'!$X$5:$X$404,"AA以上",'債券'!$Y$5:$Y$404,1)</f>
        <v/>
      </c>
      <c r="G58" s="39">
        <f>COUNTIFS('債券'!$S$5:$S$404,$A58,'債券'!$X$5:$X$404,"A",'債券'!$Y$5:$Y$404,1)</f>
        <v/>
      </c>
      <c r="H58" s="39">
        <f>COUNTIFS('債券'!$S$5:$S$404,$A58,'債券'!$X$5:$X$404,"BBB",'債券'!$Y$5:$Y$404,1)</f>
        <v/>
      </c>
      <c r="I58" s="39">
        <f>COUNTIFS('債券'!$S$5:$S$404,$A58,'債券'!$X$5:$X$404,"HY",'債券'!$Y$5:$Y$404,1)</f>
        <v/>
      </c>
      <c r="J58" s="22">
        <f>IF(SUMPRODUCT(('債券'!$S$5:$S$404=$A58)*('債券'!$Y$5:$Y$404=1)*'債券'!$AV$5:$AV$404)&gt;0,SUMPRODUCT(('債券'!$S$5:$S$404=$A58)*('債券'!$Y$5:$Y$404=1)*'債券'!$AV$5:$AV$404*'債券'!$AT$5:$AT$404)/SUMPRODUCT(('債券'!$S$5:$S$404=$A58)*('債券'!$Y$5:$Y$404=1)*'債券'!$AV$5:$AV$404),"")</f>
        <v/>
      </c>
      <c r="K58" s="39">
        <f>SUMPRODUCT(('債券'!$S$5:$S$404=$A58)*('債券'!$Y$5:$Y$404=1))</f>
        <v/>
      </c>
      <c r="L58" s="1" t="n"/>
      <c r="M58" s="1" t="n"/>
      <c r="N58" s="1" t="n"/>
    </row>
    <row r="59">
      <c r="A59" s="15" t="inlineStr">
        <is>
          <t>資料中心</t>
        </is>
      </c>
      <c r="B59" s="22">
        <f>IFERROR(AVERAGEIFS('債券'!$N$5:$N$404,'債券'!$S$5:$S$404,$A59,'債券'!$X$5:$X$404,"AA以上",'債券'!$Y$5:$Y$404,1),"")</f>
        <v/>
      </c>
      <c r="C59" s="22">
        <f>IFERROR(AVERAGEIFS('債券'!$N$5:$N$404,'債券'!$S$5:$S$404,$A59,'債券'!$X$5:$X$404,"A",'債券'!$Y$5:$Y$404,1),"")</f>
        <v/>
      </c>
      <c r="D59" s="22">
        <f>IFERROR(AVERAGEIFS('債券'!$N$5:$N$404,'債券'!$S$5:$S$404,$A59,'債券'!$X$5:$X$404,"BBB",'債券'!$Y$5:$Y$404,1),"")</f>
        <v/>
      </c>
      <c r="E59" s="22">
        <f>IFERROR(AVERAGEIFS('債券'!$N$5:$N$404,'債券'!$S$5:$S$404,$A59,'債券'!$X$5:$X$404,"HY",'債券'!$Y$5:$Y$404,1),"")</f>
        <v/>
      </c>
      <c r="F59" s="39">
        <f>COUNTIFS('債券'!$S$5:$S$404,$A59,'債券'!$X$5:$X$404,"AA以上",'債券'!$Y$5:$Y$404,1)</f>
        <v/>
      </c>
      <c r="G59" s="39">
        <f>COUNTIFS('債券'!$S$5:$S$404,$A59,'債券'!$X$5:$X$404,"A",'債券'!$Y$5:$Y$404,1)</f>
        <v/>
      </c>
      <c r="H59" s="39">
        <f>COUNTIFS('債券'!$S$5:$S$404,$A59,'債券'!$X$5:$X$404,"BBB",'債券'!$Y$5:$Y$404,1)</f>
        <v/>
      </c>
      <c r="I59" s="39">
        <f>COUNTIFS('債券'!$S$5:$S$404,$A59,'債券'!$X$5:$X$404,"HY",'債券'!$Y$5:$Y$404,1)</f>
        <v/>
      </c>
      <c r="J59" s="22">
        <f>IF(SUMPRODUCT(('債券'!$S$5:$S$404=$A59)*('債券'!$Y$5:$Y$404=1)*'債券'!$AV$5:$AV$404)&gt;0,SUMPRODUCT(('債券'!$S$5:$S$404=$A59)*('債券'!$Y$5:$Y$404=1)*'債券'!$AV$5:$AV$404*'債券'!$AT$5:$AT$404)/SUMPRODUCT(('債券'!$S$5:$S$404=$A59)*('債券'!$Y$5:$Y$404=1)*'債券'!$AV$5:$AV$404),"")</f>
        <v/>
      </c>
      <c r="K59" s="39">
        <f>SUMPRODUCT(('債券'!$S$5:$S$404=$A59)*('債券'!$Y$5:$Y$404=1))</f>
        <v/>
      </c>
      <c r="L59" s="1" t="n"/>
      <c r="M59" s="1" t="n"/>
      <c r="N59" s="1" t="n"/>
    </row>
    <row r="60">
      <c r="A60" s="15" t="inlineStr">
        <is>
          <t>AI 雲端（高收益）</t>
        </is>
      </c>
      <c r="B60" s="22">
        <f>IFERROR(AVERAGEIFS('債券'!$N$5:$N$404,'債券'!$S$5:$S$404,$A60,'債券'!$X$5:$X$404,"AA以上",'債券'!$Y$5:$Y$404,1),"")</f>
        <v/>
      </c>
      <c r="C60" s="22">
        <f>IFERROR(AVERAGEIFS('債券'!$N$5:$N$404,'債券'!$S$5:$S$404,$A60,'債券'!$X$5:$X$404,"A",'債券'!$Y$5:$Y$404,1),"")</f>
        <v/>
      </c>
      <c r="D60" s="22">
        <f>IFERROR(AVERAGEIFS('債券'!$N$5:$N$404,'債券'!$S$5:$S$404,$A60,'債券'!$X$5:$X$404,"BBB",'債券'!$Y$5:$Y$404,1),"")</f>
        <v/>
      </c>
      <c r="E60" s="22">
        <f>IFERROR(AVERAGEIFS('債券'!$N$5:$N$404,'債券'!$S$5:$S$404,$A60,'債券'!$X$5:$X$404,"HY",'債券'!$Y$5:$Y$404,1),"")</f>
        <v/>
      </c>
      <c r="F60" s="39">
        <f>COUNTIFS('債券'!$S$5:$S$404,$A60,'債券'!$X$5:$X$404,"AA以上",'債券'!$Y$5:$Y$404,1)</f>
        <v/>
      </c>
      <c r="G60" s="39">
        <f>COUNTIFS('債券'!$S$5:$S$404,$A60,'債券'!$X$5:$X$404,"A",'債券'!$Y$5:$Y$404,1)</f>
        <v/>
      </c>
      <c r="H60" s="39">
        <f>COUNTIFS('債券'!$S$5:$S$404,$A60,'債券'!$X$5:$X$404,"BBB",'債券'!$Y$5:$Y$404,1)</f>
        <v/>
      </c>
      <c r="I60" s="39">
        <f>COUNTIFS('債券'!$S$5:$S$404,$A60,'債券'!$X$5:$X$404,"HY",'債券'!$Y$5:$Y$404,1)</f>
        <v/>
      </c>
      <c r="J60" s="22">
        <f>IF(SUMPRODUCT(('債券'!$S$5:$S$404=$A60)*('債券'!$Y$5:$Y$404=1)*'債券'!$AV$5:$AV$404)&gt;0,SUMPRODUCT(('債券'!$S$5:$S$404=$A60)*('債券'!$Y$5:$Y$404=1)*'債券'!$AV$5:$AV$404*'債券'!$AT$5:$AT$404)/SUMPRODUCT(('債券'!$S$5:$S$404=$A60)*('債券'!$Y$5:$Y$404=1)*'債券'!$AV$5:$AV$404),"")</f>
        <v/>
      </c>
      <c r="K60" s="39">
        <f>SUMPRODUCT(('債券'!$S$5:$S$404=$A60)*('債券'!$Y$5:$Y$404=1))</f>
        <v/>
      </c>
      <c r="L60" s="1" t="n"/>
      <c r="M60" s="1" t="n"/>
      <c r="N60" s="1" t="n"/>
    </row>
  </sheetData>
  <conditionalFormatting sqref="M6:M25">
    <cfRule type="colorScale" priority="1">
      <colorScale>
        <cfvo type="num" val="-1.5"/>
        <cfvo type="num" val="0"/>
        <cfvo type="num" val="1.5"/>
        <color rgb="00F8696B"/>
        <color rgb="00FFFFFF"/>
        <color rgb="0063BE7B"/>
      </colorScale>
    </cfRule>
  </conditionalFormatting>
  <conditionalFormatting sqref="M29:M48">
    <cfRule type="colorScale" priority="2">
      <colorScale>
        <cfvo type="num" val="-1.5"/>
        <cfvo type="num" val="0"/>
        <cfvo type="num" val="1.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6" t="inlineStr">
        <is>
          <t>用 BSRCH 抓債券清單</t>
        </is>
      </c>
      <c r="B1" s="1" t="n"/>
    </row>
    <row r="2">
      <c r="A2" s="8" t="inlineStr">
        <is>
          <t>1. 在終端機輸入 SRCH &lt;GO&gt;，依「說明」表的條件建立債券搜尋並儲存，名稱填在 B6。</t>
        </is>
      </c>
      <c r="B2" s="1" t="n"/>
    </row>
    <row r="3">
      <c r="A3" s="8" t="inlineStr">
        <is>
          <t>2. Bloomberg 頁籤 → Refresh 後，A8 的 BSRCH 公式會列出搜尋結果。</t>
        </is>
      </c>
      <c r="B3" s="1" t="n"/>
    </row>
    <row r="4">
      <c r="A4" s="8" t="inlineStr">
        <is>
          <t>3. 把 A 欄結果複製 →「債券」表 A5 起「選擇性貼上 → 值」。搜尋結果順序可能變動，貼成值比較穩定。</t>
        </is>
      </c>
      <c r="B4" s="1" t="n"/>
    </row>
    <row r="5">
      <c r="A5" s="1" t="n"/>
      <c r="B5" s="1" t="n"/>
    </row>
    <row r="6">
      <c r="A6" s="13" t="inlineStr">
        <is>
          <t>SRCH 儲存名稱</t>
        </is>
      </c>
      <c r="B6" s="16" t="inlineStr">
        <is>
          <t>AI_USD</t>
        </is>
      </c>
    </row>
    <row r="7">
      <c r="A7" s="1" t="n"/>
      <c r="B7" s="1" t="n"/>
    </row>
    <row r="8">
      <c r="A8" s="1">
        <f>BSRCH("FI:"&amp;B6)</f>
        <v/>
      </c>
      <c r="B8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2026-10-06T03:02:37Z</dcterms:created>
  <dcterms:modified xsi:type="dcterms:W3CDTF">2026-10-06T03:02:38Z</dcterms:modified>
</cp:coreProperties>
</file>